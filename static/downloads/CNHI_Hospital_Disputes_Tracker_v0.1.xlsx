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Disputes" sheetId="2" state="visible" r:id="rId4"/>
    <sheet name="Time Log" sheetId="3" state="visible" r:id="rId5"/>
    <sheet name="Summary" sheetId="4" state="visible" r:id="rId6"/>
    <sheet name="Lists" sheetId="5" state="visible" r:id="rId7"/>
  </sheets>
  <definedNames>
    <definedName function="false" hidden="true" localSheetId="1" name="_xlnm._FilterDatabase" vbProcedure="false">Disputes!$A$4:$T$1004</definedName>
    <definedName function="false" hidden="true" localSheetId="2" name="_xlnm._FilterDatabase" vbProcedure="false">'Time Log'!$A$4:$H$1004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<sst xmlns="http://schemas.openxmlformats.org/spreadsheetml/2006/main" count="126" uniqueCount="104">
  <si>
    <t xml:space="preserve">Hospital Disputes Tracker - placeholder v0.1 (28 October 2026)</t>
  </si>
  <si>
    <t xml:space="preserve">Prepared by KPMG for the CNHI audit project dashboard. Structure follows the KPI Dictionary v0.3 (F3) and Decisions D-06, D-14, D-15.</t>
  </si>
  <si>
    <t xml:space="preserve">Purpose</t>
  </si>
  <si>
    <t xml:space="preserve">Record every hospital dispute the team handles and the hours spent on it, so the dashboard can show disputes received and closed, outcomes, value defended, response time and effort (EX-07, EX-08, HD-01 to HD-07). Effort is visible to CNHI (D-15).</t>
  </si>
  <si>
    <t xml:space="preserve">Colour key</t>
  </si>
  <si>
    <t xml:space="preserve">Blue header and blue text: you enter it. Grey header: calculated, do not type over. Grey italic rows: examples - replace or clear them.</t>
  </si>
  <si>
    <t xml:space="preserve">1. New dispute</t>
  </si>
  <si>
    <t xml:space="preserve">Add a row in Disputes when the dispute arrives: Dispute ID (e.g. DSP-0001, unique), received date, hospital, TPA, pathway, linked reference, dispute type, value disputed. Link the MARSAD Log ID (daily register) or GSS ID where the finding came from.</t>
  </si>
  <si>
    <t xml:space="preserve">2. Respond</t>
  </si>
  <si>
    <t xml:space="preserve">When the response goes out, enter the response date and a short summary, and set Status to 'Response sent'.</t>
  </si>
  <si>
    <t xml:space="preserve">3. Close</t>
  </si>
  <si>
    <t xml:space="preserve">When the dispute is settled, set Status to 'Closed', enter the closure date, the outcome and the value maintained. Outcome rules (D-06): Maintained = full value stands; Partially maintained = enter the value that stands; Reversed = value maintained 0; Withdrawn by hospital = full value stands.</t>
  </si>
  <si>
    <t xml:space="preserve">4. Log hours</t>
  </si>
  <si>
    <t xml:space="preserve">Every working day, each team member adds one row per dispute worked on in Time Log: date, name, Dispute ID, activity, hours. Use 'General' for dispute work not tied to one case (e.g. a meeting covering several).</t>
  </si>
  <si>
    <t xml:space="preserve">October 2026 backfill</t>
  </si>
  <si>
    <t xml:space="preserve">Log hours from 1 October 2026. For days already past, reconstruct from calendars, emails and the disputes themselves, and set 'Estimated? (backfilled)' to Yes. From the day you start, log daily and set it to No. The Summary sheet shows estimated hours separately so the figure stays honest.</t>
  </si>
  <si>
    <t xml:space="preserve">Data protection</t>
  </si>
  <si>
    <t xml:space="preserve">Do not enter patient names, national IDs or MRNs. Use the approval or claim reference only. Free-text columns stay in this file: the dashboard drops them at upload, hashes the linked reference and replaces team names with Reviewer 1, 2, ... (D-14).</t>
  </si>
  <si>
    <t xml:space="preserve">Rules</t>
  </si>
  <si>
    <t xml:space="preserve">Do not insert or delete rows inside the tables; clear cells instead. Add list items at the bottom of the Lists sheet. Capacity: 1,000 disputes and 1,000 time-log rows.</t>
  </si>
  <si>
    <t xml:space="preserve">Open points</t>
  </si>
  <si>
    <t xml:space="preserve">Response standard (target days) to agree with CNHI (HD-06). Dispute types to confirm after the first month of use.</t>
  </si>
  <si>
    <t xml:space="preserve">دليل مختصر</t>
  </si>
  <si>
    <t xml:space="preserve">سجل كل اعتراض يرد من المستشفيات في ورقة Disputes فور استلامه، مع رقم المرجع المرتبط وقيمة الاعتراض.</t>
  </si>
  <si>
    <t xml:space="preserve">سجل تاريخ الرد وملخصه عند إرساله، ثم سجل تاريخ الإغلاق والنتيجة والقيمة المحافظ عليها عند التسوية.</t>
  </si>
  <si>
    <t xml:space="preserve">يسجل كل عضو في الفريق ساعات العمل على الاعتراضات يوميا في ورقة Time Log، بدءا من 1 أكتوبر 2026.</t>
  </si>
  <si>
    <t xml:space="preserve">تسجل ساعات الأيام السابقة بالرجوع إلى التقويم والمراسلات، مع وضع Yes في عمود الساعات التقديرية.</t>
  </si>
  <si>
    <t xml:space="preserve">لا تدخل اسم المريض أو رقم الهوية أو الرقم الطبي، واكتف برقم الموافقة أو المطالبة.</t>
  </si>
  <si>
    <t xml:space="preserve">Hospital disputes register</t>
  </si>
  <si>
    <t xml:space="preserve">One row per dispute. Blue headers: you enter. Grey headers: calculated, do not type over. Row 5 is an example: replace it with your first dispute.</t>
  </si>
  <si>
    <t xml:space="preserve">Dispute ID</t>
  </si>
  <si>
    <t xml:space="preserve">Received date</t>
  </si>
  <si>
    <t xml:space="preserve">Hospital</t>
  </si>
  <si>
    <t xml:space="preserve">TPA</t>
  </si>
  <si>
    <t xml:space="preserve">Pathway</t>
  </si>
  <si>
    <t xml:space="preserve">Linked reference (approval / claim no.)</t>
  </si>
  <si>
    <t xml:space="preserve">Linked MARSAD Log ID or GSS ID</t>
  </si>
  <si>
    <t xml:space="preserve">Dispute type</t>
  </si>
  <si>
    <t xml:space="preserve">Value disputed (SAR)</t>
  </si>
  <si>
    <t xml:space="preserve">Hospital argument (summary)</t>
  </si>
  <si>
    <t xml:space="preserve">Handled by</t>
  </si>
  <si>
    <t xml:space="preserve">Response date</t>
  </si>
  <si>
    <t xml:space="preserve">KPMG response summary</t>
  </si>
  <si>
    <t xml:space="preserve">Status</t>
  </si>
  <si>
    <t xml:space="preserve">Closure date</t>
  </si>
  <si>
    <t xml:space="preserve">Outcome</t>
  </si>
  <si>
    <t xml:space="preserve">Value maintained (SAR)</t>
  </si>
  <si>
    <t xml:space="preserve">Days to response</t>
  </si>
  <si>
    <t xml:space="preserve">Days open</t>
  </si>
  <si>
    <t xml:space="preserve">Hours logged</t>
  </si>
  <si>
    <t xml:space="preserve">EXAMPLE-001</t>
  </si>
  <si>
    <t xml:space="preserve">Example Hospital - Riyadh</t>
  </si>
  <si>
    <t xml:space="preserve">GlobeMed Saudi</t>
  </si>
  <si>
    <t xml:space="preserve">Pre-authorization</t>
  </si>
  <si>
    <t xml:space="preserve">1009876543</t>
  </si>
  <si>
    <t xml:space="preserve">MRS-0123</t>
  </si>
  <si>
    <t xml:space="preserve">Medical necessity</t>
  </si>
  <si>
    <t xml:space="preserve">ICU admission was clinically justified on day 2.</t>
  </si>
  <si>
    <t xml:space="preserve">Reviewer 1</t>
  </si>
  <si>
    <t xml:space="preserve">Record shows stable vitals; ICU day 2 not supported. Position held.</t>
  </si>
  <si>
    <t xml:space="preserve">Closed</t>
  </si>
  <si>
    <t xml:space="preserve">Maintained</t>
  </si>
  <si>
    <t xml:space="preserve">Time log: hours spent on hospital disputes</t>
  </si>
  <si>
    <t xml:space="preserve">One row per person, per day, per dispute. Start from 1 October 2026. Use 'General' as Dispute ID for work not tied to one dispute. Row 5 is an example.</t>
  </si>
  <si>
    <t xml:space="preserve">Date</t>
  </si>
  <si>
    <t xml:space="preserve">Team member</t>
  </si>
  <si>
    <t xml:space="preserve">Activity</t>
  </si>
  <si>
    <t xml:space="preserve">Hours</t>
  </si>
  <si>
    <t xml:space="preserve">Estimated? (backfilled)</t>
  </si>
  <si>
    <t xml:space="preserve">Note</t>
  </si>
  <si>
    <t xml:space="preserve">Month</t>
  </si>
  <si>
    <t xml:space="preserve">Clinical review</t>
  </si>
  <si>
    <t xml:space="preserve">No</t>
  </si>
  <si>
    <t xml:space="preserve">Reviewed ICU notes for day 2</t>
  </si>
  <si>
    <t xml:space="preserve">Monthly summary</t>
  </si>
  <si>
    <t xml:space="preserve">Calculated from the Disputes and Time Log sheets. Example rows are excluded. Feeds EX-07, EX-08, HD-01 to HD-07.</t>
  </si>
  <si>
    <t xml:space="preserve">Disputes received</t>
  </si>
  <si>
    <t xml:space="preserve">Disputes closed</t>
  </si>
  <si>
    <t xml:space="preserve">Closed - maintained</t>
  </si>
  <si>
    <t xml:space="preserve">Position maintained %</t>
  </si>
  <si>
    <t xml:space="preserve">Open at month end</t>
  </si>
  <si>
    <t xml:space="preserve">Of which estimated</t>
  </si>
  <si>
    <t xml:space="preserve">Lists</t>
  </si>
  <si>
    <t xml:space="preserve">Add new items at the bottom of a list, with no gaps. Drop-downs in the other sheets read these lists.</t>
  </si>
  <si>
    <t xml:space="preserve">Estimated</t>
  </si>
  <si>
    <t xml:space="preserve">Open</t>
  </si>
  <si>
    <t xml:space="preserve">Case retrieval</t>
  </si>
  <si>
    <t xml:space="preserve">Claim</t>
  </si>
  <si>
    <t xml:space="preserve">NextCare</t>
  </si>
  <si>
    <t xml:space="preserve">Coding</t>
  </si>
  <si>
    <t xml:space="preserve">Response sent</t>
  </si>
  <si>
    <t xml:space="preserve">Partially maintained</t>
  </si>
  <si>
    <t xml:space="preserve">Yes</t>
  </si>
  <si>
    <t xml:space="preserve">GSS</t>
  </si>
  <si>
    <t xml:space="preserve">Other</t>
  </si>
  <si>
    <t xml:space="preserve">Pricing or tariff</t>
  </si>
  <si>
    <t xml:space="preserve">Reversed</t>
  </si>
  <si>
    <t xml:space="preserve">Response drafting</t>
  </si>
  <si>
    <t xml:space="preserve">Documentation</t>
  </si>
  <si>
    <t xml:space="preserve">Withdrawn by hospital</t>
  </si>
  <si>
    <t xml:space="preserve">Meeting with hospital or TPA</t>
  </si>
  <si>
    <t xml:space="preserve">Length of stay or level of care</t>
  </si>
  <si>
    <t xml:space="preserve">Internal QA</t>
  </si>
  <si>
    <t xml:space="preserve">Eligibility or coverage</t>
  </si>
</sst>
</file>

<file path=xl/styles.xml><?xml version="1.0" encoding="utf-8"?>
<styleSheet xmlns="http://schemas.openxmlformats.org/spreadsheetml/2006/main">
  <numFmts count="9">
    <numFmt numFmtId="164" formatCode="General"/>
    <numFmt numFmtId="165" formatCode="dd\-mmm\-yyyy"/>
    <numFmt numFmtId="166" formatCode="#,##0;\(#,##0\);\-"/>
    <numFmt numFmtId="167" formatCode="General"/>
    <numFmt numFmtId="168" formatCode="0.0"/>
    <numFmt numFmtId="169" formatCode="mmm\-yyyy"/>
    <numFmt numFmtId="170" formatCode="0"/>
    <numFmt numFmtId="171" formatCode="0%"/>
    <numFmt numFmtId="172" formatCode="#,##0.0"/>
  </numFmts>
  <fonts count="13">
    <font>
      <sz val="11"/>
      <color theme="1"/>
      <name val="Calibri"/>
      <family val="2"/>
      <charset val="1"/>
    </font>
    <font>
      <sz val="10"/>
      <name val="Arial"/>
      <family val="0"/>
    </font>
    <font>
      <sz val="10"/>
      <name val="Arial"/>
      <family val="0"/>
    </font>
    <font>
      <sz val="10"/>
      <name val="Arial"/>
      <family val="0"/>
    </font>
    <font>
      <b val="true"/>
      <sz val="14"/>
      <color rgb="FF00338D"/>
      <name val="Arial"/>
      <family val="0"/>
      <charset val="1"/>
    </font>
    <font>
      <i val="true"/>
      <sz val="9"/>
      <name val="Arial"/>
      <family val="0"/>
      <charset val="1"/>
    </font>
    <font>
      <b val="true"/>
      <sz val="10"/>
      <name val="Arial"/>
      <family val="0"/>
      <charset val="1"/>
    </font>
    <font>
      <sz val="10"/>
      <name val="Arial"/>
      <family val="0"/>
      <charset val="1"/>
    </font>
    <font>
      <b val="true"/>
      <sz val="11"/>
      <color rgb="FF00338D"/>
      <name val="Arial"/>
      <family val="0"/>
      <charset val="1"/>
    </font>
    <font>
      <b val="true"/>
      <sz val="10"/>
      <color rgb="FFFFFFFF"/>
      <name val="Arial"/>
      <family val="0"/>
      <charset val="1"/>
    </font>
    <font>
      <i val="true"/>
      <sz val="10"/>
      <color rgb="FF808080"/>
      <name val="Arial"/>
      <family val="0"/>
      <charset val="1"/>
    </font>
    <font>
      <sz val="10"/>
      <color rgb="FF000000"/>
      <name val="Arial"/>
      <family val="0"/>
      <charset val="1"/>
    </font>
    <font>
      <sz val="10"/>
      <color rgb="FF0000FF"/>
      <name val="Arial"/>
      <family val="0"/>
      <charset val="1"/>
    </font>
  </fonts>
  <fills count="4">
    <fill>
      <patternFill patternType="none"/>
    </fill>
    <fill>
      <patternFill patternType="gray125"/>
    </fill>
    <fill>
      <patternFill patternType="solid">
        <fgColor rgb="FF00338D"/>
        <bgColor rgb="FF333399"/>
      </patternFill>
    </fill>
    <fill>
      <patternFill patternType="solid">
        <fgColor rgb="FF7F8FA9"/>
        <bgColor rgb="FF808080"/>
      </patternFill>
    </fill>
  </fills>
  <borders count="2">
    <border diagonalUp="false" diagonalDown="false">
      <left/>
      <right/>
      <top/>
      <bottom/>
      <diagonal/>
    </border>
    <border diagonalUp="false" diagonalDown="false">
      <left style="thin">
        <color rgb="FFC8CED9"/>
      </left>
      <right style="thin">
        <color rgb="FFC8CED9"/>
      </right>
      <top style="thin">
        <color rgb="FFC8CED9"/>
      </top>
      <bottom style="thin">
        <color rgb="FFC8CE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true" indent="0" shrinkToFit="false" readingOrder="2"/>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7" fontId="11"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5" fontId="12" fillId="0" borderId="1" xfId="0" applyFont="true" applyBorder="true" applyAlignment="true" applyProtection="false">
      <alignment horizontal="general" vertical="top" textRotation="0" wrapText="false" indent="0" shrinkToFit="false"/>
      <protection locked="true" hidden="false"/>
    </xf>
    <xf numFmtId="166" fontId="12"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0338D"/>
          <bgColor rgb="FF000000"/>
        </patternFill>
      </fill>
    </dxf>
    <dxf>
      <fill>
        <patternFill patternType="solid">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7F8FA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8CE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F8FA9"/>
      <rgbColor rgb="FF00338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8D"/>
    <pageSetUpPr fitToPage="false"/>
  </sheetPr>
  <dimension ref="A1: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7.3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30" hidden="false" customHeight="true" outlineLevel="0" collapsed="false">
      <c r="A5" s="3" t="s">
        <v>4</v>
      </c>
      <c r="B5" s="4" t="s">
        <v>5</v>
      </c>
    </row>
    <row r="6" customFormat="false" ht="45" hidden="false" customHeight="true" outlineLevel="0" collapsed="false">
      <c r="A6" s="3" t="s">
        <v>6</v>
      </c>
      <c r="B6" s="4" t="s">
        <v>7</v>
      </c>
    </row>
    <row r="7" customFormat="false" ht="30" hidden="false" customHeight="true" outlineLevel="0" collapsed="false">
      <c r="A7" s="3" t="s">
        <v>8</v>
      </c>
      <c r="B7" s="4" t="s">
        <v>9</v>
      </c>
    </row>
    <row r="8" customFormat="false" ht="60" hidden="false" customHeight="true" outlineLevel="0" collapsed="false">
      <c r="A8" s="3" t="s">
        <v>10</v>
      </c>
      <c r="B8" s="4" t="s">
        <v>11</v>
      </c>
    </row>
    <row r="9" customFormat="false" ht="45" hidden="false" customHeight="true" outlineLevel="0" collapsed="false">
      <c r="A9" s="3" t="s">
        <v>12</v>
      </c>
      <c r="B9" s="4" t="s">
        <v>13</v>
      </c>
    </row>
    <row r="10" customFormat="false" ht="60" hidden="false" customHeight="true" outlineLevel="0" collapsed="false">
      <c r="A10" s="3" t="s">
        <v>14</v>
      </c>
      <c r="B10" s="4" t="s">
        <v>15</v>
      </c>
    </row>
    <row r="11" customFormat="false" ht="45" hidden="false" customHeight="true" outlineLevel="0" collapsed="false">
      <c r="A11" s="3" t="s">
        <v>16</v>
      </c>
      <c r="B11" s="4" t="s">
        <v>17</v>
      </c>
    </row>
    <row r="12" customFormat="false" ht="30" hidden="false" customHeight="true" outlineLevel="0" collapsed="false">
      <c r="A12" s="3" t="s">
        <v>18</v>
      </c>
      <c r="B12" s="4" t="s">
        <v>19</v>
      </c>
    </row>
    <row r="13" customFormat="false" ht="30" hidden="false" customHeight="true" outlineLevel="0" collapsed="false">
      <c r="A13" s="3" t="s">
        <v>20</v>
      </c>
      <c r="B13" s="4" t="s">
        <v>21</v>
      </c>
    </row>
    <row r="15" customFormat="false" ht="15" hidden="false" customHeight="false" outlineLevel="0" collapsed="false">
      <c r="A15" s="5" t="s">
        <v>22</v>
      </c>
    </row>
    <row r="16" customFormat="false" ht="15" hidden="false" customHeight="false" outlineLevel="0" collapsed="false">
      <c r="B16" s="6" t="s">
        <v>23</v>
      </c>
    </row>
    <row r="17" customFormat="false" ht="15" hidden="false" customHeight="false" outlineLevel="0" collapsed="false">
      <c r="B17" s="6" t="s">
        <v>24</v>
      </c>
    </row>
    <row r="18" customFormat="false" ht="15" hidden="false" customHeight="false" outlineLevel="0" collapsed="false">
      <c r="B18" s="6" t="s">
        <v>25</v>
      </c>
    </row>
    <row r="19" customFormat="false" ht="15" hidden="false" customHeight="false" outlineLevel="0" collapsed="false">
      <c r="B19" s="6" t="s">
        <v>26</v>
      </c>
    </row>
    <row r="20" customFormat="false" ht="15" hidden="false" customHeight="false" outlineLevel="0" collapsed="false">
      <c r="B20" s="6"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8D"/>
    <pageSetUpPr fitToPage="false"/>
  </sheetPr>
  <dimension ref="A1:T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28"/>
    <col collapsed="false" customWidth="true" hidden="false" outlineLevel="0" max="5" min="4" style="0" width="16"/>
    <col collapsed="false" customWidth="true" hidden="false" outlineLevel="0" max="7" min="6" style="0" width="20"/>
    <col collapsed="false" customWidth="true" hidden="false" outlineLevel="0" max="8" min="8" style="0" width="22"/>
    <col collapsed="false" customWidth="true" hidden="false" outlineLevel="0" max="9" min="9" style="0" width="15"/>
    <col collapsed="false" customWidth="true" hidden="false" outlineLevel="0" max="10" min="10" style="0" width="34"/>
    <col collapsed="false" customWidth="true" hidden="false" outlineLevel="0" max="11" min="11" style="0" width="16"/>
    <col collapsed="false" customWidth="true" hidden="false" outlineLevel="0" max="12" min="12" style="0" width="13"/>
    <col collapsed="false" customWidth="true" hidden="false" outlineLevel="0" max="13" min="13" style="0" width="34"/>
    <col collapsed="false" customWidth="true" hidden="false" outlineLevel="0" max="15" min="14" style="0" width="13"/>
    <col collapsed="false" customWidth="true" hidden="false" outlineLevel="0" max="16" min="16" style="0" width="18"/>
    <col collapsed="false" customWidth="true" hidden="false" outlineLevel="0" max="17" min="17" style="0" width="15"/>
    <col collapsed="false" customWidth="true" hidden="false" outlineLevel="0" max="18" min="18" style="0" width="11"/>
    <col collapsed="false" customWidth="true" hidden="false" outlineLevel="0" max="20" min="19" style="0" width="10"/>
  </cols>
  <sheetData>
    <row r="1" customFormat="false" ht="17.35" hidden="false" customHeight="false" outlineLevel="0" collapsed="false">
      <c r="A1" s="1" t="s">
        <v>28</v>
      </c>
    </row>
    <row r="2" customFormat="false" ht="15" hidden="false" customHeight="false" outlineLevel="0" collapsed="false">
      <c r="A2" s="2" t="s">
        <v>29</v>
      </c>
    </row>
    <row r="4" customFormat="false" ht="33.75" hidden="false" customHeight="true" outlineLevel="0" collapsed="false">
      <c r="A4" s="7" t="s">
        <v>30</v>
      </c>
      <c r="B4" s="7" t="s">
        <v>31</v>
      </c>
      <c r="C4" s="7" t="s">
        <v>32</v>
      </c>
      <c r="D4" s="7" t="s">
        <v>33</v>
      </c>
      <c r="E4" s="7" t="s">
        <v>34</v>
      </c>
      <c r="F4" s="7" t="s">
        <v>35</v>
      </c>
      <c r="G4" s="7" t="s">
        <v>36</v>
      </c>
      <c r="H4" s="7" t="s">
        <v>37</v>
      </c>
      <c r="I4" s="7" t="s">
        <v>38</v>
      </c>
      <c r="J4" s="7" t="s">
        <v>39</v>
      </c>
      <c r="K4" s="7" t="s">
        <v>40</v>
      </c>
      <c r="L4" s="7" t="s">
        <v>41</v>
      </c>
      <c r="M4" s="7" t="s">
        <v>42</v>
      </c>
      <c r="N4" s="7" t="s">
        <v>43</v>
      </c>
      <c r="O4" s="7" t="s">
        <v>44</v>
      </c>
      <c r="P4" s="7" t="s">
        <v>45</v>
      </c>
      <c r="Q4" s="7" t="s">
        <v>46</v>
      </c>
      <c r="R4" s="8" t="s">
        <v>47</v>
      </c>
      <c r="S4" s="8" t="s">
        <v>48</v>
      </c>
      <c r="T4" s="8" t="s">
        <v>49</v>
      </c>
    </row>
    <row r="5" customFormat="false" ht="23.85" hidden="false" customHeight="false" outlineLevel="0" collapsed="false">
      <c r="A5" s="9" t="s">
        <v>50</v>
      </c>
      <c r="B5" s="10" t="n">
        <v>46300</v>
      </c>
      <c r="C5" s="9" t="s">
        <v>51</v>
      </c>
      <c r="D5" s="9" t="s">
        <v>52</v>
      </c>
      <c r="E5" s="9" t="s">
        <v>53</v>
      </c>
      <c r="F5" s="9" t="s">
        <v>54</v>
      </c>
      <c r="G5" s="9" t="s">
        <v>55</v>
      </c>
      <c r="H5" s="9" t="s">
        <v>56</v>
      </c>
      <c r="I5" s="11" t="n">
        <v>48500</v>
      </c>
      <c r="J5" s="12" t="s">
        <v>57</v>
      </c>
      <c r="K5" s="9" t="s">
        <v>58</v>
      </c>
      <c r="L5" s="10" t="n">
        <v>46303</v>
      </c>
      <c r="M5" s="12" t="s">
        <v>59</v>
      </c>
      <c r="N5" s="9" t="s">
        <v>60</v>
      </c>
      <c r="O5" s="10" t="n">
        <v>46307</v>
      </c>
      <c r="P5" s="9" t="s">
        <v>61</v>
      </c>
      <c r="Q5" s="11" t="n">
        <v>48500</v>
      </c>
      <c r="R5" s="13" t="n">
        <f aca="false">IF(AND(B5&lt;&gt;"",L5&lt;&gt;""),L5-B5,"")</f>
        <v>3</v>
      </c>
      <c r="S5" s="13" t="n">
        <f aca="true">IF(B5="","",IF(O5&lt;&gt;"",O5-B5,TODAY()-B5))</f>
        <v>7</v>
      </c>
      <c r="T5" s="13" t="n">
        <f aca="false">IF(A5="","",SUMIF('Time Log'!$C$5:$C$1004,A5,'Time Log'!$E$5:$E$1004))</f>
        <v>1.5</v>
      </c>
    </row>
    <row r="6" customFormat="false" ht="15" hidden="false" customHeight="false" outlineLevel="0" collapsed="false">
      <c r="A6" s="14"/>
      <c r="B6" s="15"/>
      <c r="C6" s="14"/>
      <c r="D6" s="14"/>
      <c r="E6" s="14"/>
      <c r="F6" s="14"/>
      <c r="G6" s="14"/>
      <c r="H6" s="14"/>
      <c r="I6" s="16"/>
      <c r="J6" s="17"/>
      <c r="K6" s="14"/>
      <c r="L6" s="15"/>
      <c r="M6" s="17"/>
      <c r="N6" s="14"/>
      <c r="O6" s="15"/>
      <c r="P6" s="14"/>
      <c r="Q6" s="16"/>
      <c r="R6" s="13" t="str">
        <f aca="false">IF(AND(B6&lt;&gt;"",L6&lt;&gt;""),L6-B6,"")</f>
        <v/>
      </c>
      <c r="S6" s="13" t="str">
        <f aca="true">IF(B6="","",IF(O6&lt;&gt;"",O6-B6,TODAY()-B6))</f>
        <v/>
      </c>
      <c r="T6" s="13" t="str">
        <f aca="false">IF(A6="","",SUMIF('Time Log'!$C$5:$C$1004,A6,'Time Log'!$E$5:$E$1004))</f>
        <v/>
      </c>
    </row>
    <row r="7" customFormat="false" ht="15" hidden="false" customHeight="false" outlineLevel="0" collapsed="false">
      <c r="A7" s="14"/>
      <c r="B7" s="15"/>
      <c r="C7" s="14"/>
      <c r="D7" s="14"/>
      <c r="E7" s="14"/>
      <c r="F7" s="14"/>
      <c r="G7" s="14"/>
      <c r="H7" s="14"/>
      <c r="I7" s="16"/>
      <c r="J7" s="17"/>
      <c r="K7" s="14"/>
      <c r="L7" s="15"/>
      <c r="M7" s="17"/>
      <c r="N7" s="14"/>
      <c r="O7" s="15"/>
      <c r="P7" s="14"/>
      <c r="Q7" s="16"/>
      <c r="R7" s="13" t="str">
        <f aca="false">IF(AND(B7&lt;&gt;"",L7&lt;&gt;""),L7-B7,"")</f>
        <v/>
      </c>
      <c r="S7" s="13" t="str">
        <f aca="true">IF(B7="","",IF(O7&lt;&gt;"",O7-B7,TODAY()-B7))</f>
        <v/>
      </c>
      <c r="T7" s="13" t="str">
        <f aca="false">IF(A7="","",SUMIF('Time Log'!$C$5:$C$1004,A7,'Time Log'!$E$5:$E$1004))</f>
        <v/>
      </c>
    </row>
    <row r="8" customFormat="false" ht="15" hidden="false" customHeight="false" outlineLevel="0" collapsed="false">
      <c r="A8" s="14"/>
      <c r="B8" s="15"/>
      <c r="C8" s="14"/>
      <c r="D8" s="14"/>
      <c r="E8" s="14"/>
      <c r="F8" s="14"/>
      <c r="G8" s="14"/>
      <c r="H8" s="14"/>
      <c r="I8" s="16"/>
      <c r="J8" s="17"/>
      <c r="K8" s="14"/>
      <c r="L8" s="15"/>
      <c r="M8" s="17"/>
      <c r="N8" s="14"/>
      <c r="O8" s="15"/>
      <c r="P8" s="14"/>
      <c r="Q8" s="16"/>
      <c r="R8" s="13" t="str">
        <f aca="false">IF(AND(B8&lt;&gt;"",L8&lt;&gt;""),L8-B8,"")</f>
        <v/>
      </c>
      <c r="S8" s="13" t="str">
        <f aca="true">IF(B8="","",IF(O8&lt;&gt;"",O8-B8,TODAY()-B8))</f>
        <v/>
      </c>
      <c r="T8" s="13" t="str">
        <f aca="false">IF(A8="","",SUMIF('Time Log'!$C$5:$C$1004,A8,'Time Log'!$E$5:$E$1004))</f>
        <v/>
      </c>
    </row>
    <row r="9" customFormat="false" ht="15" hidden="false" customHeight="false" outlineLevel="0" collapsed="false">
      <c r="A9" s="14"/>
      <c r="B9" s="15"/>
      <c r="C9" s="14"/>
      <c r="D9" s="14"/>
      <c r="E9" s="14"/>
      <c r="F9" s="14"/>
      <c r="G9" s="14"/>
      <c r="H9" s="14"/>
      <c r="I9" s="16"/>
      <c r="J9" s="17"/>
      <c r="K9" s="14"/>
      <c r="L9" s="15"/>
      <c r="M9" s="17"/>
      <c r="N9" s="14"/>
      <c r="O9" s="15"/>
      <c r="P9" s="14"/>
      <c r="Q9" s="16"/>
      <c r="R9" s="13" t="str">
        <f aca="false">IF(AND(B9&lt;&gt;"",L9&lt;&gt;""),L9-B9,"")</f>
        <v/>
      </c>
      <c r="S9" s="13" t="str">
        <f aca="true">IF(B9="","",IF(O9&lt;&gt;"",O9-B9,TODAY()-B9))</f>
        <v/>
      </c>
      <c r="T9" s="13" t="str">
        <f aca="false">IF(A9="","",SUMIF('Time Log'!$C$5:$C$1004,A9,'Time Log'!$E$5:$E$1004))</f>
        <v/>
      </c>
    </row>
    <row r="10" customFormat="false" ht="15" hidden="false" customHeight="false" outlineLevel="0" collapsed="false">
      <c r="A10" s="14"/>
      <c r="B10" s="15"/>
      <c r="C10" s="14"/>
      <c r="D10" s="14"/>
      <c r="E10" s="14"/>
      <c r="F10" s="14"/>
      <c r="G10" s="14"/>
      <c r="H10" s="14"/>
      <c r="I10" s="16"/>
      <c r="J10" s="17"/>
      <c r="K10" s="14"/>
      <c r="L10" s="15"/>
      <c r="M10" s="17"/>
      <c r="N10" s="14"/>
      <c r="O10" s="15"/>
      <c r="P10" s="14"/>
      <c r="Q10" s="16"/>
      <c r="R10" s="13" t="str">
        <f aca="false">IF(AND(B10&lt;&gt;"",L10&lt;&gt;""),L10-B10,"")</f>
        <v/>
      </c>
      <c r="S10" s="13" t="str">
        <f aca="true">IF(B10="","",IF(O10&lt;&gt;"",O10-B10,TODAY()-B10))</f>
        <v/>
      </c>
      <c r="T10" s="13" t="str">
        <f aca="false">IF(A10="","",SUMIF('Time Log'!$C$5:$C$1004,A10,'Time Log'!$E$5:$E$1004))</f>
        <v/>
      </c>
    </row>
    <row r="11" customFormat="false" ht="15" hidden="false" customHeight="false" outlineLevel="0" collapsed="false">
      <c r="A11" s="14"/>
      <c r="B11" s="15"/>
      <c r="C11" s="14"/>
      <c r="D11" s="14"/>
      <c r="E11" s="14"/>
      <c r="F11" s="14"/>
      <c r="G11" s="14"/>
      <c r="H11" s="14"/>
      <c r="I11" s="16"/>
      <c r="J11" s="17"/>
      <c r="K11" s="14"/>
      <c r="L11" s="15"/>
      <c r="M11" s="17"/>
      <c r="N11" s="14"/>
      <c r="O11" s="15"/>
      <c r="P11" s="14"/>
      <c r="Q11" s="16"/>
      <c r="R11" s="13" t="str">
        <f aca="false">IF(AND(B11&lt;&gt;"",L11&lt;&gt;""),L11-B11,"")</f>
        <v/>
      </c>
      <c r="S11" s="13" t="str">
        <f aca="true">IF(B11="","",IF(O11&lt;&gt;"",O11-B11,TODAY()-B11))</f>
        <v/>
      </c>
      <c r="T11" s="13" t="str">
        <f aca="false">IF(A11="","",SUMIF('Time Log'!$C$5:$C$1004,A11,'Time Log'!$E$5:$E$1004))</f>
        <v/>
      </c>
    </row>
    <row r="12" customFormat="false" ht="15" hidden="false" customHeight="false" outlineLevel="0" collapsed="false">
      <c r="A12" s="14"/>
      <c r="B12" s="15"/>
      <c r="C12" s="14"/>
      <c r="D12" s="14"/>
      <c r="E12" s="14"/>
      <c r="F12" s="14"/>
      <c r="G12" s="14"/>
      <c r="H12" s="14"/>
      <c r="I12" s="16"/>
      <c r="J12" s="17"/>
      <c r="K12" s="14"/>
      <c r="L12" s="15"/>
      <c r="M12" s="17"/>
      <c r="N12" s="14"/>
      <c r="O12" s="15"/>
      <c r="P12" s="14"/>
      <c r="Q12" s="16"/>
      <c r="R12" s="13" t="str">
        <f aca="false">IF(AND(B12&lt;&gt;"",L12&lt;&gt;""),L12-B12,"")</f>
        <v/>
      </c>
      <c r="S12" s="13" t="str">
        <f aca="true">IF(B12="","",IF(O12&lt;&gt;"",O12-B12,TODAY()-B12))</f>
        <v/>
      </c>
      <c r="T12" s="13" t="str">
        <f aca="false">IF(A12="","",SUMIF('Time Log'!$C$5:$C$1004,A12,'Time Log'!$E$5:$E$1004))</f>
        <v/>
      </c>
    </row>
    <row r="13" customFormat="false" ht="15" hidden="false" customHeight="false" outlineLevel="0" collapsed="false">
      <c r="A13" s="14"/>
      <c r="B13" s="15"/>
      <c r="C13" s="14"/>
      <c r="D13" s="14"/>
      <c r="E13" s="14"/>
      <c r="F13" s="14"/>
      <c r="G13" s="14"/>
      <c r="H13" s="14"/>
      <c r="I13" s="16"/>
      <c r="J13" s="17"/>
      <c r="K13" s="14"/>
      <c r="L13" s="15"/>
      <c r="M13" s="17"/>
      <c r="N13" s="14"/>
      <c r="O13" s="15"/>
      <c r="P13" s="14"/>
      <c r="Q13" s="16"/>
      <c r="R13" s="13" t="str">
        <f aca="false">IF(AND(B13&lt;&gt;"",L13&lt;&gt;""),L13-B13,"")</f>
        <v/>
      </c>
      <c r="S13" s="13" t="str">
        <f aca="true">IF(B13="","",IF(O13&lt;&gt;"",O13-B13,TODAY()-B13))</f>
        <v/>
      </c>
      <c r="T13" s="13" t="str">
        <f aca="false">IF(A13="","",SUMIF('Time Log'!$C$5:$C$1004,A13,'Time Log'!$E$5:$E$1004))</f>
        <v/>
      </c>
    </row>
    <row r="14" customFormat="false" ht="15" hidden="false" customHeight="false" outlineLevel="0" collapsed="false">
      <c r="A14" s="14"/>
      <c r="B14" s="15"/>
      <c r="C14" s="14"/>
      <c r="D14" s="14"/>
      <c r="E14" s="14"/>
      <c r="F14" s="14"/>
      <c r="G14" s="14"/>
      <c r="H14" s="14"/>
      <c r="I14" s="16"/>
      <c r="J14" s="17"/>
      <c r="K14" s="14"/>
      <c r="L14" s="15"/>
      <c r="M14" s="17"/>
      <c r="N14" s="14"/>
      <c r="O14" s="15"/>
      <c r="P14" s="14"/>
      <c r="Q14" s="16"/>
      <c r="R14" s="13" t="str">
        <f aca="false">IF(AND(B14&lt;&gt;"",L14&lt;&gt;""),L14-B14,"")</f>
        <v/>
      </c>
      <c r="S14" s="13" t="str">
        <f aca="true">IF(B14="","",IF(O14&lt;&gt;"",O14-B14,TODAY()-B14))</f>
        <v/>
      </c>
      <c r="T14" s="13" t="str">
        <f aca="false">IF(A14="","",SUMIF('Time Log'!$C$5:$C$1004,A14,'Time Log'!$E$5:$E$1004))</f>
        <v/>
      </c>
    </row>
    <row r="15" customFormat="false" ht="15" hidden="false" customHeight="false" outlineLevel="0" collapsed="false">
      <c r="A15" s="14"/>
      <c r="B15" s="15"/>
      <c r="C15" s="14"/>
      <c r="D15" s="14"/>
      <c r="E15" s="14"/>
      <c r="F15" s="14"/>
      <c r="G15" s="14"/>
      <c r="H15" s="14"/>
      <c r="I15" s="16"/>
      <c r="J15" s="17"/>
      <c r="K15" s="14"/>
      <c r="L15" s="15"/>
      <c r="M15" s="17"/>
      <c r="N15" s="14"/>
      <c r="O15" s="15"/>
      <c r="P15" s="14"/>
      <c r="Q15" s="16"/>
      <c r="R15" s="13" t="str">
        <f aca="false">IF(AND(B15&lt;&gt;"",L15&lt;&gt;""),L15-B15,"")</f>
        <v/>
      </c>
      <c r="S15" s="13" t="str">
        <f aca="true">IF(B15="","",IF(O15&lt;&gt;"",O15-B15,TODAY()-B15))</f>
        <v/>
      </c>
      <c r="T15" s="13" t="str">
        <f aca="false">IF(A15="","",SUMIF('Time Log'!$C$5:$C$1004,A15,'Time Log'!$E$5:$E$1004))</f>
        <v/>
      </c>
    </row>
    <row r="16" customFormat="false" ht="15" hidden="false" customHeight="false" outlineLevel="0" collapsed="false">
      <c r="A16" s="14"/>
      <c r="B16" s="15"/>
      <c r="C16" s="14"/>
      <c r="D16" s="14"/>
      <c r="E16" s="14"/>
      <c r="F16" s="14"/>
      <c r="G16" s="14"/>
      <c r="H16" s="14"/>
      <c r="I16" s="16"/>
      <c r="J16" s="17"/>
      <c r="K16" s="14"/>
      <c r="L16" s="15"/>
      <c r="M16" s="17"/>
      <c r="N16" s="14"/>
      <c r="O16" s="15"/>
      <c r="P16" s="14"/>
      <c r="Q16" s="16"/>
      <c r="R16" s="13" t="str">
        <f aca="false">IF(AND(B16&lt;&gt;"",L16&lt;&gt;""),L16-B16,"")</f>
        <v/>
      </c>
      <c r="S16" s="13" t="str">
        <f aca="true">IF(B16="","",IF(O16&lt;&gt;"",O16-B16,TODAY()-B16))</f>
        <v/>
      </c>
      <c r="T16" s="13" t="str">
        <f aca="false">IF(A16="","",SUMIF('Time Log'!$C$5:$C$1004,A16,'Time Log'!$E$5:$E$1004))</f>
        <v/>
      </c>
    </row>
    <row r="17" customFormat="false" ht="15" hidden="false" customHeight="false" outlineLevel="0" collapsed="false">
      <c r="A17" s="14"/>
      <c r="B17" s="15"/>
      <c r="C17" s="14"/>
      <c r="D17" s="14"/>
      <c r="E17" s="14"/>
      <c r="F17" s="14"/>
      <c r="G17" s="14"/>
      <c r="H17" s="14"/>
      <c r="I17" s="16"/>
      <c r="J17" s="17"/>
      <c r="K17" s="14"/>
      <c r="L17" s="15"/>
      <c r="M17" s="17"/>
      <c r="N17" s="14"/>
      <c r="O17" s="15"/>
      <c r="P17" s="14"/>
      <c r="Q17" s="16"/>
      <c r="R17" s="13" t="str">
        <f aca="false">IF(AND(B17&lt;&gt;"",L17&lt;&gt;""),L17-B17,"")</f>
        <v/>
      </c>
      <c r="S17" s="13" t="str">
        <f aca="true">IF(B17="","",IF(O17&lt;&gt;"",O17-B17,TODAY()-B17))</f>
        <v/>
      </c>
      <c r="T17" s="13" t="str">
        <f aca="false">IF(A17="","",SUMIF('Time Log'!$C$5:$C$1004,A17,'Time Log'!$E$5:$E$1004))</f>
        <v/>
      </c>
    </row>
    <row r="18" customFormat="false" ht="15" hidden="false" customHeight="false" outlineLevel="0" collapsed="false">
      <c r="A18" s="14"/>
      <c r="B18" s="15"/>
      <c r="C18" s="14"/>
      <c r="D18" s="14"/>
      <c r="E18" s="14"/>
      <c r="F18" s="14"/>
      <c r="G18" s="14"/>
      <c r="H18" s="14"/>
      <c r="I18" s="16"/>
      <c r="J18" s="17"/>
      <c r="K18" s="14"/>
      <c r="L18" s="15"/>
      <c r="M18" s="17"/>
      <c r="N18" s="14"/>
      <c r="O18" s="15"/>
      <c r="P18" s="14"/>
      <c r="Q18" s="16"/>
      <c r="R18" s="13" t="str">
        <f aca="false">IF(AND(B18&lt;&gt;"",L18&lt;&gt;""),L18-B18,"")</f>
        <v/>
      </c>
      <c r="S18" s="13" t="str">
        <f aca="true">IF(B18="","",IF(O18&lt;&gt;"",O18-B18,TODAY()-B18))</f>
        <v/>
      </c>
      <c r="T18" s="13" t="str">
        <f aca="false">IF(A18="","",SUMIF('Time Log'!$C$5:$C$1004,A18,'Time Log'!$E$5:$E$1004))</f>
        <v/>
      </c>
    </row>
    <row r="19" customFormat="false" ht="15" hidden="false" customHeight="false" outlineLevel="0" collapsed="false">
      <c r="A19" s="14"/>
      <c r="B19" s="15"/>
      <c r="C19" s="14"/>
      <c r="D19" s="14"/>
      <c r="E19" s="14"/>
      <c r="F19" s="14"/>
      <c r="G19" s="14"/>
      <c r="H19" s="14"/>
      <c r="I19" s="16"/>
      <c r="J19" s="17"/>
      <c r="K19" s="14"/>
      <c r="L19" s="15"/>
      <c r="M19" s="17"/>
      <c r="N19" s="14"/>
      <c r="O19" s="15"/>
      <c r="P19" s="14"/>
      <c r="Q19" s="16"/>
      <c r="R19" s="13" t="str">
        <f aca="false">IF(AND(B19&lt;&gt;"",L19&lt;&gt;""),L19-B19,"")</f>
        <v/>
      </c>
      <c r="S19" s="13" t="str">
        <f aca="true">IF(B19="","",IF(O19&lt;&gt;"",O19-B19,TODAY()-B19))</f>
        <v/>
      </c>
      <c r="T19" s="13" t="str">
        <f aca="false">IF(A19="","",SUMIF('Time Log'!$C$5:$C$1004,A19,'Time Log'!$E$5:$E$1004))</f>
        <v/>
      </c>
    </row>
    <row r="20" customFormat="false" ht="15" hidden="false" customHeight="false" outlineLevel="0" collapsed="false">
      <c r="A20" s="14"/>
      <c r="B20" s="15"/>
      <c r="C20" s="14"/>
      <c r="D20" s="14"/>
      <c r="E20" s="14"/>
      <c r="F20" s="14"/>
      <c r="G20" s="14"/>
      <c r="H20" s="14"/>
      <c r="I20" s="16"/>
      <c r="J20" s="17"/>
      <c r="K20" s="14"/>
      <c r="L20" s="15"/>
      <c r="M20" s="17"/>
      <c r="N20" s="14"/>
      <c r="O20" s="15"/>
      <c r="P20" s="14"/>
      <c r="Q20" s="16"/>
      <c r="R20" s="13" t="str">
        <f aca="false">IF(AND(B20&lt;&gt;"",L20&lt;&gt;""),L20-B20,"")</f>
        <v/>
      </c>
      <c r="S20" s="13" t="str">
        <f aca="true">IF(B20="","",IF(O20&lt;&gt;"",O20-B20,TODAY()-B20))</f>
        <v/>
      </c>
      <c r="T20" s="13" t="str">
        <f aca="false">IF(A20="","",SUMIF('Time Log'!$C$5:$C$1004,A20,'Time Log'!$E$5:$E$1004))</f>
        <v/>
      </c>
    </row>
    <row r="21" customFormat="false" ht="15" hidden="false" customHeight="false" outlineLevel="0" collapsed="false">
      <c r="A21" s="14"/>
      <c r="B21" s="15"/>
      <c r="C21" s="14"/>
      <c r="D21" s="14"/>
      <c r="E21" s="14"/>
      <c r="F21" s="14"/>
      <c r="G21" s="14"/>
      <c r="H21" s="14"/>
      <c r="I21" s="16"/>
      <c r="J21" s="17"/>
      <c r="K21" s="14"/>
      <c r="L21" s="15"/>
      <c r="M21" s="17"/>
      <c r="N21" s="14"/>
      <c r="O21" s="15"/>
      <c r="P21" s="14"/>
      <c r="Q21" s="16"/>
      <c r="R21" s="13" t="str">
        <f aca="false">IF(AND(B21&lt;&gt;"",L21&lt;&gt;""),L21-B21,"")</f>
        <v/>
      </c>
      <c r="S21" s="13" t="str">
        <f aca="true">IF(B21="","",IF(O21&lt;&gt;"",O21-B21,TODAY()-B21))</f>
        <v/>
      </c>
      <c r="T21" s="13" t="str">
        <f aca="false">IF(A21="","",SUMIF('Time Log'!$C$5:$C$1004,A21,'Time Log'!$E$5:$E$1004))</f>
        <v/>
      </c>
    </row>
    <row r="22" customFormat="false" ht="15" hidden="false" customHeight="false" outlineLevel="0" collapsed="false">
      <c r="A22" s="14"/>
      <c r="B22" s="15"/>
      <c r="C22" s="14"/>
      <c r="D22" s="14"/>
      <c r="E22" s="14"/>
      <c r="F22" s="14"/>
      <c r="G22" s="14"/>
      <c r="H22" s="14"/>
      <c r="I22" s="16"/>
      <c r="J22" s="17"/>
      <c r="K22" s="14"/>
      <c r="L22" s="15"/>
      <c r="M22" s="17"/>
      <c r="N22" s="14"/>
      <c r="O22" s="15"/>
      <c r="P22" s="14"/>
      <c r="Q22" s="16"/>
      <c r="R22" s="13" t="str">
        <f aca="false">IF(AND(B22&lt;&gt;"",L22&lt;&gt;""),L22-B22,"")</f>
        <v/>
      </c>
      <c r="S22" s="13" t="str">
        <f aca="true">IF(B22="","",IF(O22&lt;&gt;"",O22-B22,TODAY()-B22))</f>
        <v/>
      </c>
      <c r="T22" s="13" t="str">
        <f aca="false">IF(A22="","",SUMIF('Time Log'!$C$5:$C$1004,A22,'Time Log'!$E$5:$E$1004))</f>
        <v/>
      </c>
    </row>
    <row r="23" customFormat="false" ht="15" hidden="false" customHeight="false" outlineLevel="0" collapsed="false">
      <c r="A23" s="14"/>
      <c r="B23" s="15"/>
      <c r="C23" s="14"/>
      <c r="D23" s="14"/>
      <c r="E23" s="14"/>
      <c r="F23" s="14"/>
      <c r="G23" s="14"/>
      <c r="H23" s="14"/>
      <c r="I23" s="16"/>
      <c r="J23" s="17"/>
      <c r="K23" s="14"/>
      <c r="L23" s="15"/>
      <c r="M23" s="17"/>
      <c r="N23" s="14"/>
      <c r="O23" s="15"/>
      <c r="P23" s="14"/>
      <c r="Q23" s="16"/>
      <c r="R23" s="13" t="str">
        <f aca="false">IF(AND(B23&lt;&gt;"",L23&lt;&gt;""),L23-B23,"")</f>
        <v/>
      </c>
      <c r="S23" s="13" t="str">
        <f aca="true">IF(B23="","",IF(O23&lt;&gt;"",O23-B23,TODAY()-B23))</f>
        <v/>
      </c>
      <c r="T23" s="13" t="str">
        <f aca="false">IF(A23="","",SUMIF('Time Log'!$C$5:$C$1004,A23,'Time Log'!$E$5:$E$1004))</f>
        <v/>
      </c>
    </row>
    <row r="24" customFormat="false" ht="15" hidden="false" customHeight="false" outlineLevel="0" collapsed="false">
      <c r="A24" s="14"/>
      <c r="B24" s="15"/>
      <c r="C24" s="14"/>
      <c r="D24" s="14"/>
      <c r="E24" s="14"/>
      <c r="F24" s="14"/>
      <c r="G24" s="14"/>
      <c r="H24" s="14"/>
      <c r="I24" s="16"/>
      <c r="J24" s="17"/>
      <c r="K24" s="14"/>
      <c r="L24" s="15"/>
      <c r="M24" s="17"/>
      <c r="N24" s="14"/>
      <c r="O24" s="15"/>
      <c r="P24" s="14"/>
      <c r="Q24" s="16"/>
      <c r="R24" s="13" t="str">
        <f aca="false">IF(AND(B24&lt;&gt;"",L24&lt;&gt;""),L24-B24,"")</f>
        <v/>
      </c>
      <c r="S24" s="13" t="str">
        <f aca="true">IF(B24="","",IF(O24&lt;&gt;"",O24-B24,TODAY()-B24))</f>
        <v/>
      </c>
      <c r="T24" s="13" t="str">
        <f aca="false">IF(A24="","",SUMIF('Time Log'!$C$5:$C$1004,A24,'Time Log'!$E$5:$E$1004))</f>
        <v/>
      </c>
    </row>
    <row r="25" customFormat="false" ht="15" hidden="false" customHeight="false" outlineLevel="0" collapsed="false">
      <c r="A25" s="14"/>
      <c r="B25" s="15"/>
      <c r="C25" s="14"/>
      <c r="D25" s="14"/>
      <c r="E25" s="14"/>
      <c r="F25" s="14"/>
      <c r="G25" s="14"/>
      <c r="H25" s="14"/>
      <c r="I25" s="16"/>
      <c r="J25" s="17"/>
      <c r="K25" s="14"/>
      <c r="L25" s="15"/>
      <c r="M25" s="17"/>
      <c r="N25" s="14"/>
      <c r="O25" s="15"/>
      <c r="P25" s="14"/>
      <c r="Q25" s="16"/>
      <c r="R25" s="13" t="str">
        <f aca="false">IF(AND(B25&lt;&gt;"",L25&lt;&gt;""),L25-B25,"")</f>
        <v/>
      </c>
      <c r="S25" s="13" t="str">
        <f aca="true">IF(B25="","",IF(O25&lt;&gt;"",O25-B25,TODAY()-B25))</f>
        <v/>
      </c>
      <c r="T25" s="13" t="str">
        <f aca="false">IF(A25="","",SUMIF('Time Log'!$C$5:$C$1004,A25,'Time Log'!$E$5:$E$1004))</f>
        <v/>
      </c>
    </row>
    <row r="26" customFormat="false" ht="15" hidden="false" customHeight="false" outlineLevel="0" collapsed="false">
      <c r="A26" s="14"/>
      <c r="B26" s="15"/>
      <c r="C26" s="14"/>
      <c r="D26" s="14"/>
      <c r="E26" s="14"/>
      <c r="F26" s="14"/>
      <c r="G26" s="14"/>
      <c r="H26" s="14"/>
      <c r="I26" s="16"/>
      <c r="J26" s="17"/>
      <c r="K26" s="14"/>
      <c r="L26" s="15"/>
      <c r="M26" s="17"/>
      <c r="N26" s="14"/>
      <c r="O26" s="15"/>
      <c r="P26" s="14"/>
      <c r="Q26" s="16"/>
      <c r="R26" s="13" t="str">
        <f aca="false">IF(AND(B26&lt;&gt;"",L26&lt;&gt;""),L26-B26,"")</f>
        <v/>
      </c>
      <c r="S26" s="13" t="str">
        <f aca="true">IF(B26="","",IF(O26&lt;&gt;"",O26-B26,TODAY()-B26))</f>
        <v/>
      </c>
      <c r="T26" s="13" t="str">
        <f aca="false">IF(A26="","",SUMIF('Time Log'!$C$5:$C$1004,A26,'Time Log'!$E$5:$E$1004))</f>
        <v/>
      </c>
    </row>
    <row r="27" customFormat="false" ht="15" hidden="false" customHeight="false" outlineLevel="0" collapsed="false">
      <c r="A27" s="14"/>
      <c r="B27" s="15"/>
      <c r="C27" s="14"/>
      <c r="D27" s="14"/>
      <c r="E27" s="14"/>
      <c r="F27" s="14"/>
      <c r="G27" s="14"/>
      <c r="H27" s="14"/>
      <c r="I27" s="16"/>
      <c r="J27" s="17"/>
      <c r="K27" s="14"/>
      <c r="L27" s="15"/>
      <c r="M27" s="17"/>
      <c r="N27" s="14"/>
      <c r="O27" s="15"/>
      <c r="P27" s="14"/>
      <c r="Q27" s="16"/>
      <c r="R27" s="13" t="str">
        <f aca="false">IF(AND(B27&lt;&gt;"",L27&lt;&gt;""),L27-B27,"")</f>
        <v/>
      </c>
      <c r="S27" s="13" t="str">
        <f aca="true">IF(B27="","",IF(O27&lt;&gt;"",O27-B27,TODAY()-B27))</f>
        <v/>
      </c>
      <c r="T27" s="13" t="str">
        <f aca="false">IF(A27="","",SUMIF('Time Log'!$C$5:$C$1004,A27,'Time Log'!$E$5:$E$1004))</f>
        <v/>
      </c>
    </row>
    <row r="28" customFormat="false" ht="15" hidden="false" customHeight="false" outlineLevel="0" collapsed="false">
      <c r="A28" s="14"/>
      <c r="B28" s="15"/>
      <c r="C28" s="14"/>
      <c r="D28" s="14"/>
      <c r="E28" s="14"/>
      <c r="F28" s="14"/>
      <c r="G28" s="14"/>
      <c r="H28" s="14"/>
      <c r="I28" s="16"/>
      <c r="J28" s="17"/>
      <c r="K28" s="14"/>
      <c r="L28" s="15"/>
      <c r="M28" s="17"/>
      <c r="N28" s="14"/>
      <c r="O28" s="15"/>
      <c r="P28" s="14"/>
      <c r="Q28" s="16"/>
      <c r="R28" s="13" t="str">
        <f aca="false">IF(AND(B28&lt;&gt;"",L28&lt;&gt;""),L28-B28,"")</f>
        <v/>
      </c>
      <c r="S28" s="13" t="str">
        <f aca="true">IF(B28="","",IF(O28&lt;&gt;"",O28-B28,TODAY()-B28))</f>
        <v/>
      </c>
      <c r="T28" s="13" t="str">
        <f aca="false">IF(A28="","",SUMIF('Time Log'!$C$5:$C$1004,A28,'Time Log'!$E$5:$E$1004))</f>
        <v/>
      </c>
    </row>
    <row r="29" customFormat="false" ht="15" hidden="false" customHeight="false" outlineLevel="0" collapsed="false">
      <c r="A29" s="14"/>
      <c r="B29" s="15"/>
      <c r="C29" s="14"/>
      <c r="D29" s="14"/>
      <c r="E29" s="14"/>
      <c r="F29" s="14"/>
      <c r="G29" s="14"/>
      <c r="H29" s="14"/>
      <c r="I29" s="16"/>
      <c r="J29" s="17"/>
      <c r="K29" s="14"/>
      <c r="L29" s="15"/>
      <c r="M29" s="17"/>
      <c r="N29" s="14"/>
      <c r="O29" s="15"/>
      <c r="P29" s="14"/>
      <c r="Q29" s="16"/>
      <c r="R29" s="13" t="str">
        <f aca="false">IF(AND(B29&lt;&gt;"",L29&lt;&gt;""),L29-B29,"")</f>
        <v/>
      </c>
      <c r="S29" s="13" t="str">
        <f aca="true">IF(B29="","",IF(O29&lt;&gt;"",O29-B29,TODAY()-B29))</f>
        <v/>
      </c>
      <c r="T29" s="13" t="str">
        <f aca="false">IF(A29="","",SUMIF('Time Log'!$C$5:$C$1004,A29,'Time Log'!$E$5:$E$1004))</f>
        <v/>
      </c>
    </row>
    <row r="30" customFormat="false" ht="15" hidden="false" customHeight="false" outlineLevel="0" collapsed="false">
      <c r="A30" s="14"/>
      <c r="B30" s="15"/>
      <c r="C30" s="14"/>
      <c r="D30" s="14"/>
      <c r="E30" s="14"/>
      <c r="F30" s="14"/>
      <c r="G30" s="14"/>
      <c r="H30" s="14"/>
      <c r="I30" s="16"/>
      <c r="J30" s="17"/>
      <c r="K30" s="14"/>
      <c r="L30" s="15"/>
      <c r="M30" s="17"/>
      <c r="N30" s="14"/>
      <c r="O30" s="15"/>
      <c r="P30" s="14"/>
      <c r="Q30" s="16"/>
      <c r="R30" s="13" t="str">
        <f aca="false">IF(AND(B30&lt;&gt;"",L30&lt;&gt;""),L30-B30,"")</f>
        <v/>
      </c>
      <c r="S30" s="13" t="str">
        <f aca="true">IF(B30="","",IF(O30&lt;&gt;"",O30-B30,TODAY()-B30))</f>
        <v/>
      </c>
      <c r="T30" s="13" t="str">
        <f aca="false">IF(A30="","",SUMIF('Time Log'!$C$5:$C$1004,A30,'Time Log'!$E$5:$E$1004))</f>
        <v/>
      </c>
    </row>
    <row r="31" customFormat="false" ht="15" hidden="false" customHeight="false" outlineLevel="0" collapsed="false">
      <c r="A31" s="14"/>
      <c r="B31" s="15"/>
      <c r="C31" s="14"/>
      <c r="D31" s="14"/>
      <c r="E31" s="14"/>
      <c r="F31" s="14"/>
      <c r="G31" s="14"/>
      <c r="H31" s="14"/>
      <c r="I31" s="16"/>
      <c r="J31" s="17"/>
      <c r="K31" s="14"/>
      <c r="L31" s="15"/>
      <c r="M31" s="17"/>
      <c r="N31" s="14"/>
      <c r="O31" s="15"/>
      <c r="P31" s="14"/>
      <c r="Q31" s="16"/>
      <c r="R31" s="13" t="str">
        <f aca="false">IF(AND(B31&lt;&gt;"",L31&lt;&gt;""),L31-B31,"")</f>
        <v/>
      </c>
      <c r="S31" s="13" t="str">
        <f aca="true">IF(B31="","",IF(O31&lt;&gt;"",O31-B31,TODAY()-B31))</f>
        <v/>
      </c>
      <c r="T31" s="13" t="str">
        <f aca="false">IF(A31="","",SUMIF('Time Log'!$C$5:$C$1004,A31,'Time Log'!$E$5:$E$1004))</f>
        <v/>
      </c>
    </row>
    <row r="32" customFormat="false" ht="15" hidden="false" customHeight="false" outlineLevel="0" collapsed="false">
      <c r="A32" s="14"/>
      <c r="B32" s="15"/>
      <c r="C32" s="14"/>
      <c r="D32" s="14"/>
      <c r="E32" s="14"/>
      <c r="F32" s="14"/>
      <c r="G32" s="14"/>
      <c r="H32" s="14"/>
      <c r="I32" s="16"/>
      <c r="J32" s="17"/>
      <c r="K32" s="14"/>
      <c r="L32" s="15"/>
      <c r="M32" s="17"/>
      <c r="N32" s="14"/>
      <c r="O32" s="15"/>
      <c r="P32" s="14"/>
      <c r="Q32" s="16"/>
      <c r="R32" s="13" t="str">
        <f aca="false">IF(AND(B32&lt;&gt;"",L32&lt;&gt;""),L32-B32,"")</f>
        <v/>
      </c>
      <c r="S32" s="13" t="str">
        <f aca="true">IF(B32="","",IF(O32&lt;&gt;"",O32-B32,TODAY()-B32))</f>
        <v/>
      </c>
      <c r="T32" s="13" t="str">
        <f aca="false">IF(A32="","",SUMIF('Time Log'!$C$5:$C$1004,A32,'Time Log'!$E$5:$E$1004))</f>
        <v/>
      </c>
    </row>
    <row r="33" customFormat="false" ht="15" hidden="false" customHeight="false" outlineLevel="0" collapsed="false">
      <c r="A33" s="14"/>
      <c r="B33" s="15"/>
      <c r="C33" s="14"/>
      <c r="D33" s="14"/>
      <c r="E33" s="14"/>
      <c r="F33" s="14"/>
      <c r="G33" s="14"/>
      <c r="H33" s="14"/>
      <c r="I33" s="16"/>
      <c r="J33" s="17"/>
      <c r="K33" s="14"/>
      <c r="L33" s="15"/>
      <c r="M33" s="17"/>
      <c r="N33" s="14"/>
      <c r="O33" s="15"/>
      <c r="P33" s="14"/>
      <c r="Q33" s="16"/>
      <c r="R33" s="13" t="str">
        <f aca="false">IF(AND(B33&lt;&gt;"",L33&lt;&gt;""),L33-B33,"")</f>
        <v/>
      </c>
      <c r="S33" s="13" t="str">
        <f aca="true">IF(B33="","",IF(O33&lt;&gt;"",O33-B33,TODAY()-B33))</f>
        <v/>
      </c>
      <c r="T33" s="13" t="str">
        <f aca="false">IF(A33="","",SUMIF('Time Log'!$C$5:$C$1004,A33,'Time Log'!$E$5:$E$1004))</f>
        <v/>
      </c>
    </row>
    <row r="34" customFormat="false" ht="15" hidden="false" customHeight="false" outlineLevel="0" collapsed="false">
      <c r="A34" s="14"/>
      <c r="B34" s="15"/>
      <c r="C34" s="14"/>
      <c r="D34" s="14"/>
      <c r="E34" s="14"/>
      <c r="F34" s="14"/>
      <c r="G34" s="14"/>
      <c r="H34" s="14"/>
      <c r="I34" s="16"/>
      <c r="J34" s="17"/>
      <c r="K34" s="14"/>
      <c r="L34" s="15"/>
      <c r="M34" s="17"/>
      <c r="N34" s="14"/>
      <c r="O34" s="15"/>
      <c r="P34" s="14"/>
      <c r="Q34" s="16"/>
      <c r="R34" s="13" t="str">
        <f aca="false">IF(AND(B34&lt;&gt;"",L34&lt;&gt;""),L34-B34,"")</f>
        <v/>
      </c>
      <c r="S34" s="13" t="str">
        <f aca="true">IF(B34="","",IF(O34&lt;&gt;"",O34-B34,TODAY()-B34))</f>
        <v/>
      </c>
      <c r="T34" s="13" t="str">
        <f aca="false">IF(A34="","",SUMIF('Time Log'!$C$5:$C$1004,A34,'Time Log'!$E$5:$E$1004))</f>
        <v/>
      </c>
    </row>
    <row r="35" customFormat="false" ht="15" hidden="false" customHeight="false" outlineLevel="0" collapsed="false">
      <c r="A35" s="14"/>
      <c r="B35" s="15"/>
      <c r="C35" s="14"/>
      <c r="D35" s="14"/>
      <c r="E35" s="14"/>
      <c r="F35" s="14"/>
      <c r="G35" s="14"/>
      <c r="H35" s="14"/>
      <c r="I35" s="16"/>
      <c r="J35" s="17"/>
      <c r="K35" s="14"/>
      <c r="L35" s="15"/>
      <c r="M35" s="17"/>
      <c r="N35" s="14"/>
      <c r="O35" s="15"/>
      <c r="P35" s="14"/>
      <c r="Q35" s="16"/>
      <c r="R35" s="13" t="str">
        <f aca="false">IF(AND(B35&lt;&gt;"",L35&lt;&gt;""),L35-B35,"")</f>
        <v/>
      </c>
      <c r="S35" s="13" t="str">
        <f aca="true">IF(B35="","",IF(O35&lt;&gt;"",O35-B35,TODAY()-B35))</f>
        <v/>
      </c>
      <c r="T35" s="13" t="str">
        <f aca="false">IF(A35="","",SUMIF('Time Log'!$C$5:$C$1004,A35,'Time Log'!$E$5:$E$1004))</f>
        <v/>
      </c>
    </row>
    <row r="36" customFormat="false" ht="15" hidden="false" customHeight="false" outlineLevel="0" collapsed="false">
      <c r="A36" s="14"/>
      <c r="B36" s="15"/>
      <c r="C36" s="14"/>
      <c r="D36" s="14"/>
      <c r="E36" s="14"/>
      <c r="F36" s="14"/>
      <c r="G36" s="14"/>
      <c r="H36" s="14"/>
      <c r="I36" s="16"/>
      <c r="J36" s="17"/>
      <c r="K36" s="14"/>
      <c r="L36" s="15"/>
      <c r="M36" s="17"/>
      <c r="N36" s="14"/>
      <c r="O36" s="15"/>
      <c r="P36" s="14"/>
      <c r="Q36" s="16"/>
      <c r="R36" s="13" t="str">
        <f aca="false">IF(AND(B36&lt;&gt;"",L36&lt;&gt;""),L36-B36,"")</f>
        <v/>
      </c>
      <c r="S36" s="13" t="str">
        <f aca="true">IF(B36="","",IF(O36&lt;&gt;"",O36-B36,TODAY()-B36))</f>
        <v/>
      </c>
      <c r="T36" s="13" t="str">
        <f aca="false">IF(A36="","",SUMIF('Time Log'!$C$5:$C$1004,A36,'Time Log'!$E$5:$E$1004))</f>
        <v/>
      </c>
    </row>
    <row r="37" customFormat="false" ht="15" hidden="false" customHeight="false" outlineLevel="0" collapsed="false">
      <c r="A37" s="14"/>
      <c r="B37" s="15"/>
      <c r="C37" s="14"/>
      <c r="D37" s="14"/>
      <c r="E37" s="14"/>
      <c r="F37" s="14"/>
      <c r="G37" s="14"/>
      <c r="H37" s="14"/>
      <c r="I37" s="16"/>
      <c r="J37" s="17"/>
      <c r="K37" s="14"/>
      <c r="L37" s="15"/>
      <c r="M37" s="17"/>
      <c r="N37" s="14"/>
      <c r="O37" s="15"/>
      <c r="P37" s="14"/>
      <c r="Q37" s="16"/>
      <c r="R37" s="13" t="str">
        <f aca="false">IF(AND(B37&lt;&gt;"",L37&lt;&gt;""),L37-B37,"")</f>
        <v/>
      </c>
      <c r="S37" s="13" t="str">
        <f aca="true">IF(B37="","",IF(O37&lt;&gt;"",O37-B37,TODAY()-B37))</f>
        <v/>
      </c>
      <c r="T37" s="13" t="str">
        <f aca="false">IF(A37="","",SUMIF('Time Log'!$C$5:$C$1004,A37,'Time Log'!$E$5:$E$1004))</f>
        <v/>
      </c>
    </row>
    <row r="38" customFormat="false" ht="15" hidden="false" customHeight="false" outlineLevel="0" collapsed="false">
      <c r="A38" s="14"/>
      <c r="B38" s="15"/>
      <c r="C38" s="14"/>
      <c r="D38" s="14"/>
      <c r="E38" s="14"/>
      <c r="F38" s="14"/>
      <c r="G38" s="14"/>
      <c r="H38" s="14"/>
      <c r="I38" s="16"/>
      <c r="J38" s="17"/>
      <c r="K38" s="14"/>
      <c r="L38" s="15"/>
      <c r="M38" s="17"/>
      <c r="N38" s="14"/>
      <c r="O38" s="15"/>
      <c r="P38" s="14"/>
      <c r="Q38" s="16"/>
      <c r="R38" s="13" t="str">
        <f aca="false">IF(AND(B38&lt;&gt;"",L38&lt;&gt;""),L38-B38,"")</f>
        <v/>
      </c>
      <c r="S38" s="13" t="str">
        <f aca="true">IF(B38="","",IF(O38&lt;&gt;"",O38-B38,TODAY()-B38))</f>
        <v/>
      </c>
      <c r="T38" s="13" t="str">
        <f aca="false">IF(A38="","",SUMIF('Time Log'!$C$5:$C$1004,A38,'Time Log'!$E$5:$E$1004))</f>
        <v/>
      </c>
    </row>
    <row r="39" customFormat="false" ht="15" hidden="false" customHeight="false" outlineLevel="0" collapsed="false">
      <c r="A39" s="14"/>
      <c r="B39" s="15"/>
      <c r="C39" s="14"/>
      <c r="D39" s="14"/>
      <c r="E39" s="14"/>
      <c r="F39" s="14"/>
      <c r="G39" s="14"/>
      <c r="H39" s="14"/>
      <c r="I39" s="16"/>
      <c r="J39" s="17"/>
      <c r="K39" s="14"/>
      <c r="L39" s="15"/>
      <c r="M39" s="17"/>
      <c r="N39" s="14"/>
      <c r="O39" s="15"/>
      <c r="P39" s="14"/>
      <c r="Q39" s="16"/>
      <c r="R39" s="13" t="str">
        <f aca="false">IF(AND(B39&lt;&gt;"",L39&lt;&gt;""),L39-B39,"")</f>
        <v/>
      </c>
      <c r="S39" s="13" t="str">
        <f aca="true">IF(B39="","",IF(O39&lt;&gt;"",O39-B39,TODAY()-B39))</f>
        <v/>
      </c>
      <c r="T39" s="13" t="str">
        <f aca="false">IF(A39="","",SUMIF('Time Log'!$C$5:$C$1004,A39,'Time Log'!$E$5:$E$1004))</f>
        <v/>
      </c>
    </row>
    <row r="40" customFormat="false" ht="15" hidden="false" customHeight="false" outlineLevel="0" collapsed="false">
      <c r="A40" s="14"/>
      <c r="B40" s="15"/>
      <c r="C40" s="14"/>
      <c r="D40" s="14"/>
      <c r="E40" s="14"/>
      <c r="F40" s="14"/>
      <c r="G40" s="14"/>
      <c r="H40" s="14"/>
      <c r="I40" s="16"/>
      <c r="J40" s="17"/>
      <c r="K40" s="14"/>
      <c r="L40" s="15"/>
      <c r="M40" s="17"/>
      <c r="N40" s="14"/>
      <c r="O40" s="15"/>
      <c r="P40" s="14"/>
      <c r="Q40" s="16"/>
      <c r="R40" s="13" t="str">
        <f aca="false">IF(AND(B40&lt;&gt;"",L40&lt;&gt;""),L40-B40,"")</f>
        <v/>
      </c>
      <c r="S40" s="13" t="str">
        <f aca="true">IF(B40="","",IF(O40&lt;&gt;"",O40-B40,TODAY()-B40))</f>
        <v/>
      </c>
      <c r="T40" s="13" t="str">
        <f aca="false">IF(A40="","",SUMIF('Time Log'!$C$5:$C$1004,A40,'Time Log'!$E$5:$E$1004))</f>
        <v/>
      </c>
    </row>
    <row r="41" customFormat="false" ht="15" hidden="false" customHeight="false" outlineLevel="0" collapsed="false">
      <c r="A41" s="14"/>
      <c r="B41" s="15"/>
      <c r="C41" s="14"/>
      <c r="D41" s="14"/>
      <c r="E41" s="14"/>
      <c r="F41" s="14"/>
      <c r="G41" s="14"/>
      <c r="H41" s="14"/>
      <c r="I41" s="16"/>
      <c r="J41" s="17"/>
      <c r="K41" s="14"/>
      <c r="L41" s="15"/>
      <c r="M41" s="17"/>
      <c r="N41" s="14"/>
      <c r="O41" s="15"/>
      <c r="P41" s="14"/>
      <c r="Q41" s="16"/>
      <c r="R41" s="13" t="str">
        <f aca="false">IF(AND(B41&lt;&gt;"",L41&lt;&gt;""),L41-B41,"")</f>
        <v/>
      </c>
      <c r="S41" s="13" t="str">
        <f aca="true">IF(B41="","",IF(O41&lt;&gt;"",O41-B41,TODAY()-B41))</f>
        <v/>
      </c>
      <c r="T41" s="13" t="str">
        <f aca="false">IF(A41="","",SUMIF('Time Log'!$C$5:$C$1004,A41,'Time Log'!$E$5:$E$1004))</f>
        <v/>
      </c>
    </row>
    <row r="42" customFormat="false" ht="15" hidden="false" customHeight="false" outlineLevel="0" collapsed="false">
      <c r="A42" s="14"/>
      <c r="B42" s="15"/>
      <c r="C42" s="14"/>
      <c r="D42" s="14"/>
      <c r="E42" s="14"/>
      <c r="F42" s="14"/>
      <c r="G42" s="14"/>
      <c r="H42" s="14"/>
      <c r="I42" s="16"/>
      <c r="J42" s="17"/>
      <c r="K42" s="14"/>
      <c r="L42" s="15"/>
      <c r="M42" s="17"/>
      <c r="N42" s="14"/>
      <c r="O42" s="15"/>
      <c r="P42" s="14"/>
      <c r="Q42" s="16"/>
      <c r="R42" s="13" t="str">
        <f aca="false">IF(AND(B42&lt;&gt;"",L42&lt;&gt;""),L42-B42,"")</f>
        <v/>
      </c>
      <c r="S42" s="13" t="str">
        <f aca="true">IF(B42="","",IF(O42&lt;&gt;"",O42-B42,TODAY()-B42))</f>
        <v/>
      </c>
      <c r="T42" s="13" t="str">
        <f aca="false">IF(A42="","",SUMIF('Time Log'!$C$5:$C$1004,A42,'Time Log'!$E$5:$E$1004))</f>
        <v/>
      </c>
    </row>
    <row r="43" customFormat="false" ht="15" hidden="false" customHeight="false" outlineLevel="0" collapsed="false">
      <c r="A43" s="14"/>
      <c r="B43" s="15"/>
      <c r="C43" s="14"/>
      <c r="D43" s="14"/>
      <c r="E43" s="14"/>
      <c r="F43" s="14"/>
      <c r="G43" s="14"/>
      <c r="H43" s="14"/>
      <c r="I43" s="16"/>
      <c r="J43" s="17"/>
      <c r="K43" s="14"/>
      <c r="L43" s="15"/>
      <c r="M43" s="17"/>
      <c r="N43" s="14"/>
      <c r="O43" s="15"/>
      <c r="P43" s="14"/>
      <c r="Q43" s="16"/>
      <c r="R43" s="13" t="str">
        <f aca="false">IF(AND(B43&lt;&gt;"",L43&lt;&gt;""),L43-B43,"")</f>
        <v/>
      </c>
      <c r="S43" s="13" t="str">
        <f aca="true">IF(B43="","",IF(O43&lt;&gt;"",O43-B43,TODAY()-B43))</f>
        <v/>
      </c>
      <c r="T43" s="13" t="str">
        <f aca="false">IF(A43="","",SUMIF('Time Log'!$C$5:$C$1004,A43,'Time Log'!$E$5:$E$1004))</f>
        <v/>
      </c>
    </row>
    <row r="44" customFormat="false" ht="15" hidden="false" customHeight="false" outlineLevel="0" collapsed="false">
      <c r="A44" s="14"/>
      <c r="B44" s="15"/>
      <c r="C44" s="14"/>
      <c r="D44" s="14"/>
      <c r="E44" s="14"/>
      <c r="F44" s="14"/>
      <c r="G44" s="14"/>
      <c r="H44" s="14"/>
      <c r="I44" s="16"/>
      <c r="J44" s="17"/>
      <c r="K44" s="14"/>
      <c r="L44" s="15"/>
      <c r="M44" s="17"/>
      <c r="N44" s="14"/>
      <c r="O44" s="15"/>
      <c r="P44" s="14"/>
      <c r="Q44" s="16"/>
      <c r="R44" s="13" t="str">
        <f aca="false">IF(AND(B44&lt;&gt;"",L44&lt;&gt;""),L44-B44,"")</f>
        <v/>
      </c>
      <c r="S44" s="13" t="str">
        <f aca="true">IF(B44="","",IF(O44&lt;&gt;"",O44-B44,TODAY()-B44))</f>
        <v/>
      </c>
      <c r="T44" s="13" t="str">
        <f aca="false">IF(A44="","",SUMIF('Time Log'!$C$5:$C$1004,A44,'Time Log'!$E$5:$E$1004))</f>
        <v/>
      </c>
    </row>
    <row r="45" customFormat="false" ht="15" hidden="false" customHeight="false" outlineLevel="0" collapsed="false">
      <c r="A45" s="14"/>
      <c r="B45" s="15"/>
      <c r="C45" s="14"/>
      <c r="D45" s="14"/>
      <c r="E45" s="14"/>
      <c r="F45" s="14"/>
      <c r="G45" s="14"/>
      <c r="H45" s="14"/>
      <c r="I45" s="16"/>
      <c r="J45" s="17"/>
      <c r="K45" s="14"/>
      <c r="L45" s="15"/>
      <c r="M45" s="17"/>
      <c r="N45" s="14"/>
      <c r="O45" s="15"/>
      <c r="P45" s="14"/>
      <c r="Q45" s="16"/>
      <c r="R45" s="13" t="str">
        <f aca="false">IF(AND(B45&lt;&gt;"",L45&lt;&gt;""),L45-B45,"")</f>
        <v/>
      </c>
      <c r="S45" s="13" t="str">
        <f aca="true">IF(B45="","",IF(O45&lt;&gt;"",O45-B45,TODAY()-B45))</f>
        <v/>
      </c>
      <c r="T45" s="13" t="str">
        <f aca="false">IF(A45="","",SUMIF('Time Log'!$C$5:$C$1004,A45,'Time Log'!$E$5:$E$1004))</f>
        <v/>
      </c>
    </row>
    <row r="46" customFormat="false" ht="15" hidden="false" customHeight="false" outlineLevel="0" collapsed="false">
      <c r="A46" s="14"/>
      <c r="B46" s="15"/>
      <c r="C46" s="14"/>
      <c r="D46" s="14"/>
      <c r="E46" s="14"/>
      <c r="F46" s="14"/>
      <c r="G46" s="14"/>
      <c r="H46" s="14"/>
      <c r="I46" s="16"/>
      <c r="J46" s="17"/>
      <c r="K46" s="14"/>
      <c r="L46" s="15"/>
      <c r="M46" s="17"/>
      <c r="N46" s="14"/>
      <c r="O46" s="15"/>
      <c r="P46" s="14"/>
      <c r="Q46" s="16"/>
      <c r="R46" s="13" t="str">
        <f aca="false">IF(AND(B46&lt;&gt;"",L46&lt;&gt;""),L46-B46,"")</f>
        <v/>
      </c>
      <c r="S46" s="13" t="str">
        <f aca="true">IF(B46="","",IF(O46&lt;&gt;"",O46-B46,TODAY()-B46))</f>
        <v/>
      </c>
      <c r="T46" s="13" t="str">
        <f aca="false">IF(A46="","",SUMIF('Time Log'!$C$5:$C$1004,A46,'Time Log'!$E$5:$E$1004))</f>
        <v/>
      </c>
    </row>
    <row r="47" customFormat="false" ht="15" hidden="false" customHeight="false" outlineLevel="0" collapsed="false">
      <c r="A47" s="14"/>
      <c r="B47" s="15"/>
      <c r="C47" s="14"/>
      <c r="D47" s="14"/>
      <c r="E47" s="14"/>
      <c r="F47" s="14"/>
      <c r="G47" s="14"/>
      <c r="H47" s="14"/>
      <c r="I47" s="16"/>
      <c r="J47" s="17"/>
      <c r="K47" s="14"/>
      <c r="L47" s="15"/>
      <c r="M47" s="17"/>
      <c r="N47" s="14"/>
      <c r="O47" s="15"/>
      <c r="P47" s="14"/>
      <c r="Q47" s="16"/>
      <c r="R47" s="13" t="str">
        <f aca="false">IF(AND(B47&lt;&gt;"",L47&lt;&gt;""),L47-B47,"")</f>
        <v/>
      </c>
      <c r="S47" s="13" t="str">
        <f aca="true">IF(B47="","",IF(O47&lt;&gt;"",O47-B47,TODAY()-B47))</f>
        <v/>
      </c>
      <c r="T47" s="13" t="str">
        <f aca="false">IF(A47="","",SUMIF('Time Log'!$C$5:$C$1004,A47,'Time Log'!$E$5:$E$1004))</f>
        <v/>
      </c>
    </row>
    <row r="48" customFormat="false" ht="15" hidden="false" customHeight="false" outlineLevel="0" collapsed="false">
      <c r="A48" s="14"/>
      <c r="B48" s="15"/>
      <c r="C48" s="14"/>
      <c r="D48" s="14"/>
      <c r="E48" s="14"/>
      <c r="F48" s="14"/>
      <c r="G48" s="14"/>
      <c r="H48" s="14"/>
      <c r="I48" s="16"/>
      <c r="J48" s="17"/>
      <c r="K48" s="14"/>
      <c r="L48" s="15"/>
      <c r="M48" s="17"/>
      <c r="N48" s="14"/>
      <c r="O48" s="15"/>
      <c r="P48" s="14"/>
      <c r="Q48" s="16"/>
      <c r="R48" s="13" t="str">
        <f aca="false">IF(AND(B48&lt;&gt;"",L48&lt;&gt;""),L48-B48,"")</f>
        <v/>
      </c>
      <c r="S48" s="13" t="str">
        <f aca="true">IF(B48="","",IF(O48&lt;&gt;"",O48-B48,TODAY()-B48))</f>
        <v/>
      </c>
      <c r="T48" s="13" t="str">
        <f aca="false">IF(A48="","",SUMIF('Time Log'!$C$5:$C$1004,A48,'Time Log'!$E$5:$E$1004))</f>
        <v/>
      </c>
    </row>
    <row r="49" customFormat="false" ht="15" hidden="false" customHeight="false" outlineLevel="0" collapsed="false">
      <c r="A49" s="14"/>
      <c r="B49" s="15"/>
      <c r="C49" s="14"/>
      <c r="D49" s="14"/>
      <c r="E49" s="14"/>
      <c r="F49" s="14"/>
      <c r="G49" s="14"/>
      <c r="H49" s="14"/>
      <c r="I49" s="16"/>
      <c r="J49" s="17"/>
      <c r="K49" s="14"/>
      <c r="L49" s="15"/>
      <c r="M49" s="17"/>
      <c r="N49" s="14"/>
      <c r="O49" s="15"/>
      <c r="P49" s="14"/>
      <c r="Q49" s="16"/>
      <c r="R49" s="13" t="str">
        <f aca="false">IF(AND(B49&lt;&gt;"",L49&lt;&gt;""),L49-B49,"")</f>
        <v/>
      </c>
      <c r="S49" s="13" t="str">
        <f aca="true">IF(B49="","",IF(O49&lt;&gt;"",O49-B49,TODAY()-B49))</f>
        <v/>
      </c>
      <c r="T49" s="13" t="str">
        <f aca="false">IF(A49="","",SUMIF('Time Log'!$C$5:$C$1004,A49,'Time Log'!$E$5:$E$1004))</f>
        <v/>
      </c>
    </row>
    <row r="50" customFormat="false" ht="15" hidden="false" customHeight="false" outlineLevel="0" collapsed="false">
      <c r="A50" s="14"/>
      <c r="B50" s="15"/>
      <c r="C50" s="14"/>
      <c r="D50" s="14"/>
      <c r="E50" s="14"/>
      <c r="F50" s="14"/>
      <c r="G50" s="14"/>
      <c r="H50" s="14"/>
      <c r="I50" s="16"/>
      <c r="J50" s="17"/>
      <c r="K50" s="14"/>
      <c r="L50" s="15"/>
      <c r="M50" s="17"/>
      <c r="N50" s="14"/>
      <c r="O50" s="15"/>
      <c r="P50" s="14"/>
      <c r="Q50" s="16"/>
      <c r="R50" s="13" t="str">
        <f aca="false">IF(AND(B50&lt;&gt;"",L50&lt;&gt;""),L50-B50,"")</f>
        <v/>
      </c>
      <c r="S50" s="13" t="str">
        <f aca="true">IF(B50="","",IF(O50&lt;&gt;"",O50-B50,TODAY()-B50))</f>
        <v/>
      </c>
      <c r="T50" s="13" t="str">
        <f aca="false">IF(A50="","",SUMIF('Time Log'!$C$5:$C$1004,A50,'Time Log'!$E$5:$E$1004))</f>
        <v/>
      </c>
    </row>
    <row r="51" customFormat="false" ht="15" hidden="false" customHeight="false" outlineLevel="0" collapsed="false">
      <c r="A51" s="14"/>
      <c r="B51" s="15"/>
      <c r="C51" s="14"/>
      <c r="D51" s="14"/>
      <c r="E51" s="14"/>
      <c r="F51" s="14"/>
      <c r="G51" s="14"/>
      <c r="H51" s="14"/>
      <c r="I51" s="16"/>
      <c r="J51" s="17"/>
      <c r="K51" s="14"/>
      <c r="L51" s="15"/>
      <c r="M51" s="17"/>
      <c r="N51" s="14"/>
      <c r="O51" s="15"/>
      <c r="P51" s="14"/>
      <c r="Q51" s="16"/>
      <c r="R51" s="13" t="str">
        <f aca="false">IF(AND(B51&lt;&gt;"",L51&lt;&gt;""),L51-B51,"")</f>
        <v/>
      </c>
      <c r="S51" s="13" t="str">
        <f aca="true">IF(B51="","",IF(O51&lt;&gt;"",O51-B51,TODAY()-B51))</f>
        <v/>
      </c>
      <c r="T51" s="13" t="str">
        <f aca="false">IF(A51="","",SUMIF('Time Log'!$C$5:$C$1004,A51,'Time Log'!$E$5:$E$1004))</f>
        <v/>
      </c>
    </row>
    <row r="52" customFormat="false" ht="15" hidden="false" customHeight="false" outlineLevel="0" collapsed="false">
      <c r="A52" s="14"/>
      <c r="B52" s="15"/>
      <c r="C52" s="14"/>
      <c r="D52" s="14"/>
      <c r="E52" s="14"/>
      <c r="F52" s="14"/>
      <c r="G52" s="14"/>
      <c r="H52" s="14"/>
      <c r="I52" s="16"/>
      <c r="J52" s="17"/>
      <c r="K52" s="14"/>
      <c r="L52" s="15"/>
      <c r="M52" s="17"/>
      <c r="N52" s="14"/>
      <c r="O52" s="15"/>
      <c r="P52" s="14"/>
      <c r="Q52" s="16"/>
      <c r="R52" s="13" t="str">
        <f aca="false">IF(AND(B52&lt;&gt;"",L52&lt;&gt;""),L52-B52,"")</f>
        <v/>
      </c>
      <c r="S52" s="13" t="str">
        <f aca="true">IF(B52="","",IF(O52&lt;&gt;"",O52-B52,TODAY()-B52))</f>
        <v/>
      </c>
      <c r="T52" s="13" t="str">
        <f aca="false">IF(A52="","",SUMIF('Time Log'!$C$5:$C$1004,A52,'Time Log'!$E$5:$E$1004))</f>
        <v/>
      </c>
    </row>
    <row r="53" customFormat="false" ht="15" hidden="false" customHeight="false" outlineLevel="0" collapsed="false">
      <c r="A53" s="14"/>
      <c r="B53" s="15"/>
      <c r="C53" s="14"/>
      <c r="D53" s="14"/>
      <c r="E53" s="14"/>
      <c r="F53" s="14"/>
      <c r="G53" s="14"/>
      <c r="H53" s="14"/>
      <c r="I53" s="16"/>
      <c r="J53" s="17"/>
      <c r="K53" s="14"/>
      <c r="L53" s="15"/>
      <c r="M53" s="17"/>
      <c r="N53" s="14"/>
      <c r="O53" s="15"/>
      <c r="P53" s="14"/>
      <c r="Q53" s="16"/>
      <c r="R53" s="13" t="str">
        <f aca="false">IF(AND(B53&lt;&gt;"",L53&lt;&gt;""),L53-B53,"")</f>
        <v/>
      </c>
      <c r="S53" s="13" t="str">
        <f aca="true">IF(B53="","",IF(O53&lt;&gt;"",O53-B53,TODAY()-B53))</f>
        <v/>
      </c>
      <c r="T53" s="13" t="str">
        <f aca="false">IF(A53="","",SUMIF('Time Log'!$C$5:$C$1004,A53,'Time Log'!$E$5:$E$1004))</f>
        <v/>
      </c>
    </row>
    <row r="54" customFormat="false" ht="15" hidden="false" customHeight="false" outlineLevel="0" collapsed="false">
      <c r="A54" s="14"/>
      <c r="B54" s="15"/>
      <c r="C54" s="14"/>
      <c r="D54" s="14"/>
      <c r="E54" s="14"/>
      <c r="F54" s="14"/>
      <c r="G54" s="14"/>
      <c r="H54" s="14"/>
      <c r="I54" s="16"/>
      <c r="J54" s="17"/>
      <c r="K54" s="14"/>
      <c r="L54" s="15"/>
      <c r="M54" s="17"/>
      <c r="N54" s="14"/>
      <c r="O54" s="15"/>
      <c r="P54" s="14"/>
      <c r="Q54" s="16"/>
      <c r="R54" s="13" t="str">
        <f aca="false">IF(AND(B54&lt;&gt;"",L54&lt;&gt;""),L54-B54,"")</f>
        <v/>
      </c>
      <c r="S54" s="13" t="str">
        <f aca="true">IF(B54="","",IF(O54&lt;&gt;"",O54-B54,TODAY()-B54))</f>
        <v/>
      </c>
      <c r="T54" s="13" t="str">
        <f aca="false">IF(A54="","",SUMIF('Time Log'!$C$5:$C$1004,A54,'Time Log'!$E$5:$E$1004))</f>
        <v/>
      </c>
    </row>
    <row r="55" customFormat="false" ht="15" hidden="false" customHeight="false" outlineLevel="0" collapsed="false">
      <c r="A55" s="14"/>
      <c r="B55" s="15"/>
      <c r="C55" s="14"/>
      <c r="D55" s="14"/>
      <c r="E55" s="14"/>
      <c r="F55" s="14"/>
      <c r="G55" s="14"/>
      <c r="H55" s="14"/>
      <c r="I55" s="16"/>
      <c r="J55" s="17"/>
      <c r="K55" s="14"/>
      <c r="L55" s="15"/>
      <c r="M55" s="17"/>
      <c r="N55" s="14"/>
      <c r="O55" s="15"/>
      <c r="P55" s="14"/>
      <c r="Q55" s="16"/>
      <c r="R55" s="13" t="str">
        <f aca="false">IF(AND(B55&lt;&gt;"",L55&lt;&gt;""),L55-B55,"")</f>
        <v/>
      </c>
      <c r="S55" s="13" t="str">
        <f aca="true">IF(B55="","",IF(O55&lt;&gt;"",O55-B55,TODAY()-B55))</f>
        <v/>
      </c>
      <c r="T55" s="13" t="str">
        <f aca="false">IF(A55="","",SUMIF('Time Log'!$C$5:$C$1004,A55,'Time Log'!$E$5:$E$1004))</f>
        <v/>
      </c>
    </row>
    <row r="56" customFormat="false" ht="15" hidden="false" customHeight="false" outlineLevel="0" collapsed="false">
      <c r="A56" s="14"/>
      <c r="B56" s="15"/>
      <c r="C56" s="14"/>
      <c r="D56" s="14"/>
      <c r="E56" s="14"/>
      <c r="F56" s="14"/>
      <c r="G56" s="14"/>
      <c r="H56" s="14"/>
      <c r="I56" s="16"/>
      <c r="J56" s="17"/>
      <c r="K56" s="14"/>
      <c r="L56" s="15"/>
      <c r="M56" s="17"/>
      <c r="N56" s="14"/>
      <c r="O56" s="15"/>
      <c r="P56" s="14"/>
      <c r="Q56" s="16"/>
      <c r="R56" s="13" t="str">
        <f aca="false">IF(AND(B56&lt;&gt;"",L56&lt;&gt;""),L56-B56,"")</f>
        <v/>
      </c>
      <c r="S56" s="13" t="str">
        <f aca="true">IF(B56="","",IF(O56&lt;&gt;"",O56-B56,TODAY()-B56))</f>
        <v/>
      </c>
      <c r="T56" s="13" t="str">
        <f aca="false">IF(A56="","",SUMIF('Time Log'!$C$5:$C$1004,A56,'Time Log'!$E$5:$E$1004))</f>
        <v/>
      </c>
    </row>
    <row r="57" customFormat="false" ht="15" hidden="false" customHeight="false" outlineLevel="0" collapsed="false">
      <c r="A57" s="14"/>
      <c r="B57" s="15"/>
      <c r="C57" s="14"/>
      <c r="D57" s="14"/>
      <c r="E57" s="14"/>
      <c r="F57" s="14"/>
      <c r="G57" s="14"/>
      <c r="H57" s="14"/>
      <c r="I57" s="16"/>
      <c r="J57" s="17"/>
      <c r="K57" s="14"/>
      <c r="L57" s="15"/>
      <c r="M57" s="17"/>
      <c r="N57" s="14"/>
      <c r="O57" s="15"/>
      <c r="P57" s="14"/>
      <c r="Q57" s="16"/>
      <c r="R57" s="13" t="str">
        <f aca="false">IF(AND(B57&lt;&gt;"",L57&lt;&gt;""),L57-B57,"")</f>
        <v/>
      </c>
      <c r="S57" s="13" t="str">
        <f aca="true">IF(B57="","",IF(O57&lt;&gt;"",O57-B57,TODAY()-B57))</f>
        <v/>
      </c>
      <c r="T57" s="13" t="str">
        <f aca="false">IF(A57="","",SUMIF('Time Log'!$C$5:$C$1004,A57,'Time Log'!$E$5:$E$1004))</f>
        <v/>
      </c>
    </row>
    <row r="58" customFormat="false" ht="15" hidden="false" customHeight="false" outlineLevel="0" collapsed="false">
      <c r="A58" s="14"/>
      <c r="B58" s="15"/>
      <c r="C58" s="14"/>
      <c r="D58" s="14"/>
      <c r="E58" s="14"/>
      <c r="F58" s="14"/>
      <c r="G58" s="14"/>
      <c r="H58" s="14"/>
      <c r="I58" s="16"/>
      <c r="J58" s="17"/>
      <c r="K58" s="14"/>
      <c r="L58" s="15"/>
      <c r="M58" s="17"/>
      <c r="N58" s="14"/>
      <c r="O58" s="15"/>
      <c r="P58" s="14"/>
      <c r="Q58" s="16"/>
      <c r="R58" s="13" t="str">
        <f aca="false">IF(AND(B58&lt;&gt;"",L58&lt;&gt;""),L58-B58,"")</f>
        <v/>
      </c>
      <c r="S58" s="13" t="str">
        <f aca="true">IF(B58="","",IF(O58&lt;&gt;"",O58-B58,TODAY()-B58))</f>
        <v/>
      </c>
      <c r="T58" s="13" t="str">
        <f aca="false">IF(A58="","",SUMIF('Time Log'!$C$5:$C$1004,A58,'Time Log'!$E$5:$E$1004))</f>
        <v/>
      </c>
    </row>
    <row r="59" customFormat="false" ht="15" hidden="false" customHeight="false" outlineLevel="0" collapsed="false">
      <c r="A59" s="14"/>
      <c r="B59" s="15"/>
      <c r="C59" s="14"/>
      <c r="D59" s="14"/>
      <c r="E59" s="14"/>
      <c r="F59" s="14"/>
      <c r="G59" s="14"/>
      <c r="H59" s="14"/>
      <c r="I59" s="16"/>
      <c r="J59" s="17"/>
      <c r="K59" s="14"/>
      <c r="L59" s="15"/>
      <c r="M59" s="17"/>
      <c r="N59" s="14"/>
      <c r="O59" s="15"/>
      <c r="P59" s="14"/>
      <c r="Q59" s="16"/>
      <c r="R59" s="13" t="str">
        <f aca="false">IF(AND(B59&lt;&gt;"",L59&lt;&gt;""),L59-B59,"")</f>
        <v/>
      </c>
      <c r="S59" s="13" t="str">
        <f aca="true">IF(B59="","",IF(O59&lt;&gt;"",O59-B59,TODAY()-B59))</f>
        <v/>
      </c>
      <c r="T59" s="13" t="str">
        <f aca="false">IF(A59="","",SUMIF('Time Log'!$C$5:$C$1004,A59,'Time Log'!$E$5:$E$1004))</f>
        <v/>
      </c>
    </row>
    <row r="60" customFormat="false" ht="15" hidden="false" customHeight="false" outlineLevel="0" collapsed="false">
      <c r="A60" s="14"/>
      <c r="B60" s="15"/>
      <c r="C60" s="14"/>
      <c r="D60" s="14"/>
      <c r="E60" s="14"/>
      <c r="F60" s="14"/>
      <c r="G60" s="14"/>
      <c r="H60" s="14"/>
      <c r="I60" s="16"/>
      <c r="J60" s="17"/>
      <c r="K60" s="14"/>
      <c r="L60" s="15"/>
      <c r="M60" s="17"/>
      <c r="N60" s="14"/>
      <c r="O60" s="15"/>
      <c r="P60" s="14"/>
      <c r="Q60" s="16"/>
      <c r="R60" s="13" t="str">
        <f aca="false">IF(AND(B60&lt;&gt;"",L60&lt;&gt;""),L60-B60,"")</f>
        <v/>
      </c>
      <c r="S60" s="13" t="str">
        <f aca="true">IF(B60="","",IF(O60&lt;&gt;"",O60-B60,TODAY()-B60))</f>
        <v/>
      </c>
      <c r="T60" s="13" t="str">
        <f aca="false">IF(A60="","",SUMIF('Time Log'!$C$5:$C$1004,A60,'Time Log'!$E$5:$E$1004))</f>
        <v/>
      </c>
    </row>
    <row r="61" customFormat="false" ht="15" hidden="false" customHeight="false" outlineLevel="0" collapsed="false">
      <c r="A61" s="14"/>
      <c r="B61" s="15"/>
      <c r="C61" s="14"/>
      <c r="D61" s="14"/>
      <c r="E61" s="14"/>
      <c r="F61" s="14"/>
      <c r="G61" s="14"/>
      <c r="H61" s="14"/>
      <c r="I61" s="16"/>
      <c r="J61" s="17"/>
      <c r="K61" s="14"/>
      <c r="L61" s="15"/>
      <c r="M61" s="17"/>
      <c r="N61" s="14"/>
      <c r="O61" s="15"/>
      <c r="P61" s="14"/>
      <c r="Q61" s="16"/>
      <c r="R61" s="13" t="str">
        <f aca="false">IF(AND(B61&lt;&gt;"",L61&lt;&gt;""),L61-B61,"")</f>
        <v/>
      </c>
      <c r="S61" s="13" t="str">
        <f aca="true">IF(B61="","",IF(O61&lt;&gt;"",O61-B61,TODAY()-B61))</f>
        <v/>
      </c>
      <c r="T61" s="13" t="str">
        <f aca="false">IF(A61="","",SUMIF('Time Log'!$C$5:$C$1004,A61,'Time Log'!$E$5:$E$1004))</f>
        <v/>
      </c>
    </row>
    <row r="62" customFormat="false" ht="15" hidden="false" customHeight="false" outlineLevel="0" collapsed="false">
      <c r="A62" s="14"/>
      <c r="B62" s="15"/>
      <c r="C62" s="14"/>
      <c r="D62" s="14"/>
      <c r="E62" s="14"/>
      <c r="F62" s="14"/>
      <c r="G62" s="14"/>
      <c r="H62" s="14"/>
      <c r="I62" s="16"/>
      <c r="J62" s="17"/>
      <c r="K62" s="14"/>
      <c r="L62" s="15"/>
      <c r="M62" s="17"/>
      <c r="N62" s="14"/>
      <c r="O62" s="15"/>
      <c r="P62" s="14"/>
      <c r="Q62" s="16"/>
      <c r="R62" s="13" t="str">
        <f aca="false">IF(AND(B62&lt;&gt;"",L62&lt;&gt;""),L62-B62,"")</f>
        <v/>
      </c>
      <c r="S62" s="13" t="str">
        <f aca="true">IF(B62="","",IF(O62&lt;&gt;"",O62-B62,TODAY()-B62))</f>
        <v/>
      </c>
      <c r="T62" s="13" t="str">
        <f aca="false">IF(A62="","",SUMIF('Time Log'!$C$5:$C$1004,A62,'Time Log'!$E$5:$E$1004))</f>
        <v/>
      </c>
    </row>
    <row r="63" customFormat="false" ht="15" hidden="false" customHeight="false" outlineLevel="0" collapsed="false">
      <c r="A63" s="14"/>
      <c r="B63" s="15"/>
      <c r="C63" s="14"/>
      <c r="D63" s="14"/>
      <c r="E63" s="14"/>
      <c r="F63" s="14"/>
      <c r="G63" s="14"/>
      <c r="H63" s="14"/>
      <c r="I63" s="16"/>
      <c r="J63" s="17"/>
      <c r="K63" s="14"/>
      <c r="L63" s="15"/>
      <c r="M63" s="17"/>
      <c r="N63" s="14"/>
      <c r="O63" s="15"/>
      <c r="P63" s="14"/>
      <c r="Q63" s="16"/>
      <c r="R63" s="13" t="str">
        <f aca="false">IF(AND(B63&lt;&gt;"",L63&lt;&gt;""),L63-B63,"")</f>
        <v/>
      </c>
      <c r="S63" s="13" t="str">
        <f aca="true">IF(B63="","",IF(O63&lt;&gt;"",O63-B63,TODAY()-B63))</f>
        <v/>
      </c>
      <c r="T63" s="13" t="str">
        <f aca="false">IF(A63="","",SUMIF('Time Log'!$C$5:$C$1004,A63,'Time Log'!$E$5:$E$1004))</f>
        <v/>
      </c>
    </row>
    <row r="64" customFormat="false" ht="15" hidden="false" customHeight="false" outlineLevel="0" collapsed="false">
      <c r="A64" s="14"/>
      <c r="B64" s="15"/>
      <c r="C64" s="14"/>
      <c r="D64" s="14"/>
      <c r="E64" s="14"/>
      <c r="F64" s="14"/>
      <c r="G64" s="14"/>
      <c r="H64" s="14"/>
      <c r="I64" s="16"/>
      <c r="J64" s="17"/>
      <c r="K64" s="14"/>
      <c r="L64" s="15"/>
      <c r="M64" s="17"/>
      <c r="N64" s="14"/>
      <c r="O64" s="15"/>
      <c r="P64" s="14"/>
      <c r="Q64" s="16"/>
      <c r="R64" s="13" t="str">
        <f aca="false">IF(AND(B64&lt;&gt;"",L64&lt;&gt;""),L64-B64,"")</f>
        <v/>
      </c>
      <c r="S64" s="13" t="str">
        <f aca="true">IF(B64="","",IF(O64&lt;&gt;"",O64-B64,TODAY()-B64))</f>
        <v/>
      </c>
      <c r="T64" s="13" t="str">
        <f aca="false">IF(A64="","",SUMIF('Time Log'!$C$5:$C$1004,A64,'Time Log'!$E$5:$E$1004))</f>
        <v/>
      </c>
    </row>
    <row r="65" customFormat="false" ht="15" hidden="false" customHeight="false" outlineLevel="0" collapsed="false">
      <c r="A65" s="14"/>
      <c r="B65" s="15"/>
      <c r="C65" s="14"/>
      <c r="D65" s="14"/>
      <c r="E65" s="14"/>
      <c r="F65" s="14"/>
      <c r="G65" s="14"/>
      <c r="H65" s="14"/>
      <c r="I65" s="16"/>
      <c r="J65" s="17"/>
      <c r="K65" s="14"/>
      <c r="L65" s="15"/>
      <c r="M65" s="17"/>
      <c r="N65" s="14"/>
      <c r="O65" s="15"/>
      <c r="P65" s="14"/>
      <c r="Q65" s="16"/>
      <c r="R65" s="13" t="str">
        <f aca="false">IF(AND(B65&lt;&gt;"",L65&lt;&gt;""),L65-B65,"")</f>
        <v/>
      </c>
      <c r="S65" s="13" t="str">
        <f aca="true">IF(B65="","",IF(O65&lt;&gt;"",O65-B65,TODAY()-B65))</f>
        <v/>
      </c>
      <c r="T65" s="13" t="str">
        <f aca="false">IF(A65="","",SUMIF('Time Log'!$C$5:$C$1004,A65,'Time Log'!$E$5:$E$1004))</f>
        <v/>
      </c>
    </row>
    <row r="66" customFormat="false" ht="15" hidden="false" customHeight="false" outlineLevel="0" collapsed="false">
      <c r="A66" s="14"/>
      <c r="B66" s="15"/>
      <c r="C66" s="14"/>
      <c r="D66" s="14"/>
      <c r="E66" s="14"/>
      <c r="F66" s="14"/>
      <c r="G66" s="14"/>
      <c r="H66" s="14"/>
      <c r="I66" s="16"/>
      <c r="J66" s="17"/>
      <c r="K66" s="14"/>
      <c r="L66" s="15"/>
      <c r="M66" s="17"/>
      <c r="N66" s="14"/>
      <c r="O66" s="15"/>
      <c r="P66" s="14"/>
      <c r="Q66" s="16"/>
      <c r="R66" s="13" t="str">
        <f aca="false">IF(AND(B66&lt;&gt;"",L66&lt;&gt;""),L66-B66,"")</f>
        <v/>
      </c>
      <c r="S66" s="13" t="str">
        <f aca="true">IF(B66="","",IF(O66&lt;&gt;"",O66-B66,TODAY()-B66))</f>
        <v/>
      </c>
      <c r="T66" s="13" t="str">
        <f aca="false">IF(A66="","",SUMIF('Time Log'!$C$5:$C$1004,A66,'Time Log'!$E$5:$E$1004))</f>
        <v/>
      </c>
    </row>
    <row r="67" customFormat="false" ht="15" hidden="false" customHeight="false" outlineLevel="0" collapsed="false">
      <c r="A67" s="14"/>
      <c r="B67" s="15"/>
      <c r="C67" s="14"/>
      <c r="D67" s="14"/>
      <c r="E67" s="14"/>
      <c r="F67" s="14"/>
      <c r="G67" s="14"/>
      <c r="H67" s="14"/>
      <c r="I67" s="16"/>
      <c r="J67" s="17"/>
      <c r="K67" s="14"/>
      <c r="L67" s="15"/>
      <c r="M67" s="17"/>
      <c r="N67" s="14"/>
      <c r="O67" s="15"/>
      <c r="P67" s="14"/>
      <c r="Q67" s="16"/>
      <c r="R67" s="13" t="str">
        <f aca="false">IF(AND(B67&lt;&gt;"",L67&lt;&gt;""),L67-B67,"")</f>
        <v/>
      </c>
      <c r="S67" s="13" t="str">
        <f aca="true">IF(B67="","",IF(O67&lt;&gt;"",O67-B67,TODAY()-B67))</f>
        <v/>
      </c>
      <c r="T67" s="13" t="str">
        <f aca="false">IF(A67="","",SUMIF('Time Log'!$C$5:$C$1004,A67,'Time Log'!$E$5:$E$1004))</f>
        <v/>
      </c>
    </row>
    <row r="68" customFormat="false" ht="15" hidden="false" customHeight="false" outlineLevel="0" collapsed="false">
      <c r="A68" s="14"/>
      <c r="B68" s="15"/>
      <c r="C68" s="14"/>
      <c r="D68" s="14"/>
      <c r="E68" s="14"/>
      <c r="F68" s="14"/>
      <c r="G68" s="14"/>
      <c r="H68" s="14"/>
      <c r="I68" s="16"/>
      <c r="J68" s="17"/>
      <c r="K68" s="14"/>
      <c r="L68" s="15"/>
      <c r="M68" s="17"/>
      <c r="N68" s="14"/>
      <c r="O68" s="15"/>
      <c r="P68" s="14"/>
      <c r="Q68" s="16"/>
      <c r="R68" s="13" t="str">
        <f aca="false">IF(AND(B68&lt;&gt;"",L68&lt;&gt;""),L68-B68,"")</f>
        <v/>
      </c>
      <c r="S68" s="13" t="str">
        <f aca="true">IF(B68="","",IF(O68&lt;&gt;"",O68-B68,TODAY()-B68))</f>
        <v/>
      </c>
      <c r="T68" s="13" t="str">
        <f aca="false">IF(A68="","",SUMIF('Time Log'!$C$5:$C$1004,A68,'Time Log'!$E$5:$E$1004))</f>
        <v/>
      </c>
    </row>
    <row r="69" customFormat="false" ht="15" hidden="false" customHeight="false" outlineLevel="0" collapsed="false">
      <c r="A69" s="14"/>
      <c r="B69" s="15"/>
      <c r="C69" s="14"/>
      <c r="D69" s="14"/>
      <c r="E69" s="14"/>
      <c r="F69" s="14"/>
      <c r="G69" s="14"/>
      <c r="H69" s="14"/>
      <c r="I69" s="16"/>
      <c r="J69" s="17"/>
      <c r="K69" s="14"/>
      <c r="L69" s="15"/>
      <c r="M69" s="17"/>
      <c r="N69" s="14"/>
      <c r="O69" s="15"/>
      <c r="P69" s="14"/>
      <c r="Q69" s="16"/>
      <c r="R69" s="13" t="str">
        <f aca="false">IF(AND(B69&lt;&gt;"",L69&lt;&gt;""),L69-B69,"")</f>
        <v/>
      </c>
      <c r="S69" s="13" t="str">
        <f aca="true">IF(B69="","",IF(O69&lt;&gt;"",O69-B69,TODAY()-B69))</f>
        <v/>
      </c>
      <c r="T69" s="13" t="str">
        <f aca="false">IF(A69="","",SUMIF('Time Log'!$C$5:$C$1004,A69,'Time Log'!$E$5:$E$1004))</f>
        <v/>
      </c>
    </row>
    <row r="70" customFormat="false" ht="15" hidden="false" customHeight="false" outlineLevel="0" collapsed="false">
      <c r="A70" s="14"/>
      <c r="B70" s="15"/>
      <c r="C70" s="14"/>
      <c r="D70" s="14"/>
      <c r="E70" s="14"/>
      <c r="F70" s="14"/>
      <c r="G70" s="14"/>
      <c r="H70" s="14"/>
      <c r="I70" s="16"/>
      <c r="J70" s="17"/>
      <c r="K70" s="14"/>
      <c r="L70" s="15"/>
      <c r="M70" s="17"/>
      <c r="N70" s="14"/>
      <c r="O70" s="15"/>
      <c r="P70" s="14"/>
      <c r="Q70" s="16"/>
      <c r="R70" s="13" t="str">
        <f aca="false">IF(AND(B70&lt;&gt;"",L70&lt;&gt;""),L70-B70,"")</f>
        <v/>
      </c>
      <c r="S70" s="13" t="str">
        <f aca="true">IF(B70="","",IF(O70&lt;&gt;"",O70-B70,TODAY()-B70))</f>
        <v/>
      </c>
      <c r="T70" s="13" t="str">
        <f aca="false">IF(A70="","",SUMIF('Time Log'!$C$5:$C$1004,A70,'Time Log'!$E$5:$E$1004))</f>
        <v/>
      </c>
    </row>
    <row r="71" customFormat="false" ht="15" hidden="false" customHeight="false" outlineLevel="0" collapsed="false">
      <c r="A71" s="14"/>
      <c r="B71" s="15"/>
      <c r="C71" s="14"/>
      <c r="D71" s="14"/>
      <c r="E71" s="14"/>
      <c r="F71" s="14"/>
      <c r="G71" s="14"/>
      <c r="H71" s="14"/>
      <c r="I71" s="16"/>
      <c r="J71" s="17"/>
      <c r="K71" s="14"/>
      <c r="L71" s="15"/>
      <c r="M71" s="17"/>
      <c r="N71" s="14"/>
      <c r="O71" s="15"/>
      <c r="P71" s="14"/>
      <c r="Q71" s="16"/>
      <c r="R71" s="13" t="str">
        <f aca="false">IF(AND(B71&lt;&gt;"",L71&lt;&gt;""),L71-B71,"")</f>
        <v/>
      </c>
      <c r="S71" s="13" t="str">
        <f aca="true">IF(B71="","",IF(O71&lt;&gt;"",O71-B71,TODAY()-B71))</f>
        <v/>
      </c>
      <c r="T71" s="13" t="str">
        <f aca="false">IF(A71="","",SUMIF('Time Log'!$C$5:$C$1004,A71,'Time Log'!$E$5:$E$1004))</f>
        <v/>
      </c>
    </row>
    <row r="72" customFormat="false" ht="15" hidden="false" customHeight="false" outlineLevel="0" collapsed="false">
      <c r="A72" s="14"/>
      <c r="B72" s="15"/>
      <c r="C72" s="14"/>
      <c r="D72" s="14"/>
      <c r="E72" s="14"/>
      <c r="F72" s="14"/>
      <c r="G72" s="14"/>
      <c r="H72" s="14"/>
      <c r="I72" s="16"/>
      <c r="J72" s="17"/>
      <c r="K72" s="14"/>
      <c r="L72" s="15"/>
      <c r="M72" s="17"/>
      <c r="N72" s="14"/>
      <c r="O72" s="15"/>
      <c r="P72" s="14"/>
      <c r="Q72" s="16"/>
      <c r="R72" s="13" t="str">
        <f aca="false">IF(AND(B72&lt;&gt;"",L72&lt;&gt;""),L72-B72,"")</f>
        <v/>
      </c>
      <c r="S72" s="13" t="str">
        <f aca="true">IF(B72="","",IF(O72&lt;&gt;"",O72-B72,TODAY()-B72))</f>
        <v/>
      </c>
      <c r="T72" s="13" t="str">
        <f aca="false">IF(A72="","",SUMIF('Time Log'!$C$5:$C$1004,A72,'Time Log'!$E$5:$E$1004))</f>
        <v/>
      </c>
    </row>
    <row r="73" customFormat="false" ht="15" hidden="false" customHeight="false" outlineLevel="0" collapsed="false">
      <c r="A73" s="14"/>
      <c r="B73" s="15"/>
      <c r="C73" s="14"/>
      <c r="D73" s="14"/>
      <c r="E73" s="14"/>
      <c r="F73" s="14"/>
      <c r="G73" s="14"/>
      <c r="H73" s="14"/>
      <c r="I73" s="16"/>
      <c r="J73" s="17"/>
      <c r="K73" s="14"/>
      <c r="L73" s="15"/>
      <c r="M73" s="17"/>
      <c r="N73" s="14"/>
      <c r="O73" s="15"/>
      <c r="P73" s="14"/>
      <c r="Q73" s="16"/>
      <c r="R73" s="13" t="str">
        <f aca="false">IF(AND(B73&lt;&gt;"",L73&lt;&gt;""),L73-B73,"")</f>
        <v/>
      </c>
      <c r="S73" s="13" t="str">
        <f aca="true">IF(B73="","",IF(O73&lt;&gt;"",O73-B73,TODAY()-B73))</f>
        <v/>
      </c>
      <c r="T73" s="13" t="str">
        <f aca="false">IF(A73="","",SUMIF('Time Log'!$C$5:$C$1004,A73,'Time Log'!$E$5:$E$1004))</f>
        <v/>
      </c>
    </row>
    <row r="74" customFormat="false" ht="15" hidden="false" customHeight="false" outlineLevel="0" collapsed="false">
      <c r="A74" s="14"/>
      <c r="B74" s="15"/>
      <c r="C74" s="14"/>
      <c r="D74" s="14"/>
      <c r="E74" s="14"/>
      <c r="F74" s="14"/>
      <c r="G74" s="14"/>
      <c r="H74" s="14"/>
      <c r="I74" s="16"/>
      <c r="J74" s="17"/>
      <c r="K74" s="14"/>
      <c r="L74" s="15"/>
      <c r="M74" s="17"/>
      <c r="N74" s="14"/>
      <c r="O74" s="15"/>
      <c r="P74" s="14"/>
      <c r="Q74" s="16"/>
      <c r="R74" s="13" t="str">
        <f aca="false">IF(AND(B74&lt;&gt;"",L74&lt;&gt;""),L74-B74,"")</f>
        <v/>
      </c>
      <c r="S74" s="13" t="str">
        <f aca="true">IF(B74="","",IF(O74&lt;&gt;"",O74-B74,TODAY()-B74))</f>
        <v/>
      </c>
      <c r="T74" s="13" t="str">
        <f aca="false">IF(A74="","",SUMIF('Time Log'!$C$5:$C$1004,A74,'Time Log'!$E$5:$E$1004))</f>
        <v/>
      </c>
    </row>
    <row r="75" customFormat="false" ht="15" hidden="false" customHeight="false" outlineLevel="0" collapsed="false">
      <c r="A75" s="14"/>
      <c r="B75" s="15"/>
      <c r="C75" s="14"/>
      <c r="D75" s="14"/>
      <c r="E75" s="14"/>
      <c r="F75" s="14"/>
      <c r="G75" s="14"/>
      <c r="H75" s="14"/>
      <c r="I75" s="16"/>
      <c r="J75" s="17"/>
      <c r="K75" s="14"/>
      <c r="L75" s="15"/>
      <c r="M75" s="17"/>
      <c r="N75" s="14"/>
      <c r="O75" s="15"/>
      <c r="P75" s="14"/>
      <c r="Q75" s="16"/>
      <c r="R75" s="13" t="str">
        <f aca="false">IF(AND(B75&lt;&gt;"",L75&lt;&gt;""),L75-B75,"")</f>
        <v/>
      </c>
      <c r="S75" s="13" t="str">
        <f aca="true">IF(B75="","",IF(O75&lt;&gt;"",O75-B75,TODAY()-B75))</f>
        <v/>
      </c>
      <c r="T75" s="13" t="str">
        <f aca="false">IF(A75="","",SUMIF('Time Log'!$C$5:$C$1004,A75,'Time Log'!$E$5:$E$1004))</f>
        <v/>
      </c>
    </row>
    <row r="76" customFormat="false" ht="15" hidden="false" customHeight="false" outlineLevel="0" collapsed="false">
      <c r="A76" s="14"/>
      <c r="B76" s="15"/>
      <c r="C76" s="14"/>
      <c r="D76" s="14"/>
      <c r="E76" s="14"/>
      <c r="F76" s="14"/>
      <c r="G76" s="14"/>
      <c r="H76" s="14"/>
      <c r="I76" s="16"/>
      <c r="J76" s="17"/>
      <c r="K76" s="14"/>
      <c r="L76" s="15"/>
      <c r="M76" s="17"/>
      <c r="N76" s="14"/>
      <c r="O76" s="15"/>
      <c r="P76" s="14"/>
      <c r="Q76" s="16"/>
      <c r="R76" s="13" t="str">
        <f aca="false">IF(AND(B76&lt;&gt;"",L76&lt;&gt;""),L76-B76,"")</f>
        <v/>
      </c>
      <c r="S76" s="13" t="str">
        <f aca="true">IF(B76="","",IF(O76&lt;&gt;"",O76-B76,TODAY()-B76))</f>
        <v/>
      </c>
      <c r="T76" s="13" t="str">
        <f aca="false">IF(A76="","",SUMIF('Time Log'!$C$5:$C$1004,A76,'Time Log'!$E$5:$E$1004))</f>
        <v/>
      </c>
    </row>
    <row r="77" customFormat="false" ht="15" hidden="false" customHeight="false" outlineLevel="0" collapsed="false">
      <c r="A77" s="14"/>
      <c r="B77" s="15"/>
      <c r="C77" s="14"/>
      <c r="D77" s="14"/>
      <c r="E77" s="14"/>
      <c r="F77" s="14"/>
      <c r="G77" s="14"/>
      <c r="H77" s="14"/>
      <c r="I77" s="16"/>
      <c r="J77" s="17"/>
      <c r="K77" s="14"/>
      <c r="L77" s="15"/>
      <c r="M77" s="17"/>
      <c r="N77" s="14"/>
      <c r="O77" s="15"/>
      <c r="P77" s="14"/>
      <c r="Q77" s="16"/>
      <c r="R77" s="13" t="str">
        <f aca="false">IF(AND(B77&lt;&gt;"",L77&lt;&gt;""),L77-B77,"")</f>
        <v/>
      </c>
      <c r="S77" s="13" t="str">
        <f aca="true">IF(B77="","",IF(O77&lt;&gt;"",O77-B77,TODAY()-B77))</f>
        <v/>
      </c>
      <c r="T77" s="13" t="str">
        <f aca="false">IF(A77="","",SUMIF('Time Log'!$C$5:$C$1004,A77,'Time Log'!$E$5:$E$1004))</f>
        <v/>
      </c>
    </row>
    <row r="78" customFormat="false" ht="15" hidden="false" customHeight="false" outlineLevel="0" collapsed="false">
      <c r="A78" s="14"/>
      <c r="B78" s="15"/>
      <c r="C78" s="14"/>
      <c r="D78" s="14"/>
      <c r="E78" s="14"/>
      <c r="F78" s="14"/>
      <c r="G78" s="14"/>
      <c r="H78" s="14"/>
      <c r="I78" s="16"/>
      <c r="J78" s="17"/>
      <c r="K78" s="14"/>
      <c r="L78" s="15"/>
      <c r="M78" s="17"/>
      <c r="N78" s="14"/>
      <c r="O78" s="15"/>
      <c r="P78" s="14"/>
      <c r="Q78" s="16"/>
      <c r="R78" s="13" t="str">
        <f aca="false">IF(AND(B78&lt;&gt;"",L78&lt;&gt;""),L78-B78,"")</f>
        <v/>
      </c>
      <c r="S78" s="13" t="str">
        <f aca="true">IF(B78="","",IF(O78&lt;&gt;"",O78-B78,TODAY()-B78))</f>
        <v/>
      </c>
      <c r="T78" s="13" t="str">
        <f aca="false">IF(A78="","",SUMIF('Time Log'!$C$5:$C$1004,A78,'Time Log'!$E$5:$E$1004))</f>
        <v/>
      </c>
    </row>
    <row r="79" customFormat="false" ht="15" hidden="false" customHeight="false" outlineLevel="0" collapsed="false">
      <c r="A79" s="14"/>
      <c r="B79" s="15"/>
      <c r="C79" s="14"/>
      <c r="D79" s="14"/>
      <c r="E79" s="14"/>
      <c r="F79" s="14"/>
      <c r="G79" s="14"/>
      <c r="H79" s="14"/>
      <c r="I79" s="16"/>
      <c r="J79" s="17"/>
      <c r="K79" s="14"/>
      <c r="L79" s="15"/>
      <c r="M79" s="17"/>
      <c r="N79" s="14"/>
      <c r="O79" s="15"/>
      <c r="P79" s="14"/>
      <c r="Q79" s="16"/>
      <c r="R79" s="13" t="str">
        <f aca="false">IF(AND(B79&lt;&gt;"",L79&lt;&gt;""),L79-B79,"")</f>
        <v/>
      </c>
      <c r="S79" s="13" t="str">
        <f aca="true">IF(B79="","",IF(O79&lt;&gt;"",O79-B79,TODAY()-B79))</f>
        <v/>
      </c>
      <c r="T79" s="13" t="str">
        <f aca="false">IF(A79="","",SUMIF('Time Log'!$C$5:$C$1004,A79,'Time Log'!$E$5:$E$1004))</f>
        <v/>
      </c>
    </row>
    <row r="80" customFormat="false" ht="15" hidden="false" customHeight="false" outlineLevel="0" collapsed="false">
      <c r="A80" s="14"/>
      <c r="B80" s="15"/>
      <c r="C80" s="14"/>
      <c r="D80" s="14"/>
      <c r="E80" s="14"/>
      <c r="F80" s="14"/>
      <c r="G80" s="14"/>
      <c r="H80" s="14"/>
      <c r="I80" s="16"/>
      <c r="J80" s="17"/>
      <c r="K80" s="14"/>
      <c r="L80" s="15"/>
      <c r="M80" s="17"/>
      <c r="N80" s="14"/>
      <c r="O80" s="15"/>
      <c r="P80" s="14"/>
      <c r="Q80" s="16"/>
      <c r="R80" s="13" t="str">
        <f aca="false">IF(AND(B80&lt;&gt;"",L80&lt;&gt;""),L80-B80,"")</f>
        <v/>
      </c>
      <c r="S80" s="13" t="str">
        <f aca="true">IF(B80="","",IF(O80&lt;&gt;"",O80-B80,TODAY()-B80))</f>
        <v/>
      </c>
      <c r="T80" s="13" t="str">
        <f aca="false">IF(A80="","",SUMIF('Time Log'!$C$5:$C$1004,A80,'Time Log'!$E$5:$E$1004))</f>
        <v/>
      </c>
    </row>
    <row r="81" customFormat="false" ht="15" hidden="false" customHeight="false" outlineLevel="0" collapsed="false">
      <c r="A81" s="14"/>
      <c r="B81" s="15"/>
      <c r="C81" s="14"/>
      <c r="D81" s="14"/>
      <c r="E81" s="14"/>
      <c r="F81" s="14"/>
      <c r="G81" s="14"/>
      <c r="H81" s="14"/>
      <c r="I81" s="16"/>
      <c r="J81" s="17"/>
      <c r="K81" s="14"/>
      <c r="L81" s="15"/>
      <c r="M81" s="17"/>
      <c r="N81" s="14"/>
      <c r="O81" s="15"/>
      <c r="P81" s="14"/>
      <c r="Q81" s="16"/>
      <c r="R81" s="13" t="str">
        <f aca="false">IF(AND(B81&lt;&gt;"",L81&lt;&gt;""),L81-B81,"")</f>
        <v/>
      </c>
      <c r="S81" s="13" t="str">
        <f aca="true">IF(B81="","",IF(O81&lt;&gt;"",O81-B81,TODAY()-B81))</f>
        <v/>
      </c>
      <c r="T81" s="13" t="str">
        <f aca="false">IF(A81="","",SUMIF('Time Log'!$C$5:$C$1004,A81,'Time Log'!$E$5:$E$1004))</f>
        <v/>
      </c>
    </row>
    <row r="82" customFormat="false" ht="15" hidden="false" customHeight="false" outlineLevel="0" collapsed="false">
      <c r="A82" s="14"/>
      <c r="B82" s="15"/>
      <c r="C82" s="14"/>
      <c r="D82" s="14"/>
      <c r="E82" s="14"/>
      <c r="F82" s="14"/>
      <c r="G82" s="14"/>
      <c r="H82" s="14"/>
      <c r="I82" s="16"/>
      <c r="J82" s="17"/>
      <c r="K82" s="14"/>
      <c r="L82" s="15"/>
      <c r="M82" s="17"/>
      <c r="N82" s="14"/>
      <c r="O82" s="15"/>
      <c r="P82" s="14"/>
      <c r="Q82" s="16"/>
      <c r="R82" s="13" t="str">
        <f aca="false">IF(AND(B82&lt;&gt;"",L82&lt;&gt;""),L82-B82,"")</f>
        <v/>
      </c>
      <c r="S82" s="13" t="str">
        <f aca="true">IF(B82="","",IF(O82&lt;&gt;"",O82-B82,TODAY()-B82))</f>
        <v/>
      </c>
      <c r="T82" s="13" t="str">
        <f aca="false">IF(A82="","",SUMIF('Time Log'!$C$5:$C$1004,A82,'Time Log'!$E$5:$E$1004))</f>
        <v/>
      </c>
    </row>
    <row r="83" customFormat="false" ht="15" hidden="false" customHeight="false" outlineLevel="0" collapsed="false">
      <c r="A83" s="14"/>
      <c r="B83" s="15"/>
      <c r="C83" s="14"/>
      <c r="D83" s="14"/>
      <c r="E83" s="14"/>
      <c r="F83" s="14"/>
      <c r="G83" s="14"/>
      <c r="H83" s="14"/>
      <c r="I83" s="16"/>
      <c r="J83" s="17"/>
      <c r="K83" s="14"/>
      <c r="L83" s="15"/>
      <c r="M83" s="17"/>
      <c r="N83" s="14"/>
      <c r="O83" s="15"/>
      <c r="P83" s="14"/>
      <c r="Q83" s="16"/>
      <c r="R83" s="13" t="str">
        <f aca="false">IF(AND(B83&lt;&gt;"",L83&lt;&gt;""),L83-B83,"")</f>
        <v/>
      </c>
      <c r="S83" s="13" t="str">
        <f aca="true">IF(B83="","",IF(O83&lt;&gt;"",O83-B83,TODAY()-B83))</f>
        <v/>
      </c>
      <c r="T83" s="13" t="str">
        <f aca="false">IF(A83="","",SUMIF('Time Log'!$C$5:$C$1004,A83,'Time Log'!$E$5:$E$1004))</f>
        <v/>
      </c>
    </row>
    <row r="84" customFormat="false" ht="15" hidden="false" customHeight="false" outlineLevel="0" collapsed="false">
      <c r="A84" s="14"/>
      <c r="B84" s="15"/>
      <c r="C84" s="14"/>
      <c r="D84" s="14"/>
      <c r="E84" s="14"/>
      <c r="F84" s="14"/>
      <c r="G84" s="14"/>
      <c r="H84" s="14"/>
      <c r="I84" s="16"/>
      <c r="J84" s="17"/>
      <c r="K84" s="14"/>
      <c r="L84" s="15"/>
      <c r="M84" s="17"/>
      <c r="N84" s="14"/>
      <c r="O84" s="15"/>
      <c r="P84" s="14"/>
      <c r="Q84" s="16"/>
      <c r="R84" s="13" t="str">
        <f aca="false">IF(AND(B84&lt;&gt;"",L84&lt;&gt;""),L84-B84,"")</f>
        <v/>
      </c>
      <c r="S84" s="13" t="str">
        <f aca="true">IF(B84="","",IF(O84&lt;&gt;"",O84-B84,TODAY()-B84))</f>
        <v/>
      </c>
      <c r="T84" s="13" t="str">
        <f aca="false">IF(A84="","",SUMIF('Time Log'!$C$5:$C$1004,A84,'Time Log'!$E$5:$E$1004))</f>
        <v/>
      </c>
    </row>
    <row r="85" customFormat="false" ht="15" hidden="false" customHeight="false" outlineLevel="0" collapsed="false">
      <c r="A85" s="14"/>
      <c r="B85" s="15"/>
      <c r="C85" s="14"/>
      <c r="D85" s="14"/>
      <c r="E85" s="14"/>
      <c r="F85" s="14"/>
      <c r="G85" s="14"/>
      <c r="H85" s="14"/>
      <c r="I85" s="16"/>
      <c r="J85" s="17"/>
      <c r="K85" s="14"/>
      <c r="L85" s="15"/>
      <c r="M85" s="17"/>
      <c r="N85" s="14"/>
      <c r="O85" s="15"/>
      <c r="P85" s="14"/>
      <c r="Q85" s="16"/>
      <c r="R85" s="13" t="str">
        <f aca="false">IF(AND(B85&lt;&gt;"",L85&lt;&gt;""),L85-B85,"")</f>
        <v/>
      </c>
      <c r="S85" s="13" t="str">
        <f aca="true">IF(B85="","",IF(O85&lt;&gt;"",O85-B85,TODAY()-B85))</f>
        <v/>
      </c>
      <c r="T85" s="13" t="str">
        <f aca="false">IF(A85="","",SUMIF('Time Log'!$C$5:$C$1004,A85,'Time Log'!$E$5:$E$1004))</f>
        <v/>
      </c>
    </row>
    <row r="86" customFormat="false" ht="15" hidden="false" customHeight="false" outlineLevel="0" collapsed="false">
      <c r="A86" s="14"/>
      <c r="B86" s="15"/>
      <c r="C86" s="14"/>
      <c r="D86" s="14"/>
      <c r="E86" s="14"/>
      <c r="F86" s="14"/>
      <c r="G86" s="14"/>
      <c r="H86" s="14"/>
      <c r="I86" s="16"/>
      <c r="J86" s="17"/>
      <c r="K86" s="14"/>
      <c r="L86" s="15"/>
      <c r="M86" s="17"/>
      <c r="N86" s="14"/>
      <c r="O86" s="15"/>
      <c r="P86" s="14"/>
      <c r="Q86" s="16"/>
      <c r="R86" s="13" t="str">
        <f aca="false">IF(AND(B86&lt;&gt;"",L86&lt;&gt;""),L86-B86,"")</f>
        <v/>
      </c>
      <c r="S86" s="13" t="str">
        <f aca="true">IF(B86="","",IF(O86&lt;&gt;"",O86-B86,TODAY()-B86))</f>
        <v/>
      </c>
      <c r="T86" s="13" t="str">
        <f aca="false">IF(A86="","",SUMIF('Time Log'!$C$5:$C$1004,A86,'Time Log'!$E$5:$E$1004))</f>
        <v/>
      </c>
    </row>
    <row r="87" customFormat="false" ht="15" hidden="false" customHeight="false" outlineLevel="0" collapsed="false">
      <c r="A87" s="14"/>
      <c r="B87" s="15"/>
      <c r="C87" s="14"/>
      <c r="D87" s="14"/>
      <c r="E87" s="14"/>
      <c r="F87" s="14"/>
      <c r="G87" s="14"/>
      <c r="H87" s="14"/>
      <c r="I87" s="16"/>
      <c r="J87" s="17"/>
      <c r="K87" s="14"/>
      <c r="L87" s="15"/>
      <c r="M87" s="17"/>
      <c r="N87" s="14"/>
      <c r="O87" s="15"/>
      <c r="P87" s="14"/>
      <c r="Q87" s="16"/>
      <c r="R87" s="13" t="str">
        <f aca="false">IF(AND(B87&lt;&gt;"",L87&lt;&gt;""),L87-B87,"")</f>
        <v/>
      </c>
      <c r="S87" s="13" t="str">
        <f aca="true">IF(B87="","",IF(O87&lt;&gt;"",O87-B87,TODAY()-B87))</f>
        <v/>
      </c>
      <c r="T87" s="13" t="str">
        <f aca="false">IF(A87="","",SUMIF('Time Log'!$C$5:$C$1004,A87,'Time Log'!$E$5:$E$1004))</f>
        <v/>
      </c>
    </row>
    <row r="88" customFormat="false" ht="15" hidden="false" customHeight="false" outlineLevel="0" collapsed="false">
      <c r="A88" s="14"/>
      <c r="B88" s="15"/>
      <c r="C88" s="14"/>
      <c r="D88" s="14"/>
      <c r="E88" s="14"/>
      <c r="F88" s="14"/>
      <c r="G88" s="14"/>
      <c r="H88" s="14"/>
      <c r="I88" s="16"/>
      <c r="J88" s="17"/>
      <c r="K88" s="14"/>
      <c r="L88" s="15"/>
      <c r="M88" s="17"/>
      <c r="N88" s="14"/>
      <c r="O88" s="15"/>
      <c r="P88" s="14"/>
      <c r="Q88" s="16"/>
      <c r="R88" s="13" t="str">
        <f aca="false">IF(AND(B88&lt;&gt;"",L88&lt;&gt;""),L88-B88,"")</f>
        <v/>
      </c>
      <c r="S88" s="13" t="str">
        <f aca="true">IF(B88="","",IF(O88&lt;&gt;"",O88-B88,TODAY()-B88))</f>
        <v/>
      </c>
      <c r="T88" s="13" t="str">
        <f aca="false">IF(A88="","",SUMIF('Time Log'!$C$5:$C$1004,A88,'Time Log'!$E$5:$E$1004))</f>
        <v/>
      </c>
    </row>
    <row r="89" customFormat="false" ht="15" hidden="false" customHeight="false" outlineLevel="0" collapsed="false">
      <c r="A89" s="14"/>
      <c r="B89" s="15"/>
      <c r="C89" s="14"/>
      <c r="D89" s="14"/>
      <c r="E89" s="14"/>
      <c r="F89" s="14"/>
      <c r="G89" s="14"/>
      <c r="H89" s="14"/>
      <c r="I89" s="16"/>
      <c r="J89" s="17"/>
      <c r="K89" s="14"/>
      <c r="L89" s="15"/>
      <c r="M89" s="17"/>
      <c r="N89" s="14"/>
      <c r="O89" s="15"/>
      <c r="P89" s="14"/>
      <c r="Q89" s="16"/>
      <c r="R89" s="13" t="str">
        <f aca="false">IF(AND(B89&lt;&gt;"",L89&lt;&gt;""),L89-B89,"")</f>
        <v/>
      </c>
      <c r="S89" s="13" t="str">
        <f aca="true">IF(B89="","",IF(O89&lt;&gt;"",O89-B89,TODAY()-B89))</f>
        <v/>
      </c>
      <c r="T89" s="13" t="str">
        <f aca="false">IF(A89="","",SUMIF('Time Log'!$C$5:$C$1004,A89,'Time Log'!$E$5:$E$1004))</f>
        <v/>
      </c>
    </row>
    <row r="90" customFormat="false" ht="15" hidden="false" customHeight="false" outlineLevel="0" collapsed="false">
      <c r="A90" s="14"/>
      <c r="B90" s="15"/>
      <c r="C90" s="14"/>
      <c r="D90" s="14"/>
      <c r="E90" s="14"/>
      <c r="F90" s="14"/>
      <c r="G90" s="14"/>
      <c r="H90" s="14"/>
      <c r="I90" s="16"/>
      <c r="J90" s="17"/>
      <c r="K90" s="14"/>
      <c r="L90" s="15"/>
      <c r="M90" s="17"/>
      <c r="N90" s="14"/>
      <c r="O90" s="15"/>
      <c r="P90" s="14"/>
      <c r="Q90" s="16"/>
      <c r="R90" s="13" t="str">
        <f aca="false">IF(AND(B90&lt;&gt;"",L90&lt;&gt;""),L90-B90,"")</f>
        <v/>
      </c>
      <c r="S90" s="13" t="str">
        <f aca="true">IF(B90="","",IF(O90&lt;&gt;"",O90-B90,TODAY()-B90))</f>
        <v/>
      </c>
      <c r="T90" s="13" t="str">
        <f aca="false">IF(A90="","",SUMIF('Time Log'!$C$5:$C$1004,A90,'Time Log'!$E$5:$E$1004))</f>
        <v/>
      </c>
    </row>
    <row r="91" customFormat="false" ht="15" hidden="false" customHeight="false" outlineLevel="0" collapsed="false">
      <c r="A91" s="14"/>
      <c r="B91" s="15"/>
      <c r="C91" s="14"/>
      <c r="D91" s="14"/>
      <c r="E91" s="14"/>
      <c r="F91" s="14"/>
      <c r="G91" s="14"/>
      <c r="H91" s="14"/>
      <c r="I91" s="16"/>
      <c r="J91" s="17"/>
      <c r="K91" s="14"/>
      <c r="L91" s="15"/>
      <c r="M91" s="17"/>
      <c r="N91" s="14"/>
      <c r="O91" s="15"/>
      <c r="P91" s="14"/>
      <c r="Q91" s="16"/>
      <c r="R91" s="13" t="str">
        <f aca="false">IF(AND(B91&lt;&gt;"",L91&lt;&gt;""),L91-B91,"")</f>
        <v/>
      </c>
      <c r="S91" s="13" t="str">
        <f aca="true">IF(B91="","",IF(O91&lt;&gt;"",O91-B91,TODAY()-B91))</f>
        <v/>
      </c>
      <c r="T91" s="13" t="str">
        <f aca="false">IF(A91="","",SUMIF('Time Log'!$C$5:$C$1004,A91,'Time Log'!$E$5:$E$1004))</f>
        <v/>
      </c>
    </row>
    <row r="92" customFormat="false" ht="15" hidden="false" customHeight="false" outlineLevel="0" collapsed="false">
      <c r="A92" s="14"/>
      <c r="B92" s="15"/>
      <c r="C92" s="14"/>
      <c r="D92" s="14"/>
      <c r="E92" s="14"/>
      <c r="F92" s="14"/>
      <c r="G92" s="14"/>
      <c r="H92" s="14"/>
      <c r="I92" s="16"/>
      <c r="J92" s="17"/>
      <c r="K92" s="14"/>
      <c r="L92" s="15"/>
      <c r="M92" s="17"/>
      <c r="N92" s="14"/>
      <c r="O92" s="15"/>
      <c r="P92" s="14"/>
      <c r="Q92" s="16"/>
      <c r="R92" s="13" t="str">
        <f aca="false">IF(AND(B92&lt;&gt;"",L92&lt;&gt;""),L92-B92,"")</f>
        <v/>
      </c>
      <c r="S92" s="13" t="str">
        <f aca="true">IF(B92="","",IF(O92&lt;&gt;"",O92-B92,TODAY()-B92))</f>
        <v/>
      </c>
      <c r="T92" s="13" t="str">
        <f aca="false">IF(A92="","",SUMIF('Time Log'!$C$5:$C$1004,A92,'Time Log'!$E$5:$E$1004))</f>
        <v/>
      </c>
    </row>
    <row r="93" customFormat="false" ht="15" hidden="false" customHeight="false" outlineLevel="0" collapsed="false">
      <c r="A93" s="14"/>
      <c r="B93" s="15"/>
      <c r="C93" s="14"/>
      <c r="D93" s="14"/>
      <c r="E93" s="14"/>
      <c r="F93" s="14"/>
      <c r="G93" s="14"/>
      <c r="H93" s="14"/>
      <c r="I93" s="16"/>
      <c r="J93" s="17"/>
      <c r="K93" s="14"/>
      <c r="L93" s="15"/>
      <c r="M93" s="17"/>
      <c r="N93" s="14"/>
      <c r="O93" s="15"/>
      <c r="P93" s="14"/>
      <c r="Q93" s="16"/>
      <c r="R93" s="13" t="str">
        <f aca="false">IF(AND(B93&lt;&gt;"",L93&lt;&gt;""),L93-B93,"")</f>
        <v/>
      </c>
      <c r="S93" s="13" t="str">
        <f aca="true">IF(B93="","",IF(O93&lt;&gt;"",O93-B93,TODAY()-B93))</f>
        <v/>
      </c>
      <c r="T93" s="13" t="str">
        <f aca="false">IF(A93="","",SUMIF('Time Log'!$C$5:$C$1004,A93,'Time Log'!$E$5:$E$1004))</f>
        <v/>
      </c>
    </row>
    <row r="94" customFormat="false" ht="15" hidden="false" customHeight="false" outlineLevel="0" collapsed="false">
      <c r="A94" s="14"/>
      <c r="B94" s="15"/>
      <c r="C94" s="14"/>
      <c r="D94" s="14"/>
      <c r="E94" s="14"/>
      <c r="F94" s="14"/>
      <c r="G94" s="14"/>
      <c r="H94" s="14"/>
      <c r="I94" s="16"/>
      <c r="J94" s="17"/>
      <c r="K94" s="14"/>
      <c r="L94" s="15"/>
      <c r="M94" s="17"/>
      <c r="N94" s="14"/>
      <c r="O94" s="15"/>
      <c r="P94" s="14"/>
      <c r="Q94" s="16"/>
      <c r="R94" s="13" t="str">
        <f aca="false">IF(AND(B94&lt;&gt;"",L94&lt;&gt;""),L94-B94,"")</f>
        <v/>
      </c>
      <c r="S94" s="13" t="str">
        <f aca="true">IF(B94="","",IF(O94&lt;&gt;"",O94-B94,TODAY()-B94))</f>
        <v/>
      </c>
      <c r="T94" s="13" t="str">
        <f aca="false">IF(A94="","",SUMIF('Time Log'!$C$5:$C$1004,A94,'Time Log'!$E$5:$E$1004))</f>
        <v/>
      </c>
    </row>
    <row r="95" customFormat="false" ht="15" hidden="false" customHeight="false" outlineLevel="0" collapsed="false">
      <c r="A95" s="14"/>
      <c r="B95" s="15"/>
      <c r="C95" s="14"/>
      <c r="D95" s="14"/>
      <c r="E95" s="14"/>
      <c r="F95" s="14"/>
      <c r="G95" s="14"/>
      <c r="H95" s="14"/>
      <c r="I95" s="16"/>
      <c r="J95" s="17"/>
      <c r="K95" s="14"/>
      <c r="L95" s="15"/>
      <c r="M95" s="17"/>
      <c r="N95" s="14"/>
      <c r="O95" s="15"/>
      <c r="P95" s="14"/>
      <c r="Q95" s="16"/>
      <c r="R95" s="13" t="str">
        <f aca="false">IF(AND(B95&lt;&gt;"",L95&lt;&gt;""),L95-B95,"")</f>
        <v/>
      </c>
      <c r="S95" s="13" t="str">
        <f aca="true">IF(B95="","",IF(O95&lt;&gt;"",O95-B95,TODAY()-B95))</f>
        <v/>
      </c>
      <c r="T95" s="13" t="str">
        <f aca="false">IF(A95="","",SUMIF('Time Log'!$C$5:$C$1004,A95,'Time Log'!$E$5:$E$1004))</f>
        <v/>
      </c>
    </row>
    <row r="96" customFormat="false" ht="15" hidden="false" customHeight="false" outlineLevel="0" collapsed="false">
      <c r="A96" s="14"/>
      <c r="B96" s="15"/>
      <c r="C96" s="14"/>
      <c r="D96" s="14"/>
      <c r="E96" s="14"/>
      <c r="F96" s="14"/>
      <c r="G96" s="14"/>
      <c r="H96" s="14"/>
      <c r="I96" s="16"/>
      <c r="J96" s="17"/>
      <c r="K96" s="14"/>
      <c r="L96" s="15"/>
      <c r="M96" s="17"/>
      <c r="N96" s="14"/>
      <c r="O96" s="15"/>
      <c r="P96" s="14"/>
      <c r="Q96" s="16"/>
      <c r="R96" s="13" t="str">
        <f aca="false">IF(AND(B96&lt;&gt;"",L96&lt;&gt;""),L96-B96,"")</f>
        <v/>
      </c>
      <c r="S96" s="13" t="str">
        <f aca="true">IF(B96="","",IF(O96&lt;&gt;"",O96-B96,TODAY()-B96))</f>
        <v/>
      </c>
      <c r="T96" s="13" t="str">
        <f aca="false">IF(A96="","",SUMIF('Time Log'!$C$5:$C$1004,A96,'Time Log'!$E$5:$E$1004))</f>
        <v/>
      </c>
    </row>
    <row r="97" customFormat="false" ht="15" hidden="false" customHeight="false" outlineLevel="0" collapsed="false">
      <c r="A97" s="14"/>
      <c r="B97" s="15"/>
      <c r="C97" s="14"/>
      <c r="D97" s="14"/>
      <c r="E97" s="14"/>
      <c r="F97" s="14"/>
      <c r="G97" s="14"/>
      <c r="H97" s="14"/>
      <c r="I97" s="16"/>
      <c r="J97" s="17"/>
      <c r="K97" s="14"/>
      <c r="L97" s="15"/>
      <c r="M97" s="17"/>
      <c r="N97" s="14"/>
      <c r="O97" s="15"/>
      <c r="P97" s="14"/>
      <c r="Q97" s="16"/>
      <c r="R97" s="13" t="str">
        <f aca="false">IF(AND(B97&lt;&gt;"",L97&lt;&gt;""),L97-B97,"")</f>
        <v/>
      </c>
      <c r="S97" s="13" t="str">
        <f aca="true">IF(B97="","",IF(O97&lt;&gt;"",O97-B97,TODAY()-B97))</f>
        <v/>
      </c>
      <c r="T97" s="13" t="str">
        <f aca="false">IF(A97="","",SUMIF('Time Log'!$C$5:$C$1004,A97,'Time Log'!$E$5:$E$1004))</f>
        <v/>
      </c>
    </row>
    <row r="98" customFormat="false" ht="15" hidden="false" customHeight="false" outlineLevel="0" collapsed="false">
      <c r="A98" s="14"/>
      <c r="B98" s="15"/>
      <c r="C98" s="14"/>
      <c r="D98" s="14"/>
      <c r="E98" s="14"/>
      <c r="F98" s="14"/>
      <c r="G98" s="14"/>
      <c r="H98" s="14"/>
      <c r="I98" s="16"/>
      <c r="J98" s="17"/>
      <c r="K98" s="14"/>
      <c r="L98" s="15"/>
      <c r="M98" s="17"/>
      <c r="N98" s="14"/>
      <c r="O98" s="15"/>
      <c r="P98" s="14"/>
      <c r="Q98" s="16"/>
      <c r="R98" s="13" t="str">
        <f aca="false">IF(AND(B98&lt;&gt;"",L98&lt;&gt;""),L98-B98,"")</f>
        <v/>
      </c>
      <c r="S98" s="13" t="str">
        <f aca="true">IF(B98="","",IF(O98&lt;&gt;"",O98-B98,TODAY()-B98))</f>
        <v/>
      </c>
      <c r="T98" s="13" t="str">
        <f aca="false">IF(A98="","",SUMIF('Time Log'!$C$5:$C$1004,A98,'Time Log'!$E$5:$E$1004))</f>
        <v/>
      </c>
    </row>
    <row r="99" customFormat="false" ht="15" hidden="false" customHeight="false" outlineLevel="0" collapsed="false">
      <c r="A99" s="14"/>
      <c r="B99" s="15"/>
      <c r="C99" s="14"/>
      <c r="D99" s="14"/>
      <c r="E99" s="14"/>
      <c r="F99" s="14"/>
      <c r="G99" s="14"/>
      <c r="H99" s="14"/>
      <c r="I99" s="16"/>
      <c r="J99" s="17"/>
      <c r="K99" s="14"/>
      <c r="L99" s="15"/>
      <c r="M99" s="17"/>
      <c r="N99" s="14"/>
      <c r="O99" s="15"/>
      <c r="P99" s="14"/>
      <c r="Q99" s="16"/>
      <c r="R99" s="13" t="str">
        <f aca="false">IF(AND(B99&lt;&gt;"",L99&lt;&gt;""),L99-B99,"")</f>
        <v/>
      </c>
      <c r="S99" s="13" t="str">
        <f aca="true">IF(B99="","",IF(O99&lt;&gt;"",O99-B99,TODAY()-B99))</f>
        <v/>
      </c>
      <c r="T99" s="13" t="str">
        <f aca="false">IF(A99="","",SUMIF('Time Log'!$C$5:$C$1004,A99,'Time Log'!$E$5:$E$1004))</f>
        <v/>
      </c>
    </row>
    <row r="100" customFormat="false" ht="15" hidden="false" customHeight="false" outlineLevel="0" collapsed="false">
      <c r="A100" s="14"/>
      <c r="B100" s="15"/>
      <c r="C100" s="14"/>
      <c r="D100" s="14"/>
      <c r="E100" s="14"/>
      <c r="F100" s="14"/>
      <c r="G100" s="14"/>
      <c r="H100" s="14"/>
      <c r="I100" s="16"/>
      <c r="J100" s="17"/>
      <c r="K100" s="14"/>
      <c r="L100" s="15"/>
      <c r="M100" s="17"/>
      <c r="N100" s="14"/>
      <c r="O100" s="15"/>
      <c r="P100" s="14"/>
      <c r="Q100" s="16"/>
      <c r="R100" s="13" t="str">
        <f aca="false">IF(AND(B100&lt;&gt;"",L100&lt;&gt;""),L100-B100,"")</f>
        <v/>
      </c>
      <c r="S100" s="13" t="str">
        <f aca="true">IF(B100="","",IF(O100&lt;&gt;"",O100-B100,TODAY()-B100))</f>
        <v/>
      </c>
      <c r="T100" s="13" t="str">
        <f aca="false">IF(A100="","",SUMIF('Time Log'!$C$5:$C$1004,A100,'Time Log'!$E$5:$E$1004))</f>
        <v/>
      </c>
    </row>
    <row r="101" customFormat="false" ht="15" hidden="false" customHeight="false" outlineLevel="0" collapsed="false">
      <c r="A101" s="14"/>
      <c r="B101" s="15"/>
      <c r="C101" s="14"/>
      <c r="D101" s="14"/>
      <c r="E101" s="14"/>
      <c r="F101" s="14"/>
      <c r="G101" s="14"/>
      <c r="H101" s="14"/>
      <c r="I101" s="16"/>
      <c r="J101" s="17"/>
      <c r="K101" s="14"/>
      <c r="L101" s="15"/>
      <c r="M101" s="17"/>
      <c r="N101" s="14"/>
      <c r="O101" s="15"/>
      <c r="P101" s="14"/>
      <c r="Q101" s="16"/>
      <c r="R101" s="13" t="str">
        <f aca="false">IF(AND(B101&lt;&gt;"",L101&lt;&gt;""),L101-B101,"")</f>
        <v/>
      </c>
      <c r="S101" s="13" t="str">
        <f aca="true">IF(B101="","",IF(O101&lt;&gt;"",O101-B101,TODAY()-B101))</f>
        <v/>
      </c>
      <c r="T101" s="13" t="str">
        <f aca="false">IF(A101="","",SUMIF('Time Log'!$C$5:$C$1004,A101,'Time Log'!$E$5:$E$1004))</f>
        <v/>
      </c>
    </row>
    <row r="102" customFormat="false" ht="15" hidden="false" customHeight="false" outlineLevel="0" collapsed="false">
      <c r="A102" s="14"/>
      <c r="B102" s="15"/>
      <c r="C102" s="14"/>
      <c r="D102" s="14"/>
      <c r="E102" s="14"/>
      <c r="F102" s="14"/>
      <c r="G102" s="14"/>
      <c r="H102" s="14"/>
      <c r="I102" s="16"/>
      <c r="J102" s="17"/>
      <c r="K102" s="14"/>
      <c r="L102" s="15"/>
      <c r="M102" s="17"/>
      <c r="N102" s="14"/>
      <c r="O102" s="15"/>
      <c r="P102" s="14"/>
      <c r="Q102" s="16"/>
      <c r="R102" s="13" t="str">
        <f aca="false">IF(AND(B102&lt;&gt;"",L102&lt;&gt;""),L102-B102,"")</f>
        <v/>
      </c>
      <c r="S102" s="13" t="str">
        <f aca="true">IF(B102="","",IF(O102&lt;&gt;"",O102-B102,TODAY()-B102))</f>
        <v/>
      </c>
      <c r="T102" s="13" t="str">
        <f aca="false">IF(A102="","",SUMIF('Time Log'!$C$5:$C$1004,A102,'Time Log'!$E$5:$E$1004))</f>
        <v/>
      </c>
    </row>
    <row r="103" customFormat="false" ht="15" hidden="false" customHeight="false" outlineLevel="0" collapsed="false">
      <c r="A103" s="14"/>
      <c r="B103" s="15"/>
      <c r="C103" s="14"/>
      <c r="D103" s="14"/>
      <c r="E103" s="14"/>
      <c r="F103" s="14"/>
      <c r="G103" s="14"/>
      <c r="H103" s="14"/>
      <c r="I103" s="16"/>
      <c r="J103" s="17"/>
      <c r="K103" s="14"/>
      <c r="L103" s="15"/>
      <c r="M103" s="17"/>
      <c r="N103" s="14"/>
      <c r="O103" s="15"/>
      <c r="P103" s="14"/>
      <c r="Q103" s="16"/>
      <c r="R103" s="13" t="str">
        <f aca="false">IF(AND(B103&lt;&gt;"",L103&lt;&gt;""),L103-B103,"")</f>
        <v/>
      </c>
      <c r="S103" s="13" t="str">
        <f aca="true">IF(B103="","",IF(O103&lt;&gt;"",O103-B103,TODAY()-B103))</f>
        <v/>
      </c>
      <c r="T103" s="13" t="str">
        <f aca="false">IF(A103="","",SUMIF('Time Log'!$C$5:$C$1004,A103,'Time Log'!$E$5:$E$1004))</f>
        <v/>
      </c>
    </row>
    <row r="104" customFormat="false" ht="15" hidden="false" customHeight="false" outlineLevel="0" collapsed="false">
      <c r="A104" s="14"/>
      <c r="B104" s="15"/>
      <c r="C104" s="14"/>
      <c r="D104" s="14"/>
      <c r="E104" s="14"/>
      <c r="F104" s="14"/>
      <c r="G104" s="14"/>
      <c r="H104" s="14"/>
      <c r="I104" s="16"/>
      <c r="J104" s="17"/>
      <c r="K104" s="14"/>
      <c r="L104" s="15"/>
      <c r="M104" s="17"/>
      <c r="N104" s="14"/>
      <c r="O104" s="15"/>
      <c r="P104" s="14"/>
      <c r="Q104" s="16"/>
      <c r="R104" s="13" t="str">
        <f aca="false">IF(AND(B104&lt;&gt;"",L104&lt;&gt;""),L104-B104,"")</f>
        <v/>
      </c>
      <c r="S104" s="13" t="str">
        <f aca="true">IF(B104="","",IF(O104&lt;&gt;"",O104-B104,TODAY()-B104))</f>
        <v/>
      </c>
      <c r="T104" s="13" t="str">
        <f aca="false">IF(A104="","",SUMIF('Time Log'!$C$5:$C$1004,A104,'Time Log'!$E$5:$E$1004))</f>
        <v/>
      </c>
    </row>
    <row r="105" customFormat="false" ht="15" hidden="false" customHeight="false" outlineLevel="0" collapsed="false">
      <c r="A105" s="14"/>
      <c r="B105" s="15"/>
      <c r="C105" s="14"/>
      <c r="D105" s="14"/>
      <c r="E105" s="14"/>
      <c r="F105" s="14"/>
      <c r="G105" s="14"/>
      <c r="H105" s="14"/>
      <c r="I105" s="16"/>
      <c r="J105" s="17"/>
      <c r="K105" s="14"/>
      <c r="L105" s="15"/>
      <c r="M105" s="17"/>
      <c r="N105" s="14"/>
      <c r="O105" s="15"/>
      <c r="P105" s="14"/>
      <c r="Q105" s="16"/>
      <c r="R105" s="13" t="str">
        <f aca="false">IF(AND(B105&lt;&gt;"",L105&lt;&gt;""),L105-B105,"")</f>
        <v/>
      </c>
      <c r="S105" s="13" t="str">
        <f aca="true">IF(B105="","",IF(O105&lt;&gt;"",O105-B105,TODAY()-B105))</f>
        <v/>
      </c>
      <c r="T105" s="13" t="str">
        <f aca="false">IF(A105="","",SUMIF('Time Log'!$C$5:$C$1004,A105,'Time Log'!$E$5:$E$1004))</f>
        <v/>
      </c>
    </row>
    <row r="106" customFormat="false" ht="15" hidden="false" customHeight="false" outlineLevel="0" collapsed="false">
      <c r="A106" s="14"/>
      <c r="B106" s="15"/>
      <c r="C106" s="14"/>
      <c r="D106" s="14"/>
      <c r="E106" s="14"/>
      <c r="F106" s="14"/>
      <c r="G106" s="14"/>
      <c r="H106" s="14"/>
      <c r="I106" s="16"/>
      <c r="J106" s="17"/>
      <c r="K106" s="14"/>
      <c r="L106" s="15"/>
      <c r="M106" s="17"/>
      <c r="N106" s="14"/>
      <c r="O106" s="15"/>
      <c r="P106" s="14"/>
      <c r="Q106" s="16"/>
      <c r="R106" s="13" t="str">
        <f aca="false">IF(AND(B106&lt;&gt;"",L106&lt;&gt;""),L106-B106,"")</f>
        <v/>
      </c>
      <c r="S106" s="13" t="str">
        <f aca="true">IF(B106="","",IF(O106&lt;&gt;"",O106-B106,TODAY()-B106))</f>
        <v/>
      </c>
      <c r="T106" s="13" t="str">
        <f aca="false">IF(A106="","",SUMIF('Time Log'!$C$5:$C$1004,A106,'Time Log'!$E$5:$E$1004))</f>
        <v/>
      </c>
    </row>
    <row r="107" customFormat="false" ht="15" hidden="false" customHeight="false" outlineLevel="0" collapsed="false">
      <c r="A107" s="14"/>
      <c r="B107" s="15"/>
      <c r="C107" s="14"/>
      <c r="D107" s="14"/>
      <c r="E107" s="14"/>
      <c r="F107" s="14"/>
      <c r="G107" s="14"/>
      <c r="H107" s="14"/>
      <c r="I107" s="16"/>
      <c r="J107" s="17"/>
      <c r="K107" s="14"/>
      <c r="L107" s="15"/>
      <c r="M107" s="17"/>
      <c r="N107" s="14"/>
      <c r="O107" s="15"/>
      <c r="P107" s="14"/>
      <c r="Q107" s="16"/>
      <c r="R107" s="13" t="str">
        <f aca="false">IF(AND(B107&lt;&gt;"",L107&lt;&gt;""),L107-B107,"")</f>
        <v/>
      </c>
      <c r="S107" s="13" t="str">
        <f aca="true">IF(B107="","",IF(O107&lt;&gt;"",O107-B107,TODAY()-B107))</f>
        <v/>
      </c>
      <c r="T107" s="13" t="str">
        <f aca="false">IF(A107="","",SUMIF('Time Log'!$C$5:$C$1004,A107,'Time Log'!$E$5:$E$1004))</f>
        <v/>
      </c>
    </row>
    <row r="108" customFormat="false" ht="15" hidden="false" customHeight="false" outlineLevel="0" collapsed="false">
      <c r="A108" s="14"/>
      <c r="B108" s="15"/>
      <c r="C108" s="14"/>
      <c r="D108" s="14"/>
      <c r="E108" s="14"/>
      <c r="F108" s="14"/>
      <c r="G108" s="14"/>
      <c r="H108" s="14"/>
      <c r="I108" s="16"/>
      <c r="J108" s="17"/>
      <c r="K108" s="14"/>
      <c r="L108" s="15"/>
      <c r="M108" s="17"/>
      <c r="N108" s="14"/>
      <c r="O108" s="15"/>
      <c r="P108" s="14"/>
      <c r="Q108" s="16"/>
      <c r="R108" s="13" t="str">
        <f aca="false">IF(AND(B108&lt;&gt;"",L108&lt;&gt;""),L108-B108,"")</f>
        <v/>
      </c>
      <c r="S108" s="13" t="str">
        <f aca="true">IF(B108="","",IF(O108&lt;&gt;"",O108-B108,TODAY()-B108))</f>
        <v/>
      </c>
      <c r="T108" s="13" t="str">
        <f aca="false">IF(A108="","",SUMIF('Time Log'!$C$5:$C$1004,A108,'Time Log'!$E$5:$E$1004))</f>
        <v/>
      </c>
    </row>
    <row r="109" customFormat="false" ht="15" hidden="false" customHeight="false" outlineLevel="0" collapsed="false">
      <c r="A109" s="14"/>
      <c r="B109" s="15"/>
      <c r="C109" s="14"/>
      <c r="D109" s="14"/>
      <c r="E109" s="14"/>
      <c r="F109" s="14"/>
      <c r="G109" s="14"/>
      <c r="H109" s="14"/>
      <c r="I109" s="16"/>
      <c r="J109" s="17"/>
      <c r="K109" s="14"/>
      <c r="L109" s="15"/>
      <c r="M109" s="17"/>
      <c r="N109" s="14"/>
      <c r="O109" s="15"/>
      <c r="P109" s="14"/>
      <c r="Q109" s="16"/>
      <c r="R109" s="13" t="str">
        <f aca="false">IF(AND(B109&lt;&gt;"",L109&lt;&gt;""),L109-B109,"")</f>
        <v/>
      </c>
      <c r="S109" s="13" t="str">
        <f aca="true">IF(B109="","",IF(O109&lt;&gt;"",O109-B109,TODAY()-B109))</f>
        <v/>
      </c>
      <c r="T109" s="13" t="str">
        <f aca="false">IF(A109="","",SUMIF('Time Log'!$C$5:$C$1004,A109,'Time Log'!$E$5:$E$1004))</f>
        <v/>
      </c>
    </row>
    <row r="110" customFormat="false" ht="15" hidden="false" customHeight="false" outlineLevel="0" collapsed="false">
      <c r="A110" s="14"/>
      <c r="B110" s="15"/>
      <c r="C110" s="14"/>
      <c r="D110" s="14"/>
      <c r="E110" s="14"/>
      <c r="F110" s="14"/>
      <c r="G110" s="14"/>
      <c r="H110" s="14"/>
      <c r="I110" s="16"/>
      <c r="J110" s="17"/>
      <c r="K110" s="14"/>
      <c r="L110" s="15"/>
      <c r="M110" s="17"/>
      <c r="N110" s="14"/>
      <c r="O110" s="15"/>
      <c r="P110" s="14"/>
      <c r="Q110" s="16"/>
      <c r="R110" s="13" t="str">
        <f aca="false">IF(AND(B110&lt;&gt;"",L110&lt;&gt;""),L110-B110,"")</f>
        <v/>
      </c>
      <c r="S110" s="13" t="str">
        <f aca="true">IF(B110="","",IF(O110&lt;&gt;"",O110-B110,TODAY()-B110))</f>
        <v/>
      </c>
      <c r="T110" s="13" t="str">
        <f aca="false">IF(A110="","",SUMIF('Time Log'!$C$5:$C$1004,A110,'Time Log'!$E$5:$E$1004))</f>
        <v/>
      </c>
    </row>
    <row r="111" customFormat="false" ht="15" hidden="false" customHeight="false" outlineLevel="0" collapsed="false">
      <c r="A111" s="14"/>
      <c r="B111" s="15"/>
      <c r="C111" s="14"/>
      <c r="D111" s="14"/>
      <c r="E111" s="14"/>
      <c r="F111" s="14"/>
      <c r="G111" s="14"/>
      <c r="H111" s="14"/>
      <c r="I111" s="16"/>
      <c r="J111" s="17"/>
      <c r="K111" s="14"/>
      <c r="L111" s="15"/>
      <c r="M111" s="17"/>
      <c r="N111" s="14"/>
      <c r="O111" s="15"/>
      <c r="P111" s="14"/>
      <c r="Q111" s="16"/>
      <c r="R111" s="13" t="str">
        <f aca="false">IF(AND(B111&lt;&gt;"",L111&lt;&gt;""),L111-B111,"")</f>
        <v/>
      </c>
      <c r="S111" s="13" t="str">
        <f aca="true">IF(B111="","",IF(O111&lt;&gt;"",O111-B111,TODAY()-B111))</f>
        <v/>
      </c>
      <c r="T111" s="13" t="str">
        <f aca="false">IF(A111="","",SUMIF('Time Log'!$C$5:$C$1004,A111,'Time Log'!$E$5:$E$1004))</f>
        <v/>
      </c>
    </row>
    <row r="112" customFormat="false" ht="15" hidden="false" customHeight="false" outlineLevel="0" collapsed="false">
      <c r="A112" s="14"/>
      <c r="B112" s="15"/>
      <c r="C112" s="14"/>
      <c r="D112" s="14"/>
      <c r="E112" s="14"/>
      <c r="F112" s="14"/>
      <c r="G112" s="14"/>
      <c r="H112" s="14"/>
      <c r="I112" s="16"/>
      <c r="J112" s="17"/>
      <c r="K112" s="14"/>
      <c r="L112" s="15"/>
      <c r="M112" s="17"/>
      <c r="N112" s="14"/>
      <c r="O112" s="15"/>
      <c r="P112" s="14"/>
      <c r="Q112" s="16"/>
      <c r="R112" s="13" t="str">
        <f aca="false">IF(AND(B112&lt;&gt;"",L112&lt;&gt;""),L112-B112,"")</f>
        <v/>
      </c>
      <c r="S112" s="13" t="str">
        <f aca="true">IF(B112="","",IF(O112&lt;&gt;"",O112-B112,TODAY()-B112))</f>
        <v/>
      </c>
      <c r="T112" s="13" t="str">
        <f aca="false">IF(A112="","",SUMIF('Time Log'!$C$5:$C$1004,A112,'Time Log'!$E$5:$E$1004))</f>
        <v/>
      </c>
    </row>
    <row r="113" customFormat="false" ht="15" hidden="false" customHeight="false" outlineLevel="0" collapsed="false">
      <c r="A113" s="14"/>
      <c r="B113" s="15"/>
      <c r="C113" s="14"/>
      <c r="D113" s="14"/>
      <c r="E113" s="14"/>
      <c r="F113" s="14"/>
      <c r="G113" s="14"/>
      <c r="H113" s="14"/>
      <c r="I113" s="16"/>
      <c r="J113" s="17"/>
      <c r="K113" s="14"/>
      <c r="L113" s="15"/>
      <c r="M113" s="17"/>
      <c r="N113" s="14"/>
      <c r="O113" s="15"/>
      <c r="P113" s="14"/>
      <c r="Q113" s="16"/>
      <c r="R113" s="13" t="str">
        <f aca="false">IF(AND(B113&lt;&gt;"",L113&lt;&gt;""),L113-B113,"")</f>
        <v/>
      </c>
      <c r="S113" s="13" t="str">
        <f aca="true">IF(B113="","",IF(O113&lt;&gt;"",O113-B113,TODAY()-B113))</f>
        <v/>
      </c>
      <c r="T113" s="13" t="str">
        <f aca="false">IF(A113="","",SUMIF('Time Log'!$C$5:$C$1004,A113,'Time Log'!$E$5:$E$1004))</f>
        <v/>
      </c>
    </row>
    <row r="114" customFormat="false" ht="15" hidden="false" customHeight="false" outlineLevel="0" collapsed="false">
      <c r="A114" s="14"/>
      <c r="B114" s="15"/>
      <c r="C114" s="14"/>
      <c r="D114" s="14"/>
      <c r="E114" s="14"/>
      <c r="F114" s="14"/>
      <c r="G114" s="14"/>
      <c r="H114" s="14"/>
      <c r="I114" s="16"/>
      <c r="J114" s="17"/>
      <c r="K114" s="14"/>
      <c r="L114" s="15"/>
      <c r="M114" s="17"/>
      <c r="N114" s="14"/>
      <c r="O114" s="15"/>
      <c r="P114" s="14"/>
      <c r="Q114" s="16"/>
      <c r="R114" s="13" t="str">
        <f aca="false">IF(AND(B114&lt;&gt;"",L114&lt;&gt;""),L114-B114,"")</f>
        <v/>
      </c>
      <c r="S114" s="13" t="str">
        <f aca="true">IF(B114="","",IF(O114&lt;&gt;"",O114-B114,TODAY()-B114))</f>
        <v/>
      </c>
      <c r="T114" s="13" t="str">
        <f aca="false">IF(A114="","",SUMIF('Time Log'!$C$5:$C$1004,A114,'Time Log'!$E$5:$E$1004))</f>
        <v/>
      </c>
    </row>
    <row r="115" customFormat="false" ht="15" hidden="false" customHeight="false" outlineLevel="0" collapsed="false">
      <c r="A115" s="14"/>
      <c r="B115" s="15"/>
      <c r="C115" s="14"/>
      <c r="D115" s="14"/>
      <c r="E115" s="14"/>
      <c r="F115" s="14"/>
      <c r="G115" s="14"/>
      <c r="H115" s="14"/>
      <c r="I115" s="16"/>
      <c r="J115" s="17"/>
      <c r="K115" s="14"/>
      <c r="L115" s="15"/>
      <c r="M115" s="17"/>
      <c r="N115" s="14"/>
      <c r="O115" s="15"/>
      <c r="P115" s="14"/>
      <c r="Q115" s="16"/>
      <c r="R115" s="13" t="str">
        <f aca="false">IF(AND(B115&lt;&gt;"",L115&lt;&gt;""),L115-B115,"")</f>
        <v/>
      </c>
      <c r="S115" s="13" t="str">
        <f aca="true">IF(B115="","",IF(O115&lt;&gt;"",O115-B115,TODAY()-B115))</f>
        <v/>
      </c>
      <c r="T115" s="13" t="str">
        <f aca="false">IF(A115="","",SUMIF('Time Log'!$C$5:$C$1004,A115,'Time Log'!$E$5:$E$1004))</f>
        <v/>
      </c>
    </row>
    <row r="116" customFormat="false" ht="15" hidden="false" customHeight="false" outlineLevel="0" collapsed="false">
      <c r="A116" s="14"/>
      <c r="B116" s="15"/>
      <c r="C116" s="14"/>
      <c r="D116" s="14"/>
      <c r="E116" s="14"/>
      <c r="F116" s="14"/>
      <c r="G116" s="14"/>
      <c r="H116" s="14"/>
      <c r="I116" s="16"/>
      <c r="J116" s="17"/>
      <c r="K116" s="14"/>
      <c r="L116" s="15"/>
      <c r="M116" s="17"/>
      <c r="N116" s="14"/>
      <c r="O116" s="15"/>
      <c r="P116" s="14"/>
      <c r="Q116" s="16"/>
      <c r="R116" s="13" t="str">
        <f aca="false">IF(AND(B116&lt;&gt;"",L116&lt;&gt;""),L116-B116,"")</f>
        <v/>
      </c>
      <c r="S116" s="13" t="str">
        <f aca="true">IF(B116="","",IF(O116&lt;&gt;"",O116-B116,TODAY()-B116))</f>
        <v/>
      </c>
      <c r="T116" s="13" t="str">
        <f aca="false">IF(A116="","",SUMIF('Time Log'!$C$5:$C$1004,A116,'Time Log'!$E$5:$E$1004))</f>
        <v/>
      </c>
    </row>
    <row r="117" customFormat="false" ht="15" hidden="false" customHeight="false" outlineLevel="0" collapsed="false">
      <c r="A117" s="14"/>
      <c r="B117" s="15"/>
      <c r="C117" s="14"/>
      <c r="D117" s="14"/>
      <c r="E117" s="14"/>
      <c r="F117" s="14"/>
      <c r="G117" s="14"/>
      <c r="H117" s="14"/>
      <c r="I117" s="16"/>
      <c r="J117" s="17"/>
      <c r="K117" s="14"/>
      <c r="L117" s="15"/>
      <c r="M117" s="17"/>
      <c r="N117" s="14"/>
      <c r="O117" s="15"/>
      <c r="P117" s="14"/>
      <c r="Q117" s="16"/>
      <c r="R117" s="13" t="str">
        <f aca="false">IF(AND(B117&lt;&gt;"",L117&lt;&gt;""),L117-B117,"")</f>
        <v/>
      </c>
      <c r="S117" s="13" t="str">
        <f aca="true">IF(B117="","",IF(O117&lt;&gt;"",O117-B117,TODAY()-B117))</f>
        <v/>
      </c>
      <c r="T117" s="13" t="str">
        <f aca="false">IF(A117="","",SUMIF('Time Log'!$C$5:$C$1004,A117,'Time Log'!$E$5:$E$1004))</f>
        <v/>
      </c>
    </row>
    <row r="118" customFormat="false" ht="15" hidden="false" customHeight="false" outlineLevel="0" collapsed="false">
      <c r="A118" s="14"/>
      <c r="B118" s="15"/>
      <c r="C118" s="14"/>
      <c r="D118" s="14"/>
      <c r="E118" s="14"/>
      <c r="F118" s="14"/>
      <c r="G118" s="14"/>
      <c r="H118" s="14"/>
      <c r="I118" s="16"/>
      <c r="J118" s="17"/>
      <c r="K118" s="14"/>
      <c r="L118" s="15"/>
      <c r="M118" s="17"/>
      <c r="N118" s="14"/>
      <c r="O118" s="15"/>
      <c r="P118" s="14"/>
      <c r="Q118" s="16"/>
      <c r="R118" s="13" t="str">
        <f aca="false">IF(AND(B118&lt;&gt;"",L118&lt;&gt;""),L118-B118,"")</f>
        <v/>
      </c>
      <c r="S118" s="13" t="str">
        <f aca="true">IF(B118="","",IF(O118&lt;&gt;"",O118-B118,TODAY()-B118))</f>
        <v/>
      </c>
      <c r="T118" s="13" t="str">
        <f aca="false">IF(A118="","",SUMIF('Time Log'!$C$5:$C$1004,A118,'Time Log'!$E$5:$E$1004))</f>
        <v/>
      </c>
    </row>
    <row r="119" customFormat="false" ht="15" hidden="false" customHeight="false" outlineLevel="0" collapsed="false">
      <c r="A119" s="14"/>
      <c r="B119" s="15"/>
      <c r="C119" s="14"/>
      <c r="D119" s="14"/>
      <c r="E119" s="14"/>
      <c r="F119" s="14"/>
      <c r="G119" s="14"/>
      <c r="H119" s="14"/>
      <c r="I119" s="16"/>
      <c r="J119" s="17"/>
      <c r="K119" s="14"/>
      <c r="L119" s="15"/>
      <c r="M119" s="17"/>
      <c r="N119" s="14"/>
      <c r="O119" s="15"/>
      <c r="P119" s="14"/>
      <c r="Q119" s="16"/>
      <c r="R119" s="13" t="str">
        <f aca="false">IF(AND(B119&lt;&gt;"",L119&lt;&gt;""),L119-B119,"")</f>
        <v/>
      </c>
      <c r="S119" s="13" t="str">
        <f aca="true">IF(B119="","",IF(O119&lt;&gt;"",O119-B119,TODAY()-B119))</f>
        <v/>
      </c>
      <c r="T119" s="13" t="str">
        <f aca="false">IF(A119="","",SUMIF('Time Log'!$C$5:$C$1004,A119,'Time Log'!$E$5:$E$1004))</f>
        <v/>
      </c>
    </row>
    <row r="120" customFormat="false" ht="15" hidden="false" customHeight="false" outlineLevel="0" collapsed="false">
      <c r="A120" s="14"/>
      <c r="B120" s="15"/>
      <c r="C120" s="14"/>
      <c r="D120" s="14"/>
      <c r="E120" s="14"/>
      <c r="F120" s="14"/>
      <c r="G120" s="14"/>
      <c r="H120" s="14"/>
      <c r="I120" s="16"/>
      <c r="J120" s="17"/>
      <c r="K120" s="14"/>
      <c r="L120" s="15"/>
      <c r="M120" s="17"/>
      <c r="N120" s="14"/>
      <c r="O120" s="15"/>
      <c r="P120" s="14"/>
      <c r="Q120" s="16"/>
      <c r="R120" s="13" t="str">
        <f aca="false">IF(AND(B120&lt;&gt;"",L120&lt;&gt;""),L120-B120,"")</f>
        <v/>
      </c>
      <c r="S120" s="13" t="str">
        <f aca="true">IF(B120="","",IF(O120&lt;&gt;"",O120-B120,TODAY()-B120))</f>
        <v/>
      </c>
      <c r="T120" s="13" t="str">
        <f aca="false">IF(A120="","",SUMIF('Time Log'!$C$5:$C$1004,A120,'Time Log'!$E$5:$E$1004))</f>
        <v/>
      </c>
    </row>
    <row r="121" customFormat="false" ht="15" hidden="false" customHeight="false" outlineLevel="0" collapsed="false">
      <c r="A121" s="14"/>
      <c r="B121" s="15"/>
      <c r="C121" s="14"/>
      <c r="D121" s="14"/>
      <c r="E121" s="14"/>
      <c r="F121" s="14"/>
      <c r="G121" s="14"/>
      <c r="H121" s="14"/>
      <c r="I121" s="16"/>
      <c r="J121" s="17"/>
      <c r="K121" s="14"/>
      <c r="L121" s="15"/>
      <c r="M121" s="17"/>
      <c r="N121" s="14"/>
      <c r="O121" s="15"/>
      <c r="P121" s="14"/>
      <c r="Q121" s="16"/>
      <c r="R121" s="13" t="str">
        <f aca="false">IF(AND(B121&lt;&gt;"",L121&lt;&gt;""),L121-B121,"")</f>
        <v/>
      </c>
      <c r="S121" s="13" t="str">
        <f aca="true">IF(B121="","",IF(O121&lt;&gt;"",O121-B121,TODAY()-B121))</f>
        <v/>
      </c>
      <c r="T121" s="13" t="str">
        <f aca="false">IF(A121="","",SUMIF('Time Log'!$C$5:$C$1004,A121,'Time Log'!$E$5:$E$1004))</f>
        <v/>
      </c>
    </row>
    <row r="122" customFormat="false" ht="15" hidden="false" customHeight="false" outlineLevel="0" collapsed="false">
      <c r="A122" s="14"/>
      <c r="B122" s="15"/>
      <c r="C122" s="14"/>
      <c r="D122" s="14"/>
      <c r="E122" s="14"/>
      <c r="F122" s="14"/>
      <c r="G122" s="14"/>
      <c r="H122" s="14"/>
      <c r="I122" s="16"/>
      <c r="J122" s="17"/>
      <c r="K122" s="14"/>
      <c r="L122" s="15"/>
      <c r="M122" s="17"/>
      <c r="N122" s="14"/>
      <c r="O122" s="15"/>
      <c r="P122" s="14"/>
      <c r="Q122" s="16"/>
      <c r="R122" s="13" t="str">
        <f aca="false">IF(AND(B122&lt;&gt;"",L122&lt;&gt;""),L122-B122,"")</f>
        <v/>
      </c>
      <c r="S122" s="13" t="str">
        <f aca="true">IF(B122="","",IF(O122&lt;&gt;"",O122-B122,TODAY()-B122))</f>
        <v/>
      </c>
      <c r="T122" s="13" t="str">
        <f aca="false">IF(A122="","",SUMIF('Time Log'!$C$5:$C$1004,A122,'Time Log'!$E$5:$E$1004))</f>
        <v/>
      </c>
    </row>
    <row r="123" customFormat="false" ht="15" hidden="false" customHeight="false" outlineLevel="0" collapsed="false">
      <c r="A123" s="14"/>
      <c r="B123" s="15"/>
      <c r="C123" s="14"/>
      <c r="D123" s="14"/>
      <c r="E123" s="14"/>
      <c r="F123" s="14"/>
      <c r="G123" s="14"/>
      <c r="H123" s="14"/>
      <c r="I123" s="16"/>
      <c r="J123" s="17"/>
      <c r="K123" s="14"/>
      <c r="L123" s="15"/>
      <c r="M123" s="17"/>
      <c r="N123" s="14"/>
      <c r="O123" s="15"/>
      <c r="P123" s="14"/>
      <c r="Q123" s="16"/>
      <c r="R123" s="13" t="str">
        <f aca="false">IF(AND(B123&lt;&gt;"",L123&lt;&gt;""),L123-B123,"")</f>
        <v/>
      </c>
      <c r="S123" s="13" t="str">
        <f aca="true">IF(B123="","",IF(O123&lt;&gt;"",O123-B123,TODAY()-B123))</f>
        <v/>
      </c>
      <c r="T123" s="13" t="str">
        <f aca="false">IF(A123="","",SUMIF('Time Log'!$C$5:$C$1004,A123,'Time Log'!$E$5:$E$1004))</f>
        <v/>
      </c>
    </row>
    <row r="124" customFormat="false" ht="15" hidden="false" customHeight="false" outlineLevel="0" collapsed="false">
      <c r="A124" s="14"/>
      <c r="B124" s="15"/>
      <c r="C124" s="14"/>
      <c r="D124" s="14"/>
      <c r="E124" s="14"/>
      <c r="F124" s="14"/>
      <c r="G124" s="14"/>
      <c r="H124" s="14"/>
      <c r="I124" s="16"/>
      <c r="J124" s="17"/>
      <c r="K124" s="14"/>
      <c r="L124" s="15"/>
      <c r="M124" s="17"/>
      <c r="N124" s="14"/>
      <c r="O124" s="15"/>
      <c r="P124" s="14"/>
      <c r="Q124" s="16"/>
      <c r="R124" s="13" t="str">
        <f aca="false">IF(AND(B124&lt;&gt;"",L124&lt;&gt;""),L124-B124,"")</f>
        <v/>
      </c>
      <c r="S124" s="13" t="str">
        <f aca="true">IF(B124="","",IF(O124&lt;&gt;"",O124-B124,TODAY()-B124))</f>
        <v/>
      </c>
      <c r="T124" s="13" t="str">
        <f aca="false">IF(A124="","",SUMIF('Time Log'!$C$5:$C$1004,A124,'Time Log'!$E$5:$E$1004))</f>
        <v/>
      </c>
    </row>
    <row r="125" customFormat="false" ht="15" hidden="false" customHeight="false" outlineLevel="0" collapsed="false">
      <c r="A125" s="14"/>
      <c r="B125" s="15"/>
      <c r="C125" s="14"/>
      <c r="D125" s="14"/>
      <c r="E125" s="14"/>
      <c r="F125" s="14"/>
      <c r="G125" s="14"/>
      <c r="H125" s="14"/>
      <c r="I125" s="16"/>
      <c r="J125" s="17"/>
      <c r="K125" s="14"/>
      <c r="L125" s="15"/>
      <c r="M125" s="17"/>
      <c r="N125" s="14"/>
      <c r="O125" s="15"/>
      <c r="P125" s="14"/>
      <c r="Q125" s="16"/>
      <c r="R125" s="13" t="str">
        <f aca="false">IF(AND(B125&lt;&gt;"",L125&lt;&gt;""),L125-B125,"")</f>
        <v/>
      </c>
      <c r="S125" s="13" t="str">
        <f aca="true">IF(B125="","",IF(O125&lt;&gt;"",O125-B125,TODAY()-B125))</f>
        <v/>
      </c>
      <c r="T125" s="13" t="str">
        <f aca="false">IF(A125="","",SUMIF('Time Log'!$C$5:$C$1004,A125,'Time Log'!$E$5:$E$1004))</f>
        <v/>
      </c>
    </row>
    <row r="126" customFormat="false" ht="15" hidden="false" customHeight="false" outlineLevel="0" collapsed="false">
      <c r="A126" s="14"/>
      <c r="B126" s="15"/>
      <c r="C126" s="14"/>
      <c r="D126" s="14"/>
      <c r="E126" s="14"/>
      <c r="F126" s="14"/>
      <c r="G126" s="14"/>
      <c r="H126" s="14"/>
      <c r="I126" s="16"/>
      <c r="J126" s="17"/>
      <c r="K126" s="14"/>
      <c r="L126" s="15"/>
      <c r="M126" s="17"/>
      <c r="N126" s="14"/>
      <c r="O126" s="15"/>
      <c r="P126" s="14"/>
      <c r="Q126" s="16"/>
      <c r="R126" s="13" t="str">
        <f aca="false">IF(AND(B126&lt;&gt;"",L126&lt;&gt;""),L126-B126,"")</f>
        <v/>
      </c>
      <c r="S126" s="13" t="str">
        <f aca="true">IF(B126="","",IF(O126&lt;&gt;"",O126-B126,TODAY()-B126))</f>
        <v/>
      </c>
      <c r="T126" s="13" t="str">
        <f aca="false">IF(A126="","",SUMIF('Time Log'!$C$5:$C$1004,A126,'Time Log'!$E$5:$E$1004))</f>
        <v/>
      </c>
    </row>
    <row r="127" customFormat="false" ht="15" hidden="false" customHeight="false" outlineLevel="0" collapsed="false">
      <c r="A127" s="14"/>
      <c r="B127" s="15"/>
      <c r="C127" s="14"/>
      <c r="D127" s="14"/>
      <c r="E127" s="14"/>
      <c r="F127" s="14"/>
      <c r="G127" s="14"/>
      <c r="H127" s="14"/>
      <c r="I127" s="16"/>
      <c r="J127" s="17"/>
      <c r="K127" s="14"/>
      <c r="L127" s="15"/>
      <c r="M127" s="17"/>
      <c r="N127" s="14"/>
      <c r="O127" s="15"/>
      <c r="P127" s="14"/>
      <c r="Q127" s="16"/>
      <c r="R127" s="13" t="str">
        <f aca="false">IF(AND(B127&lt;&gt;"",L127&lt;&gt;""),L127-B127,"")</f>
        <v/>
      </c>
      <c r="S127" s="13" t="str">
        <f aca="true">IF(B127="","",IF(O127&lt;&gt;"",O127-B127,TODAY()-B127))</f>
        <v/>
      </c>
      <c r="T127" s="13" t="str">
        <f aca="false">IF(A127="","",SUMIF('Time Log'!$C$5:$C$1004,A127,'Time Log'!$E$5:$E$1004))</f>
        <v/>
      </c>
    </row>
    <row r="128" customFormat="false" ht="15" hidden="false" customHeight="false" outlineLevel="0" collapsed="false">
      <c r="A128" s="14"/>
      <c r="B128" s="15"/>
      <c r="C128" s="14"/>
      <c r="D128" s="14"/>
      <c r="E128" s="14"/>
      <c r="F128" s="14"/>
      <c r="G128" s="14"/>
      <c r="H128" s="14"/>
      <c r="I128" s="16"/>
      <c r="J128" s="17"/>
      <c r="K128" s="14"/>
      <c r="L128" s="15"/>
      <c r="M128" s="17"/>
      <c r="N128" s="14"/>
      <c r="O128" s="15"/>
      <c r="P128" s="14"/>
      <c r="Q128" s="16"/>
      <c r="R128" s="13" t="str">
        <f aca="false">IF(AND(B128&lt;&gt;"",L128&lt;&gt;""),L128-B128,"")</f>
        <v/>
      </c>
      <c r="S128" s="13" t="str">
        <f aca="true">IF(B128="","",IF(O128&lt;&gt;"",O128-B128,TODAY()-B128))</f>
        <v/>
      </c>
      <c r="T128" s="13" t="str">
        <f aca="false">IF(A128="","",SUMIF('Time Log'!$C$5:$C$1004,A128,'Time Log'!$E$5:$E$1004))</f>
        <v/>
      </c>
    </row>
    <row r="129" customFormat="false" ht="15" hidden="false" customHeight="false" outlineLevel="0" collapsed="false">
      <c r="A129" s="14"/>
      <c r="B129" s="15"/>
      <c r="C129" s="14"/>
      <c r="D129" s="14"/>
      <c r="E129" s="14"/>
      <c r="F129" s="14"/>
      <c r="G129" s="14"/>
      <c r="H129" s="14"/>
      <c r="I129" s="16"/>
      <c r="J129" s="17"/>
      <c r="K129" s="14"/>
      <c r="L129" s="15"/>
      <c r="M129" s="17"/>
      <c r="N129" s="14"/>
      <c r="O129" s="15"/>
      <c r="P129" s="14"/>
      <c r="Q129" s="16"/>
      <c r="R129" s="13" t="str">
        <f aca="false">IF(AND(B129&lt;&gt;"",L129&lt;&gt;""),L129-B129,"")</f>
        <v/>
      </c>
      <c r="S129" s="13" t="str">
        <f aca="true">IF(B129="","",IF(O129&lt;&gt;"",O129-B129,TODAY()-B129))</f>
        <v/>
      </c>
      <c r="T129" s="13" t="str">
        <f aca="false">IF(A129="","",SUMIF('Time Log'!$C$5:$C$1004,A129,'Time Log'!$E$5:$E$1004))</f>
        <v/>
      </c>
    </row>
    <row r="130" customFormat="false" ht="15" hidden="false" customHeight="false" outlineLevel="0" collapsed="false">
      <c r="A130" s="14"/>
      <c r="B130" s="15"/>
      <c r="C130" s="14"/>
      <c r="D130" s="14"/>
      <c r="E130" s="14"/>
      <c r="F130" s="14"/>
      <c r="G130" s="14"/>
      <c r="H130" s="14"/>
      <c r="I130" s="16"/>
      <c r="J130" s="17"/>
      <c r="K130" s="14"/>
      <c r="L130" s="15"/>
      <c r="M130" s="17"/>
      <c r="N130" s="14"/>
      <c r="O130" s="15"/>
      <c r="P130" s="14"/>
      <c r="Q130" s="16"/>
      <c r="R130" s="13" t="str">
        <f aca="false">IF(AND(B130&lt;&gt;"",L130&lt;&gt;""),L130-B130,"")</f>
        <v/>
      </c>
      <c r="S130" s="13" t="str">
        <f aca="true">IF(B130="","",IF(O130&lt;&gt;"",O130-B130,TODAY()-B130))</f>
        <v/>
      </c>
      <c r="T130" s="13" t="str">
        <f aca="false">IF(A130="","",SUMIF('Time Log'!$C$5:$C$1004,A130,'Time Log'!$E$5:$E$1004))</f>
        <v/>
      </c>
    </row>
    <row r="131" customFormat="false" ht="15" hidden="false" customHeight="false" outlineLevel="0" collapsed="false">
      <c r="A131" s="14"/>
      <c r="B131" s="15"/>
      <c r="C131" s="14"/>
      <c r="D131" s="14"/>
      <c r="E131" s="14"/>
      <c r="F131" s="14"/>
      <c r="G131" s="14"/>
      <c r="H131" s="14"/>
      <c r="I131" s="16"/>
      <c r="J131" s="17"/>
      <c r="K131" s="14"/>
      <c r="L131" s="15"/>
      <c r="M131" s="17"/>
      <c r="N131" s="14"/>
      <c r="O131" s="15"/>
      <c r="P131" s="14"/>
      <c r="Q131" s="16"/>
      <c r="R131" s="13" t="str">
        <f aca="false">IF(AND(B131&lt;&gt;"",L131&lt;&gt;""),L131-B131,"")</f>
        <v/>
      </c>
      <c r="S131" s="13" t="str">
        <f aca="true">IF(B131="","",IF(O131&lt;&gt;"",O131-B131,TODAY()-B131))</f>
        <v/>
      </c>
      <c r="T131" s="13" t="str">
        <f aca="false">IF(A131="","",SUMIF('Time Log'!$C$5:$C$1004,A131,'Time Log'!$E$5:$E$1004))</f>
        <v/>
      </c>
    </row>
    <row r="132" customFormat="false" ht="15" hidden="false" customHeight="false" outlineLevel="0" collapsed="false">
      <c r="A132" s="14"/>
      <c r="B132" s="15"/>
      <c r="C132" s="14"/>
      <c r="D132" s="14"/>
      <c r="E132" s="14"/>
      <c r="F132" s="14"/>
      <c r="G132" s="14"/>
      <c r="H132" s="14"/>
      <c r="I132" s="16"/>
      <c r="J132" s="17"/>
      <c r="K132" s="14"/>
      <c r="L132" s="15"/>
      <c r="M132" s="17"/>
      <c r="N132" s="14"/>
      <c r="O132" s="15"/>
      <c r="P132" s="14"/>
      <c r="Q132" s="16"/>
      <c r="R132" s="13" t="str">
        <f aca="false">IF(AND(B132&lt;&gt;"",L132&lt;&gt;""),L132-B132,"")</f>
        <v/>
      </c>
      <c r="S132" s="13" t="str">
        <f aca="true">IF(B132="","",IF(O132&lt;&gt;"",O132-B132,TODAY()-B132))</f>
        <v/>
      </c>
      <c r="T132" s="13" t="str">
        <f aca="false">IF(A132="","",SUMIF('Time Log'!$C$5:$C$1004,A132,'Time Log'!$E$5:$E$1004))</f>
        <v/>
      </c>
    </row>
    <row r="133" customFormat="false" ht="15" hidden="false" customHeight="false" outlineLevel="0" collapsed="false">
      <c r="A133" s="14"/>
      <c r="B133" s="15"/>
      <c r="C133" s="14"/>
      <c r="D133" s="14"/>
      <c r="E133" s="14"/>
      <c r="F133" s="14"/>
      <c r="G133" s="14"/>
      <c r="H133" s="14"/>
      <c r="I133" s="16"/>
      <c r="J133" s="17"/>
      <c r="K133" s="14"/>
      <c r="L133" s="15"/>
      <c r="M133" s="17"/>
      <c r="N133" s="14"/>
      <c r="O133" s="15"/>
      <c r="P133" s="14"/>
      <c r="Q133" s="16"/>
      <c r="R133" s="13" t="str">
        <f aca="false">IF(AND(B133&lt;&gt;"",L133&lt;&gt;""),L133-B133,"")</f>
        <v/>
      </c>
      <c r="S133" s="13" t="str">
        <f aca="true">IF(B133="","",IF(O133&lt;&gt;"",O133-B133,TODAY()-B133))</f>
        <v/>
      </c>
      <c r="T133" s="13" t="str">
        <f aca="false">IF(A133="","",SUMIF('Time Log'!$C$5:$C$1004,A133,'Time Log'!$E$5:$E$1004))</f>
        <v/>
      </c>
    </row>
    <row r="134" customFormat="false" ht="15" hidden="false" customHeight="false" outlineLevel="0" collapsed="false">
      <c r="A134" s="14"/>
      <c r="B134" s="15"/>
      <c r="C134" s="14"/>
      <c r="D134" s="14"/>
      <c r="E134" s="14"/>
      <c r="F134" s="14"/>
      <c r="G134" s="14"/>
      <c r="H134" s="14"/>
      <c r="I134" s="16"/>
      <c r="J134" s="17"/>
      <c r="K134" s="14"/>
      <c r="L134" s="15"/>
      <c r="M134" s="17"/>
      <c r="N134" s="14"/>
      <c r="O134" s="15"/>
      <c r="P134" s="14"/>
      <c r="Q134" s="16"/>
      <c r="R134" s="13" t="str">
        <f aca="false">IF(AND(B134&lt;&gt;"",L134&lt;&gt;""),L134-B134,"")</f>
        <v/>
      </c>
      <c r="S134" s="13" t="str">
        <f aca="true">IF(B134="","",IF(O134&lt;&gt;"",O134-B134,TODAY()-B134))</f>
        <v/>
      </c>
      <c r="T134" s="13" t="str">
        <f aca="false">IF(A134="","",SUMIF('Time Log'!$C$5:$C$1004,A134,'Time Log'!$E$5:$E$1004))</f>
        <v/>
      </c>
    </row>
    <row r="135" customFormat="false" ht="15" hidden="false" customHeight="false" outlineLevel="0" collapsed="false">
      <c r="A135" s="14"/>
      <c r="B135" s="15"/>
      <c r="C135" s="14"/>
      <c r="D135" s="14"/>
      <c r="E135" s="14"/>
      <c r="F135" s="14"/>
      <c r="G135" s="14"/>
      <c r="H135" s="14"/>
      <c r="I135" s="16"/>
      <c r="J135" s="17"/>
      <c r="K135" s="14"/>
      <c r="L135" s="15"/>
      <c r="M135" s="17"/>
      <c r="N135" s="14"/>
      <c r="O135" s="15"/>
      <c r="P135" s="14"/>
      <c r="Q135" s="16"/>
      <c r="R135" s="13" t="str">
        <f aca="false">IF(AND(B135&lt;&gt;"",L135&lt;&gt;""),L135-B135,"")</f>
        <v/>
      </c>
      <c r="S135" s="13" t="str">
        <f aca="true">IF(B135="","",IF(O135&lt;&gt;"",O135-B135,TODAY()-B135))</f>
        <v/>
      </c>
      <c r="T135" s="13" t="str">
        <f aca="false">IF(A135="","",SUMIF('Time Log'!$C$5:$C$1004,A135,'Time Log'!$E$5:$E$1004))</f>
        <v/>
      </c>
    </row>
    <row r="136" customFormat="false" ht="15" hidden="false" customHeight="false" outlineLevel="0" collapsed="false">
      <c r="A136" s="14"/>
      <c r="B136" s="15"/>
      <c r="C136" s="14"/>
      <c r="D136" s="14"/>
      <c r="E136" s="14"/>
      <c r="F136" s="14"/>
      <c r="G136" s="14"/>
      <c r="H136" s="14"/>
      <c r="I136" s="16"/>
      <c r="J136" s="17"/>
      <c r="K136" s="14"/>
      <c r="L136" s="15"/>
      <c r="M136" s="17"/>
      <c r="N136" s="14"/>
      <c r="O136" s="15"/>
      <c r="P136" s="14"/>
      <c r="Q136" s="16"/>
      <c r="R136" s="13" t="str">
        <f aca="false">IF(AND(B136&lt;&gt;"",L136&lt;&gt;""),L136-B136,"")</f>
        <v/>
      </c>
      <c r="S136" s="13" t="str">
        <f aca="true">IF(B136="","",IF(O136&lt;&gt;"",O136-B136,TODAY()-B136))</f>
        <v/>
      </c>
      <c r="T136" s="13" t="str">
        <f aca="false">IF(A136="","",SUMIF('Time Log'!$C$5:$C$1004,A136,'Time Log'!$E$5:$E$1004))</f>
        <v/>
      </c>
    </row>
    <row r="137" customFormat="false" ht="15" hidden="false" customHeight="false" outlineLevel="0" collapsed="false">
      <c r="A137" s="14"/>
      <c r="B137" s="15"/>
      <c r="C137" s="14"/>
      <c r="D137" s="14"/>
      <c r="E137" s="14"/>
      <c r="F137" s="14"/>
      <c r="G137" s="14"/>
      <c r="H137" s="14"/>
      <c r="I137" s="16"/>
      <c r="J137" s="17"/>
      <c r="K137" s="14"/>
      <c r="L137" s="15"/>
      <c r="M137" s="17"/>
      <c r="N137" s="14"/>
      <c r="O137" s="15"/>
      <c r="P137" s="14"/>
      <c r="Q137" s="16"/>
      <c r="R137" s="13" t="str">
        <f aca="false">IF(AND(B137&lt;&gt;"",L137&lt;&gt;""),L137-B137,"")</f>
        <v/>
      </c>
      <c r="S137" s="13" t="str">
        <f aca="true">IF(B137="","",IF(O137&lt;&gt;"",O137-B137,TODAY()-B137))</f>
        <v/>
      </c>
      <c r="T137" s="13" t="str">
        <f aca="false">IF(A137="","",SUMIF('Time Log'!$C$5:$C$1004,A137,'Time Log'!$E$5:$E$1004))</f>
        <v/>
      </c>
    </row>
    <row r="138" customFormat="false" ht="15" hidden="false" customHeight="false" outlineLevel="0" collapsed="false">
      <c r="A138" s="14"/>
      <c r="B138" s="15"/>
      <c r="C138" s="14"/>
      <c r="D138" s="14"/>
      <c r="E138" s="14"/>
      <c r="F138" s="14"/>
      <c r="G138" s="14"/>
      <c r="H138" s="14"/>
      <c r="I138" s="16"/>
      <c r="J138" s="17"/>
      <c r="K138" s="14"/>
      <c r="L138" s="15"/>
      <c r="M138" s="17"/>
      <c r="N138" s="14"/>
      <c r="O138" s="15"/>
      <c r="P138" s="14"/>
      <c r="Q138" s="16"/>
      <c r="R138" s="13" t="str">
        <f aca="false">IF(AND(B138&lt;&gt;"",L138&lt;&gt;""),L138-B138,"")</f>
        <v/>
      </c>
      <c r="S138" s="13" t="str">
        <f aca="true">IF(B138="","",IF(O138&lt;&gt;"",O138-B138,TODAY()-B138))</f>
        <v/>
      </c>
      <c r="T138" s="13" t="str">
        <f aca="false">IF(A138="","",SUMIF('Time Log'!$C$5:$C$1004,A138,'Time Log'!$E$5:$E$1004))</f>
        <v/>
      </c>
    </row>
    <row r="139" customFormat="false" ht="15" hidden="false" customHeight="false" outlineLevel="0" collapsed="false">
      <c r="A139" s="14"/>
      <c r="B139" s="15"/>
      <c r="C139" s="14"/>
      <c r="D139" s="14"/>
      <c r="E139" s="14"/>
      <c r="F139" s="14"/>
      <c r="G139" s="14"/>
      <c r="H139" s="14"/>
      <c r="I139" s="16"/>
      <c r="J139" s="17"/>
      <c r="K139" s="14"/>
      <c r="L139" s="15"/>
      <c r="M139" s="17"/>
      <c r="N139" s="14"/>
      <c r="O139" s="15"/>
      <c r="P139" s="14"/>
      <c r="Q139" s="16"/>
      <c r="R139" s="13" t="str">
        <f aca="false">IF(AND(B139&lt;&gt;"",L139&lt;&gt;""),L139-B139,"")</f>
        <v/>
      </c>
      <c r="S139" s="13" t="str">
        <f aca="true">IF(B139="","",IF(O139&lt;&gt;"",O139-B139,TODAY()-B139))</f>
        <v/>
      </c>
      <c r="T139" s="13" t="str">
        <f aca="false">IF(A139="","",SUMIF('Time Log'!$C$5:$C$1004,A139,'Time Log'!$E$5:$E$1004))</f>
        <v/>
      </c>
    </row>
    <row r="140" customFormat="false" ht="15" hidden="false" customHeight="false" outlineLevel="0" collapsed="false">
      <c r="A140" s="14"/>
      <c r="B140" s="15"/>
      <c r="C140" s="14"/>
      <c r="D140" s="14"/>
      <c r="E140" s="14"/>
      <c r="F140" s="14"/>
      <c r="G140" s="14"/>
      <c r="H140" s="14"/>
      <c r="I140" s="16"/>
      <c r="J140" s="17"/>
      <c r="K140" s="14"/>
      <c r="L140" s="15"/>
      <c r="M140" s="17"/>
      <c r="N140" s="14"/>
      <c r="O140" s="15"/>
      <c r="P140" s="14"/>
      <c r="Q140" s="16"/>
      <c r="R140" s="13" t="str">
        <f aca="false">IF(AND(B140&lt;&gt;"",L140&lt;&gt;""),L140-B140,"")</f>
        <v/>
      </c>
      <c r="S140" s="13" t="str">
        <f aca="true">IF(B140="","",IF(O140&lt;&gt;"",O140-B140,TODAY()-B140))</f>
        <v/>
      </c>
      <c r="T140" s="13" t="str">
        <f aca="false">IF(A140="","",SUMIF('Time Log'!$C$5:$C$1004,A140,'Time Log'!$E$5:$E$1004))</f>
        <v/>
      </c>
    </row>
    <row r="141" customFormat="false" ht="15" hidden="false" customHeight="false" outlineLevel="0" collapsed="false">
      <c r="A141" s="14"/>
      <c r="B141" s="15"/>
      <c r="C141" s="14"/>
      <c r="D141" s="14"/>
      <c r="E141" s="14"/>
      <c r="F141" s="14"/>
      <c r="G141" s="14"/>
      <c r="H141" s="14"/>
      <c r="I141" s="16"/>
      <c r="J141" s="17"/>
      <c r="K141" s="14"/>
      <c r="L141" s="15"/>
      <c r="M141" s="17"/>
      <c r="N141" s="14"/>
      <c r="O141" s="15"/>
      <c r="P141" s="14"/>
      <c r="Q141" s="16"/>
      <c r="R141" s="13" t="str">
        <f aca="false">IF(AND(B141&lt;&gt;"",L141&lt;&gt;""),L141-B141,"")</f>
        <v/>
      </c>
      <c r="S141" s="13" t="str">
        <f aca="true">IF(B141="","",IF(O141&lt;&gt;"",O141-B141,TODAY()-B141))</f>
        <v/>
      </c>
      <c r="T141" s="13" t="str">
        <f aca="false">IF(A141="","",SUMIF('Time Log'!$C$5:$C$1004,A141,'Time Log'!$E$5:$E$1004))</f>
        <v/>
      </c>
    </row>
    <row r="142" customFormat="false" ht="15" hidden="false" customHeight="false" outlineLevel="0" collapsed="false">
      <c r="A142" s="14"/>
      <c r="B142" s="15"/>
      <c r="C142" s="14"/>
      <c r="D142" s="14"/>
      <c r="E142" s="14"/>
      <c r="F142" s="14"/>
      <c r="G142" s="14"/>
      <c r="H142" s="14"/>
      <c r="I142" s="16"/>
      <c r="J142" s="17"/>
      <c r="K142" s="14"/>
      <c r="L142" s="15"/>
      <c r="M142" s="17"/>
      <c r="N142" s="14"/>
      <c r="O142" s="15"/>
      <c r="P142" s="14"/>
      <c r="Q142" s="16"/>
      <c r="R142" s="13" t="str">
        <f aca="false">IF(AND(B142&lt;&gt;"",L142&lt;&gt;""),L142-B142,"")</f>
        <v/>
      </c>
      <c r="S142" s="13" t="str">
        <f aca="true">IF(B142="","",IF(O142&lt;&gt;"",O142-B142,TODAY()-B142))</f>
        <v/>
      </c>
      <c r="T142" s="13" t="str">
        <f aca="false">IF(A142="","",SUMIF('Time Log'!$C$5:$C$1004,A142,'Time Log'!$E$5:$E$1004))</f>
        <v/>
      </c>
    </row>
    <row r="143" customFormat="false" ht="15" hidden="false" customHeight="false" outlineLevel="0" collapsed="false">
      <c r="A143" s="14"/>
      <c r="B143" s="15"/>
      <c r="C143" s="14"/>
      <c r="D143" s="14"/>
      <c r="E143" s="14"/>
      <c r="F143" s="14"/>
      <c r="G143" s="14"/>
      <c r="H143" s="14"/>
      <c r="I143" s="16"/>
      <c r="J143" s="17"/>
      <c r="K143" s="14"/>
      <c r="L143" s="15"/>
      <c r="M143" s="17"/>
      <c r="N143" s="14"/>
      <c r="O143" s="15"/>
      <c r="P143" s="14"/>
      <c r="Q143" s="16"/>
      <c r="R143" s="13" t="str">
        <f aca="false">IF(AND(B143&lt;&gt;"",L143&lt;&gt;""),L143-B143,"")</f>
        <v/>
      </c>
      <c r="S143" s="13" t="str">
        <f aca="true">IF(B143="","",IF(O143&lt;&gt;"",O143-B143,TODAY()-B143))</f>
        <v/>
      </c>
      <c r="T143" s="13" t="str">
        <f aca="false">IF(A143="","",SUMIF('Time Log'!$C$5:$C$1004,A143,'Time Log'!$E$5:$E$1004))</f>
        <v/>
      </c>
    </row>
    <row r="144" customFormat="false" ht="15" hidden="false" customHeight="false" outlineLevel="0" collapsed="false">
      <c r="A144" s="14"/>
      <c r="B144" s="15"/>
      <c r="C144" s="14"/>
      <c r="D144" s="14"/>
      <c r="E144" s="14"/>
      <c r="F144" s="14"/>
      <c r="G144" s="14"/>
      <c r="H144" s="14"/>
      <c r="I144" s="16"/>
      <c r="J144" s="17"/>
      <c r="K144" s="14"/>
      <c r="L144" s="15"/>
      <c r="M144" s="17"/>
      <c r="N144" s="14"/>
      <c r="O144" s="15"/>
      <c r="P144" s="14"/>
      <c r="Q144" s="16"/>
      <c r="R144" s="13" t="str">
        <f aca="false">IF(AND(B144&lt;&gt;"",L144&lt;&gt;""),L144-B144,"")</f>
        <v/>
      </c>
      <c r="S144" s="13" t="str">
        <f aca="true">IF(B144="","",IF(O144&lt;&gt;"",O144-B144,TODAY()-B144))</f>
        <v/>
      </c>
      <c r="T144" s="13" t="str">
        <f aca="false">IF(A144="","",SUMIF('Time Log'!$C$5:$C$1004,A144,'Time Log'!$E$5:$E$1004))</f>
        <v/>
      </c>
    </row>
    <row r="145" customFormat="false" ht="15" hidden="false" customHeight="false" outlineLevel="0" collapsed="false">
      <c r="A145" s="14"/>
      <c r="B145" s="15"/>
      <c r="C145" s="14"/>
      <c r="D145" s="14"/>
      <c r="E145" s="14"/>
      <c r="F145" s="14"/>
      <c r="G145" s="14"/>
      <c r="H145" s="14"/>
      <c r="I145" s="16"/>
      <c r="J145" s="17"/>
      <c r="K145" s="14"/>
      <c r="L145" s="15"/>
      <c r="M145" s="17"/>
      <c r="N145" s="14"/>
      <c r="O145" s="15"/>
      <c r="P145" s="14"/>
      <c r="Q145" s="16"/>
      <c r="R145" s="13" t="str">
        <f aca="false">IF(AND(B145&lt;&gt;"",L145&lt;&gt;""),L145-B145,"")</f>
        <v/>
      </c>
      <c r="S145" s="13" t="str">
        <f aca="true">IF(B145="","",IF(O145&lt;&gt;"",O145-B145,TODAY()-B145))</f>
        <v/>
      </c>
      <c r="T145" s="13" t="str">
        <f aca="false">IF(A145="","",SUMIF('Time Log'!$C$5:$C$1004,A145,'Time Log'!$E$5:$E$1004))</f>
        <v/>
      </c>
    </row>
    <row r="146" customFormat="false" ht="15" hidden="false" customHeight="false" outlineLevel="0" collapsed="false">
      <c r="A146" s="14"/>
      <c r="B146" s="15"/>
      <c r="C146" s="14"/>
      <c r="D146" s="14"/>
      <c r="E146" s="14"/>
      <c r="F146" s="14"/>
      <c r="G146" s="14"/>
      <c r="H146" s="14"/>
      <c r="I146" s="16"/>
      <c r="J146" s="17"/>
      <c r="K146" s="14"/>
      <c r="L146" s="15"/>
      <c r="M146" s="17"/>
      <c r="N146" s="14"/>
      <c r="O146" s="15"/>
      <c r="P146" s="14"/>
      <c r="Q146" s="16"/>
      <c r="R146" s="13" t="str">
        <f aca="false">IF(AND(B146&lt;&gt;"",L146&lt;&gt;""),L146-B146,"")</f>
        <v/>
      </c>
      <c r="S146" s="13" t="str">
        <f aca="true">IF(B146="","",IF(O146&lt;&gt;"",O146-B146,TODAY()-B146))</f>
        <v/>
      </c>
      <c r="T146" s="13" t="str">
        <f aca="false">IF(A146="","",SUMIF('Time Log'!$C$5:$C$1004,A146,'Time Log'!$E$5:$E$1004))</f>
        <v/>
      </c>
    </row>
    <row r="147" customFormat="false" ht="15" hidden="false" customHeight="false" outlineLevel="0" collapsed="false">
      <c r="A147" s="14"/>
      <c r="B147" s="15"/>
      <c r="C147" s="14"/>
      <c r="D147" s="14"/>
      <c r="E147" s="14"/>
      <c r="F147" s="14"/>
      <c r="G147" s="14"/>
      <c r="H147" s="14"/>
      <c r="I147" s="16"/>
      <c r="J147" s="17"/>
      <c r="K147" s="14"/>
      <c r="L147" s="15"/>
      <c r="M147" s="17"/>
      <c r="N147" s="14"/>
      <c r="O147" s="15"/>
      <c r="P147" s="14"/>
      <c r="Q147" s="16"/>
      <c r="R147" s="13" t="str">
        <f aca="false">IF(AND(B147&lt;&gt;"",L147&lt;&gt;""),L147-B147,"")</f>
        <v/>
      </c>
      <c r="S147" s="13" t="str">
        <f aca="true">IF(B147="","",IF(O147&lt;&gt;"",O147-B147,TODAY()-B147))</f>
        <v/>
      </c>
      <c r="T147" s="13" t="str">
        <f aca="false">IF(A147="","",SUMIF('Time Log'!$C$5:$C$1004,A147,'Time Log'!$E$5:$E$1004))</f>
        <v/>
      </c>
    </row>
    <row r="148" customFormat="false" ht="15" hidden="false" customHeight="false" outlineLevel="0" collapsed="false">
      <c r="A148" s="14"/>
      <c r="B148" s="15"/>
      <c r="C148" s="14"/>
      <c r="D148" s="14"/>
      <c r="E148" s="14"/>
      <c r="F148" s="14"/>
      <c r="G148" s="14"/>
      <c r="H148" s="14"/>
      <c r="I148" s="16"/>
      <c r="J148" s="17"/>
      <c r="K148" s="14"/>
      <c r="L148" s="15"/>
      <c r="M148" s="17"/>
      <c r="N148" s="14"/>
      <c r="O148" s="15"/>
      <c r="P148" s="14"/>
      <c r="Q148" s="16"/>
      <c r="R148" s="13" t="str">
        <f aca="false">IF(AND(B148&lt;&gt;"",L148&lt;&gt;""),L148-B148,"")</f>
        <v/>
      </c>
      <c r="S148" s="13" t="str">
        <f aca="true">IF(B148="","",IF(O148&lt;&gt;"",O148-B148,TODAY()-B148))</f>
        <v/>
      </c>
      <c r="T148" s="13" t="str">
        <f aca="false">IF(A148="","",SUMIF('Time Log'!$C$5:$C$1004,A148,'Time Log'!$E$5:$E$1004))</f>
        <v/>
      </c>
    </row>
    <row r="149" customFormat="false" ht="15" hidden="false" customHeight="false" outlineLevel="0" collapsed="false">
      <c r="A149" s="14"/>
      <c r="B149" s="15"/>
      <c r="C149" s="14"/>
      <c r="D149" s="14"/>
      <c r="E149" s="14"/>
      <c r="F149" s="14"/>
      <c r="G149" s="14"/>
      <c r="H149" s="14"/>
      <c r="I149" s="16"/>
      <c r="J149" s="17"/>
      <c r="K149" s="14"/>
      <c r="L149" s="15"/>
      <c r="M149" s="17"/>
      <c r="N149" s="14"/>
      <c r="O149" s="15"/>
      <c r="P149" s="14"/>
      <c r="Q149" s="16"/>
      <c r="R149" s="13" t="str">
        <f aca="false">IF(AND(B149&lt;&gt;"",L149&lt;&gt;""),L149-B149,"")</f>
        <v/>
      </c>
      <c r="S149" s="13" t="str">
        <f aca="true">IF(B149="","",IF(O149&lt;&gt;"",O149-B149,TODAY()-B149))</f>
        <v/>
      </c>
      <c r="T149" s="13" t="str">
        <f aca="false">IF(A149="","",SUMIF('Time Log'!$C$5:$C$1004,A149,'Time Log'!$E$5:$E$1004))</f>
        <v/>
      </c>
    </row>
    <row r="150" customFormat="false" ht="15" hidden="false" customHeight="false" outlineLevel="0" collapsed="false">
      <c r="A150" s="14"/>
      <c r="B150" s="15"/>
      <c r="C150" s="14"/>
      <c r="D150" s="14"/>
      <c r="E150" s="14"/>
      <c r="F150" s="14"/>
      <c r="G150" s="14"/>
      <c r="H150" s="14"/>
      <c r="I150" s="16"/>
      <c r="J150" s="17"/>
      <c r="K150" s="14"/>
      <c r="L150" s="15"/>
      <c r="M150" s="17"/>
      <c r="N150" s="14"/>
      <c r="O150" s="15"/>
      <c r="P150" s="14"/>
      <c r="Q150" s="16"/>
      <c r="R150" s="13" t="str">
        <f aca="false">IF(AND(B150&lt;&gt;"",L150&lt;&gt;""),L150-B150,"")</f>
        <v/>
      </c>
      <c r="S150" s="13" t="str">
        <f aca="true">IF(B150="","",IF(O150&lt;&gt;"",O150-B150,TODAY()-B150))</f>
        <v/>
      </c>
      <c r="T150" s="13" t="str">
        <f aca="false">IF(A150="","",SUMIF('Time Log'!$C$5:$C$1004,A150,'Time Log'!$E$5:$E$1004))</f>
        <v/>
      </c>
    </row>
    <row r="151" customFormat="false" ht="15" hidden="false" customHeight="false" outlineLevel="0" collapsed="false">
      <c r="A151" s="14"/>
      <c r="B151" s="15"/>
      <c r="C151" s="14"/>
      <c r="D151" s="14"/>
      <c r="E151" s="14"/>
      <c r="F151" s="14"/>
      <c r="G151" s="14"/>
      <c r="H151" s="14"/>
      <c r="I151" s="16"/>
      <c r="J151" s="17"/>
      <c r="K151" s="14"/>
      <c r="L151" s="15"/>
      <c r="M151" s="17"/>
      <c r="N151" s="14"/>
      <c r="O151" s="15"/>
      <c r="P151" s="14"/>
      <c r="Q151" s="16"/>
      <c r="R151" s="13" t="str">
        <f aca="false">IF(AND(B151&lt;&gt;"",L151&lt;&gt;""),L151-B151,"")</f>
        <v/>
      </c>
      <c r="S151" s="13" t="str">
        <f aca="true">IF(B151="","",IF(O151&lt;&gt;"",O151-B151,TODAY()-B151))</f>
        <v/>
      </c>
      <c r="T151" s="13" t="str">
        <f aca="false">IF(A151="","",SUMIF('Time Log'!$C$5:$C$1004,A151,'Time Log'!$E$5:$E$1004))</f>
        <v/>
      </c>
    </row>
    <row r="152" customFormat="false" ht="15" hidden="false" customHeight="false" outlineLevel="0" collapsed="false">
      <c r="A152" s="14"/>
      <c r="B152" s="15"/>
      <c r="C152" s="14"/>
      <c r="D152" s="14"/>
      <c r="E152" s="14"/>
      <c r="F152" s="14"/>
      <c r="G152" s="14"/>
      <c r="H152" s="14"/>
      <c r="I152" s="16"/>
      <c r="J152" s="17"/>
      <c r="K152" s="14"/>
      <c r="L152" s="15"/>
      <c r="M152" s="17"/>
      <c r="N152" s="14"/>
      <c r="O152" s="15"/>
      <c r="P152" s="14"/>
      <c r="Q152" s="16"/>
      <c r="R152" s="13" t="str">
        <f aca="false">IF(AND(B152&lt;&gt;"",L152&lt;&gt;""),L152-B152,"")</f>
        <v/>
      </c>
      <c r="S152" s="13" t="str">
        <f aca="true">IF(B152="","",IF(O152&lt;&gt;"",O152-B152,TODAY()-B152))</f>
        <v/>
      </c>
      <c r="T152" s="13" t="str">
        <f aca="false">IF(A152="","",SUMIF('Time Log'!$C$5:$C$1004,A152,'Time Log'!$E$5:$E$1004))</f>
        <v/>
      </c>
    </row>
    <row r="153" customFormat="false" ht="15" hidden="false" customHeight="false" outlineLevel="0" collapsed="false">
      <c r="A153" s="14"/>
      <c r="B153" s="15"/>
      <c r="C153" s="14"/>
      <c r="D153" s="14"/>
      <c r="E153" s="14"/>
      <c r="F153" s="14"/>
      <c r="G153" s="14"/>
      <c r="H153" s="14"/>
      <c r="I153" s="16"/>
      <c r="J153" s="17"/>
      <c r="K153" s="14"/>
      <c r="L153" s="15"/>
      <c r="M153" s="17"/>
      <c r="N153" s="14"/>
      <c r="O153" s="15"/>
      <c r="P153" s="14"/>
      <c r="Q153" s="16"/>
      <c r="R153" s="13" t="str">
        <f aca="false">IF(AND(B153&lt;&gt;"",L153&lt;&gt;""),L153-B153,"")</f>
        <v/>
      </c>
      <c r="S153" s="13" t="str">
        <f aca="true">IF(B153="","",IF(O153&lt;&gt;"",O153-B153,TODAY()-B153))</f>
        <v/>
      </c>
      <c r="T153" s="13" t="str">
        <f aca="false">IF(A153="","",SUMIF('Time Log'!$C$5:$C$1004,A153,'Time Log'!$E$5:$E$1004))</f>
        <v/>
      </c>
    </row>
    <row r="154" customFormat="false" ht="15" hidden="false" customHeight="false" outlineLevel="0" collapsed="false">
      <c r="A154" s="14"/>
      <c r="B154" s="15"/>
      <c r="C154" s="14"/>
      <c r="D154" s="14"/>
      <c r="E154" s="14"/>
      <c r="F154" s="14"/>
      <c r="G154" s="14"/>
      <c r="H154" s="14"/>
      <c r="I154" s="16"/>
      <c r="J154" s="17"/>
      <c r="K154" s="14"/>
      <c r="L154" s="15"/>
      <c r="M154" s="17"/>
      <c r="N154" s="14"/>
      <c r="O154" s="15"/>
      <c r="P154" s="14"/>
      <c r="Q154" s="16"/>
      <c r="R154" s="13" t="str">
        <f aca="false">IF(AND(B154&lt;&gt;"",L154&lt;&gt;""),L154-B154,"")</f>
        <v/>
      </c>
      <c r="S154" s="13" t="str">
        <f aca="true">IF(B154="","",IF(O154&lt;&gt;"",O154-B154,TODAY()-B154))</f>
        <v/>
      </c>
      <c r="T154" s="13" t="str">
        <f aca="false">IF(A154="","",SUMIF('Time Log'!$C$5:$C$1004,A154,'Time Log'!$E$5:$E$1004))</f>
        <v/>
      </c>
    </row>
    <row r="155" customFormat="false" ht="15" hidden="false" customHeight="false" outlineLevel="0" collapsed="false">
      <c r="A155" s="14"/>
      <c r="B155" s="15"/>
      <c r="C155" s="14"/>
      <c r="D155" s="14"/>
      <c r="E155" s="14"/>
      <c r="F155" s="14"/>
      <c r="G155" s="14"/>
      <c r="H155" s="14"/>
      <c r="I155" s="16"/>
      <c r="J155" s="17"/>
      <c r="K155" s="14"/>
      <c r="L155" s="15"/>
      <c r="M155" s="17"/>
      <c r="N155" s="14"/>
      <c r="O155" s="15"/>
      <c r="P155" s="14"/>
      <c r="Q155" s="16"/>
      <c r="R155" s="13" t="str">
        <f aca="false">IF(AND(B155&lt;&gt;"",L155&lt;&gt;""),L155-B155,"")</f>
        <v/>
      </c>
      <c r="S155" s="13" t="str">
        <f aca="true">IF(B155="","",IF(O155&lt;&gt;"",O155-B155,TODAY()-B155))</f>
        <v/>
      </c>
      <c r="T155" s="13" t="str">
        <f aca="false">IF(A155="","",SUMIF('Time Log'!$C$5:$C$1004,A155,'Time Log'!$E$5:$E$1004))</f>
        <v/>
      </c>
    </row>
    <row r="156" customFormat="false" ht="15" hidden="false" customHeight="false" outlineLevel="0" collapsed="false">
      <c r="A156" s="14"/>
      <c r="B156" s="15"/>
      <c r="C156" s="14"/>
      <c r="D156" s="14"/>
      <c r="E156" s="14"/>
      <c r="F156" s="14"/>
      <c r="G156" s="14"/>
      <c r="H156" s="14"/>
      <c r="I156" s="16"/>
      <c r="J156" s="17"/>
      <c r="K156" s="14"/>
      <c r="L156" s="15"/>
      <c r="M156" s="17"/>
      <c r="N156" s="14"/>
      <c r="O156" s="15"/>
      <c r="P156" s="14"/>
      <c r="Q156" s="16"/>
      <c r="R156" s="13" t="str">
        <f aca="false">IF(AND(B156&lt;&gt;"",L156&lt;&gt;""),L156-B156,"")</f>
        <v/>
      </c>
      <c r="S156" s="13" t="str">
        <f aca="true">IF(B156="","",IF(O156&lt;&gt;"",O156-B156,TODAY()-B156))</f>
        <v/>
      </c>
      <c r="T156" s="13" t="str">
        <f aca="false">IF(A156="","",SUMIF('Time Log'!$C$5:$C$1004,A156,'Time Log'!$E$5:$E$1004))</f>
        <v/>
      </c>
    </row>
    <row r="157" customFormat="false" ht="15" hidden="false" customHeight="false" outlineLevel="0" collapsed="false">
      <c r="A157" s="14"/>
      <c r="B157" s="15"/>
      <c r="C157" s="14"/>
      <c r="D157" s="14"/>
      <c r="E157" s="14"/>
      <c r="F157" s="14"/>
      <c r="G157" s="14"/>
      <c r="H157" s="14"/>
      <c r="I157" s="16"/>
      <c r="J157" s="17"/>
      <c r="K157" s="14"/>
      <c r="L157" s="15"/>
      <c r="M157" s="17"/>
      <c r="N157" s="14"/>
      <c r="O157" s="15"/>
      <c r="P157" s="14"/>
      <c r="Q157" s="16"/>
      <c r="R157" s="13" t="str">
        <f aca="false">IF(AND(B157&lt;&gt;"",L157&lt;&gt;""),L157-B157,"")</f>
        <v/>
      </c>
      <c r="S157" s="13" t="str">
        <f aca="true">IF(B157="","",IF(O157&lt;&gt;"",O157-B157,TODAY()-B157))</f>
        <v/>
      </c>
      <c r="T157" s="13" t="str">
        <f aca="false">IF(A157="","",SUMIF('Time Log'!$C$5:$C$1004,A157,'Time Log'!$E$5:$E$1004))</f>
        <v/>
      </c>
    </row>
    <row r="158" customFormat="false" ht="15" hidden="false" customHeight="false" outlineLevel="0" collapsed="false">
      <c r="A158" s="14"/>
      <c r="B158" s="15"/>
      <c r="C158" s="14"/>
      <c r="D158" s="14"/>
      <c r="E158" s="14"/>
      <c r="F158" s="14"/>
      <c r="G158" s="14"/>
      <c r="H158" s="14"/>
      <c r="I158" s="16"/>
      <c r="J158" s="17"/>
      <c r="K158" s="14"/>
      <c r="L158" s="15"/>
      <c r="M158" s="17"/>
      <c r="N158" s="14"/>
      <c r="O158" s="15"/>
      <c r="P158" s="14"/>
      <c r="Q158" s="16"/>
      <c r="R158" s="13" t="str">
        <f aca="false">IF(AND(B158&lt;&gt;"",L158&lt;&gt;""),L158-B158,"")</f>
        <v/>
      </c>
      <c r="S158" s="13" t="str">
        <f aca="true">IF(B158="","",IF(O158&lt;&gt;"",O158-B158,TODAY()-B158))</f>
        <v/>
      </c>
      <c r="T158" s="13" t="str">
        <f aca="false">IF(A158="","",SUMIF('Time Log'!$C$5:$C$1004,A158,'Time Log'!$E$5:$E$1004))</f>
        <v/>
      </c>
    </row>
    <row r="159" customFormat="false" ht="15" hidden="false" customHeight="false" outlineLevel="0" collapsed="false">
      <c r="A159" s="14"/>
      <c r="B159" s="15"/>
      <c r="C159" s="14"/>
      <c r="D159" s="14"/>
      <c r="E159" s="14"/>
      <c r="F159" s="14"/>
      <c r="G159" s="14"/>
      <c r="H159" s="14"/>
      <c r="I159" s="16"/>
      <c r="J159" s="17"/>
      <c r="K159" s="14"/>
      <c r="L159" s="15"/>
      <c r="M159" s="17"/>
      <c r="N159" s="14"/>
      <c r="O159" s="15"/>
      <c r="P159" s="14"/>
      <c r="Q159" s="16"/>
      <c r="R159" s="13" t="str">
        <f aca="false">IF(AND(B159&lt;&gt;"",L159&lt;&gt;""),L159-B159,"")</f>
        <v/>
      </c>
      <c r="S159" s="13" t="str">
        <f aca="true">IF(B159="","",IF(O159&lt;&gt;"",O159-B159,TODAY()-B159))</f>
        <v/>
      </c>
      <c r="T159" s="13" t="str">
        <f aca="false">IF(A159="","",SUMIF('Time Log'!$C$5:$C$1004,A159,'Time Log'!$E$5:$E$1004))</f>
        <v/>
      </c>
    </row>
    <row r="160" customFormat="false" ht="15" hidden="false" customHeight="false" outlineLevel="0" collapsed="false">
      <c r="A160" s="14"/>
      <c r="B160" s="15"/>
      <c r="C160" s="14"/>
      <c r="D160" s="14"/>
      <c r="E160" s="14"/>
      <c r="F160" s="14"/>
      <c r="G160" s="14"/>
      <c r="H160" s="14"/>
      <c r="I160" s="16"/>
      <c r="J160" s="17"/>
      <c r="K160" s="14"/>
      <c r="L160" s="15"/>
      <c r="M160" s="17"/>
      <c r="N160" s="14"/>
      <c r="O160" s="15"/>
      <c r="P160" s="14"/>
      <c r="Q160" s="16"/>
      <c r="R160" s="13" t="str">
        <f aca="false">IF(AND(B160&lt;&gt;"",L160&lt;&gt;""),L160-B160,"")</f>
        <v/>
      </c>
      <c r="S160" s="13" t="str">
        <f aca="true">IF(B160="","",IF(O160&lt;&gt;"",O160-B160,TODAY()-B160))</f>
        <v/>
      </c>
      <c r="T160" s="13" t="str">
        <f aca="false">IF(A160="","",SUMIF('Time Log'!$C$5:$C$1004,A160,'Time Log'!$E$5:$E$1004))</f>
        <v/>
      </c>
    </row>
    <row r="161" customFormat="false" ht="15" hidden="false" customHeight="false" outlineLevel="0" collapsed="false">
      <c r="A161" s="14"/>
      <c r="B161" s="15"/>
      <c r="C161" s="14"/>
      <c r="D161" s="14"/>
      <c r="E161" s="14"/>
      <c r="F161" s="14"/>
      <c r="G161" s="14"/>
      <c r="H161" s="14"/>
      <c r="I161" s="16"/>
      <c r="J161" s="17"/>
      <c r="K161" s="14"/>
      <c r="L161" s="15"/>
      <c r="M161" s="17"/>
      <c r="N161" s="14"/>
      <c r="O161" s="15"/>
      <c r="P161" s="14"/>
      <c r="Q161" s="16"/>
      <c r="R161" s="13" t="str">
        <f aca="false">IF(AND(B161&lt;&gt;"",L161&lt;&gt;""),L161-B161,"")</f>
        <v/>
      </c>
      <c r="S161" s="13" t="str">
        <f aca="true">IF(B161="","",IF(O161&lt;&gt;"",O161-B161,TODAY()-B161))</f>
        <v/>
      </c>
      <c r="T161" s="13" t="str">
        <f aca="false">IF(A161="","",SUMIF('Time Log'!$C$5:$C$1004,A161,'Time Log'!$E$5:$E$1004))</f>
        <v/>
      </c>
    </row>
    <row r="162" customFormat="false" ht="15" hidden="false" customHeight="false" outlineLevel="0" collapsed="false">
      <c r="A162" s="14"/>
      <c r="B162" s="15"/>
      <c r="C162" s="14"/>
      <c r="D162" s="14"/>
      <c r="E162" s="14"/>
      <c r="F162" s="14"/>
      <c r="G162" s="14"/>
      <c r="H162" s="14"/>
      <c r="I162" s="16"/>
      <c r="J162" s="17"/>
      <c r="K162" s="14"/>
      <c r="L162" s="15"/>
      <c r="M162" s="17"/>
      <c r="N162" s="14"/>
      <c r="O162" s="15"/>
      <c r="P162" s="14"/>
      <c r="Q162" s="16"/>
      <c r="R162" s="13" t="str">
        <f aca="false">IF(AND(B162&lt;&gt;"",L162&lt;&gt;""),L162-B162,"")</f>
        <v/>
      </c>
      <c r="S162" s="13" t="str">
        <f aca="true">IF(B162="","",IF(O162&lt;&gt;"",O162-B162,TODAY()-B162))</f>
        <v/>
      </c>
      <c r="T162" s="13" t="str">
        <f aca="false">IF(A162="","",SUMIF('Time Log'!$C$5:$C$1004,A162,'Time Log'!$E$5:$E$1004))</f>
        <v/>
      </c>
    </row>
    <row r="163" customFormat="false" ht="15" hidden="false" customHeight="false" outlineLevel="0" collapsed="false">
      <c r="A163" s="14"/>
      <c r="B163" s="15"/>
      <c r="C163" s="14"/>
      <c r="D163" s="14"/>
      <c r="E163" s="14"/>
      <c r="F163" s="14"/>
      <c r="G163" s="14"/>
      <c r="H163" s="14"/>
      <c r="I163" s="16"/>
      <c r="J163" s="17"/>
      <c r="K163" s="14"/>
      <c r="L163" s="15"/>
      <c r="M163" s="17"/>
      <c r="N163" s="14"/>
      <c r="O163" s="15"/>
      <c r="P163" s="14"/>
      <c r="Q163" s="16"/>
      <c r="R163" s="13" t="str">
        <f aca="false">IF(AND(B163&lt;&gt;"",L163&lt;&gt;""),L163-B163,"")</f>
        <v/>
      </c>
      <c r="S163" s="13" t="str">
        <f aca="true">IF(B163="","",IF(O163&lt;&gt;"",O163-B163,TODAY()-B163))</f>
        <v/>
      </c>
      <c r="T163" s="13" t="str">
        <f aca="false">IF(A163="","",SUMIF('Time Log'!$C$5:$C$1004,A163,'Time Log'!$E$5:$E$1004))</f>
        <v/>
      </c>
    </row>
    <row r="164" customFormat="false" ht="15" hidden="false" customHeight="false" outlineLevel="0" collapsed="false">
      <c r="A164" s="14"/>
      <c r="B164" s="15"/>
      <c r="C164" s="14"/>
      <c r="D164" s="14"/>
      <c r="E164" s="14"/>
      <c r="F164" s="14"/>
      <c r="G164" s="14"/>
      <c r="H164" s="14"/>
      <c r="I164" s="16"/>
      <c r="J164" s="17"/>
      <c r="K164" s="14"/>
      <c r="L164" s="15"/>
      <c r="M164" s="17"/>
      <c r="N164" s="14"/>
      <c r="O164" s="15"/>
      <c r="P164" s="14"/>
      <c r="Q164" s="16"/>
      <c r="R164" s="13" t="str">
        <f aca="false">IF(AND(B164&lt;&gt;"",L164&lt;&gt;""),L164-B164,"")</f>
        <v/>
      </c>
      <c r="S164" s="13" t="str">
        <f aca="true">IF(B164="","",IF(O164&lt;&gt;"",O164-B164,TODAY()-B164))</f>
        <v/>
      </c>
      <c r="T164" s="13" t="str">
        <f aca="false">IF(A164="","",SUMIF('Time Log'!$C$5:$C$1004,A164,'Time Log'!$E$5:$E$1004))</f>
        <v/>
      </c>
    </row>
    <row r="165" customFormat="false" ht="15" hidden="false" customHeight="false" outlineLevel="0" collapsed="false">
      <c r="A165" s="14"/>
      <c r="B165" s="15"/>
      <c r="C165" s="14"/>
      <c r="D165" s="14"/>
      <c r="E165" s="14"/>
      <c r="F165" s="14"/>
      <c r="G165" s="14"/>
      <c r="H165" s="14"/>
      <c r="I165" s="16"/>
      <c r="J165" s="17"/>
      <c r="K165" s="14"/>
      <c r="L165" s="15"/>
      <c r="M165" s="17"/>
      <c r="N165" s="14"/>
      <c r="O165" s="15"/>
      <c r="P165" s="14"/>
      <c r="Q165" s="16"/>
      <c r="R165" s="13" t="str">
        <f aca="false">IF(AND(B165&lt;&gt;"",L165&lt;&gt;""),L165-B165,"")</f>
        <v/>
      </c>
      <c r="S165" s="13" t="str">
        <f aca="true">IF(B165="","",IF(O165&lt;&gt;"",O165-B165,TODAY()-B165))</f>
        <v/>
      </c>
      <c r="T165" s="13" t="str">
        <f aca="false">IF(A165="","",SUMIF('Time Log'!$C$5:$C$1004,A165,'Time Log'!$E$5:$E$1004))</f>
        <v/>
      </c>
    </row>
    <row r="166" customFormat="false" ht="15" hidden="false" customHeight="false" outlineLevel="0" collapsed="false">
      <c r="A166" s="14"/>
      <c r="B166" s="15"/>
      <c r="C166" s="14"/>
      <c r="D166" s="14"/>
      <c r="E166" s="14"/>
      <c r="F166" s="14"/>
      <c r="G166" s="14"/>
      <c r="H166" s="14"/>
      <c r="I166" s="16"/>
      <c r="J166" s="17"/>
      <c r="K166" s="14"/>
      <c r="L166" s="15"/>
      <c r="M166" s="17"/>
      <c r="N166" s="14"/>
      <c r="O166" s="15"/>
      <c r="P166" s="14"/>
      <c r="Q166" s="16"/>
      <c r="R166" s="13" t="str">
        <f aca="false">IF(AND(B166&lt;&gt;"",L166&lt;&gt;""),L166-B166,"")</f>
        <v/>
      </c>
      <c r="S166" s="13" t="str">
        <f aca="true">IF(B166="","",IF(O166&lt;&gt;"",O166-B166,TODAY()-B166))</f>
        <v/>
      </c>
      <c r="T166" s="13" t="str">
        <f aca="false">IF(A166="","",SUMIF('Time Log'!$C$5:$C$1004,A166,'Time Log'!$E$5:$E$1004))</f>
        <v/>
      </c>
    </row>
    <row r="167" customFormat="false" ht="15" hidden="false" customHeight="false" outlineLevel="0" collapsed="false">
      <c r="A167" s="14"/>
      <c r="B167" s="15"/>
      <c r="C167" s="14"/>
      <c r="D167" s="14"/>
      <c r="E167" s="14"/>
      <c r="F167" s="14"/>
      <c r="G167" s="14"/>
      <c r="H167" s="14"/>
      <c r="I167" s="16"/>
      <c r="J167" s="17"/>
      <c r="K167" s="14"/>
      <c r="L167" s="15"/>
      <c r="M167" s="17"/>
      <c r="N167" s="14"/>
      <c r="O167" s="15"/>
      <c r="P167" s="14"/>
      <c r="Q167" s="16"/>
      <c r="R167" s="13" t="str">
        <f aca="false">IF(AND(B167&lt;&gt;"",L167&lt;&gt;""),L167-B167,"")</f>
        <v/>
      </c>
      <c r="S167" s="13" t="str">
        <f aca="true">IF(B167="","",IF(O167&lt;&gt;"",O167-B167,TODAY()-B167))</f>
        <v/>
      </c>
      <c r="T167" s="13" t="str">
        <f aca="false">IF(A167="","",SUMIF('Time Log'!$C$5:$C$1004,A167,'Time Log'!$E$5:$E$1004))</f>
        <v/>
      </c>
    </row>
    <row r="168" customFormat="false" ht="15" hidden="false" customHeight="false" outlineLevel="0" collapsed="false">
      <c r="A168" s="14"/>
      <c r="B168" s="15"/>
      <c r="C168" s="14"/>
      <c r="D168" s="14"/>
      <c r="E168" s="14"/>
      <c r="F168" s="14"/>
      <c r="G168" s="14"/>
      <c r="H168" s="14"/>
      <c r="I168" s="16"/>
      <c r="J168" s="17"/>
      <c r="K168" s="14"/>
      <c r="L168" s="15"/>
      <c r="M168" s="17"/>
      <c r="N168" s="14"/>
      <c r="O168" s="15"/>
      <c r="P168" s="14"/>
      <c r="Q168" s="16"/>
      <c r="R168" s="13" t="str">
        <f aca="false">IF(AND(B168&lt;&gt;"",L168&lt;&gt;""),L168-B168,"")</f>
        <v/>
      </c>
      <c r="S168" s="13" t="str">
        <f aca="true">IF(B168="","",IF(O168&lt;&gt;"",O168-B168,TODAY()-B168))</f>
        <v/>
      </c>
      <c r="T168" s="13" t="str">
        <f aca="false">IF(A168="","",SUMIF('Time Log'!$C$5:$C$1004,A168,'Time Log'!$E$5:$E$1004))</f>
        <v/>
      </c>
    </row>
    <row r="169" customFormat="false" ht="15" hidden="false" customHeight="false" outlineLevel="0" collapsed="false">
      <c r="A169" s="14"/>
      <c r="B169" s="15"/>
      <c r="C169" s="14"/>
      <c r="D169" s="14"/>
      <c r="E169" s="14"/>
      <c r="F169" s="14"/>
      <c r="G169" s="14"/>
      <c r="H169" s="14"/>
      <c r="I169" s="16"/>
      <c r="J169" s="17"/>
      <c r="K169" s="14"/>
      <c r="L169" s="15"/>
      <c r="M169" s="17"/>
      <c r="N169" s="14"/>
      <c r="O169" s="15"/>
      <c r="P169" s="14"/>
      <c r="Q169" s="16"/>
      <c r="R169" s="13" t="str">
        <f aca="false">IF(AND(B169&lt;&gt;"",L169&lt;&gt;""),L169-B169,"")</f>
        <v/>
      </c>
      <c r="S169" s="13" t="str">
        <f aca="true">IF(B169="","",IF(O169&lt;&gt;"",O169-B169,TODAY()-B169))</f>
        <v/>
      </c>
      <c r="T169" s="13" t="str">
        <f aca="false">IF(A169="","",SUMIF('Time Log'!$C$5:$C$1004,A169,'Time Log'!$E$5:$E$1004))</f>
        <v/>
      </c>
    </row>
    <row r="170" customFormat="false" ht="15" hidden="false" customHeight="false" outlineLevel="0" collapsed="false">
      <c r="A170" s="14"/>
      <c r="B170" s="15"/>
      <c r="C170" s="14"/>
      <c r="D170" s="14"/>
      <c r="E170" s="14"/>
      <c r="F170" s="14"/>
      <c r="G170" s="14"/>
      <c r="H170" s="14"/>
      <c r="I170" s="16"/>
      <c r="J170" s="17"/>
      <c r="K170" s="14"/>
      <c r="L170" s="15"/>
      <c r="M170" s="17"/>
      <c r="N170" s="14"/>
      <c r="O170" s="15"/>
      <c r="P170" s="14"/>
      <c r="Q170" s="16"/>
      <c r="R170" s="13" t="str">
        <f aca="false">IF(AND(B170&lt;&gt;"",L170&lt;&gt;""),L170-B170,"")</f>
        <v/>
      </c>
      <c r="S170" s="13" t="str">
        <f aca="true">IF(B170="","",IF(O170&lt;&gt;"",O170-B170,TODAY()-B170))</f>
        <v/>
      </c>
      <c r="T170" s="13" t="str">
        <f aca="false">IF(A170="","",SUMIF('Time Log'!$C$5:$C$1004,A170,'Time Log'!$E$5:$E$1004))</f>
        <v/>
      </c>
    </row>
    <row r="171" customFormat="false" ht="15" hidden="false" customHeight="false" outlineLevel="0" collapsed="false">
      <c r="A171" s="14"/>
      <c r="B171" s="15"/>
      <c r="C171" s="14"/>
      <c r="D171" s="14"/>
      <c r="E171" s="14"/>
      <c r="F171" s="14"/>
      <c r="G171" s="14"/>
      <c r="H171" s="14"/>
      <c r="I171" s="16"/>
      <c r="J171" s="17"/>
      <c r="K171" s="14"/>
      <c r="L171" s="15"/>
      <c r="M171" s="17"/>
      <c r="N171" s="14"/>
      <c r="O171" s="15"/>
      <c r="P171" s="14"/>
      <c r="Q171" s="16"/>
      <c r="R171" s="13" t="str">
        <f aca="false">IF(AND(B171&lt;&gt;"",L171&lt;&gt;""),L171-B171,"")</f>
        <v/>
      </c>
      <c r="S171" s="13" t="str">
        <f aca="true">IF(B171="","",IF(O171&lt;&gt;"",O171-B171,TODAY()-B171))</f>
        <v/>
      </c>
      <c r="T171" s="13" t="str">
        <f aca="false">IF(A171="","",SUMIF('Time Log'!$C$5:$C$1004,A171,'Time Log'!$E$5:$E$1004))</f>
        <v/>
      </c>
    </row>
    <row r="172" customFormat="false" ht="15" hidden="false" customHeight="false" outlineLevel="0" collapsed="false">
      <c r="A172" s="14"/>
      <c r="B172" s="15"/>
      <c r="C172" s="14"/>
      <c r="D172" s="14"/>
      <c r="E172" s="14"/>
      <c r="F172" s="14"/>
      <c r="G172" s="14"/>
      <c r="H172" s="14"/>
      <c r="I172" s="16"/>
      <c r="J172" s="17"/>
      <c r="K172" s="14"/>
      <c r="L172" s="15"/>
      <c r="M172" s="17"/>
      <c r="N172" s="14"/>
      <c r="O172" s="15"/>
      <c r="P172" s="14"/>
      <c r="Q172" s="16"/>
      <c r="R172" s="13" t="str">
        <f aca="false">IF(AND(B172&lt;&gt;"",L172&lt;&gt;""),L172-B172,"")</f>
        <v/>
      </c>
      <c r="S172" s="13" t="str">
        <f aca="true">IF(B172="","",IF(O172&lt;&gt;"",O172-B172,TODAY()-B172))</f>
        <v/>
      </c>
      <c r="T172" s="13" t="str">
        <f aca="false">IF(A172="","",SUMIF('Time Log'!$C$5:$C$1004,A172,'Time Log'!$E$5:$E$1004))</f>
        <v/>
      </c>
    </row>
    <row r="173" customFormat="false" ht="15" hidden="false" customHeight="false" outlineLevel="0" collapsed="false">
      <c r="A173" s="14"/>
      <c r="B173" s="15"/>
      <c r="C173" s="14"/>
      <c r="D173" s="14"/>
      <c r="E173" s="14"/>
      <c r="F173" s="14"/>
      <c r="G173" s="14"/>
      <c r="H173" s="14"/>
      <c r="I173" s="16"/>
      <c r="J173" s="17"/>
      <c r="K173" s="14"/>
      <c r="L173" s="15"/>
      <c r="M173" s="17"/>
      <c r="N173" s="14"/>
      <c r="O173" s="15"/>
      <c r="P173" s="14"/>
      <c r="Q173" s="16"/>
      <c r="R173" s="13" t="str">
        <f aca="false">IF(AND(B173&lt;&gt;"",L173&lt;&gt;""),L173-B173,"")</f>
        <v/>
      </c>
      <c r="S173" s="13" t="str">
        <f aca="true">IF(B173="","",IF(O173&lt;&gt;"",O173-B173,TODAY()-B173))</f>
        <v/>
      </c>
      <c r="T173" s="13" t="str">
        <f aca="false">IF(A173="","",SUMIF('Time Log'!$C$5:$C$1004,A173,'Time Log'!$E$5:$E$1004))</f>
        <v/>
      </c>
    </row>
    <row r="174" customFormat="false" ht="15" hidden="false" customHeight="false" outlineLevel="0" collapsed="false">
      <c r="A174" s="14"/>
      <c r="B174" s="15"/>
      <c r="C174" s="14"/>
      <c r="D174" s="14"/>
      <c r="E174" s="14"/>
      <c r="F174" s="14"/>
      <c r="G174" s="14"/>
      <c r="H174" s="14"/>
      <c r="I174" s="16"/>
      <c r="J174" s="17"/>
      <c r="K174" s="14"/>
      <c r="L174" s="15"/>
      <c r="M174" s="17"/>
      <c r="N174" s="14"/>
      <c r="O174" s="15"/>
      <c r="P174" s="14"/>
      <c r="Q174" s="16"/>
      <c r="R174" s="13" t="str">
        <f aca="false">IF(AND(B174&lt;&gt;"",L174&lt;&gt;""),L174-B174,"")</f>
        <v/>
      </c>
      <c r="S174" s="13" t="str">
        <f aca="true">IF(B174="","",IF(O174&lt;&gt;"",O174-B174,TODAY()-B174))</f>
        <v/>
      </c>
      <c r="T174" s="13" t="str">
        <f aca="false">IF(A174="","",SUMIF('Time Log'!$C$5:$C$1004,A174,'Time Log'!$E$5:$E$1004))</f>
        <v/>
      </c>
    </row>
    <row r="175" customFormat="false" ht="15" hidden="false" customHeight="false" outlineLevel="0" collapsed="false">
      <c r="A175" s="14"/>
      <c r="B175" s="15"/>
      <c r="C175" s="14"/>
      <c r="D175" s="14"/>
      <c r="E175" s="14"/>
      <c r="F175" s="14"/>
      <c r="G175" s="14"/>
      <c r="H175" s="14"/>
      <c r="I175" s="16"/>
      <c r="J175" s="17"/>
      <c r="K175" s="14"/>
      <c r="L175" s="15"/>
      <c r="M175" s="17"/>
      <c r="N175" s="14"/>
      <c r="O175" s="15"/>
      <c r="P175" s="14"/>
      <c r="Q175" s="16"/>
      <c r="R175" s="13" t="str">
        <f aca="false">IF(AND(B175&lt;&gt;"",L175&lt;&gt;""),L175-B175,"")</f>
        <v/>
      </c>
      <c r="S175" s="13" t="str">
        <f aca="true">IF(B175="","",IF(O175&lt;&gt;"",O175-B175,TODAY()-B175))</f>
        <v/>
      </c>
      <c r="T175" s="13" t="str">
        <f aca="false">IF(A175="","",SUMIF('Time Log'!$C$5:$C$1004,A175,'Time Log'!$E$5:$E$1004))</f>
        <v/>
      </c>
    </row>
    <row r="176" customFormat="false" ht="15" hidden="false" customHeight="false" outlineLevel="0" collapsed="false">
      <c r="A176" s="14"/>
      <c r="B176" s="15"/>
      <c r="C176" s="14"/>
      <c r="D176" s="14"/>
      <c r="E176" s="14"/>
      <c r="F176" s="14"/>
      <c r="G176" s="14"/>
      <c r="H176" s="14"/>
      <c r="I176" s="16"/>
      <c r="J176" s="17"/>
      <c r="K176" s="14"/>
      <c r="L176" s="15"/>
      <c r="M176" s="17"/>
      <c r="N176" s="14"/>
      <c r="O176" s="15"/>
      <c r="P176" s="14"/>
      <c r="Q176" s="16"/>
      <c r="R176" s="13" t="str">
        <f aca="false">IF(AND(B176&lt;&gt;"",L176&lt;&gt;""),L176-B176,"")</f>
        <v/>
      </c>
      <c r="S176" s="13" t="str">
        <f aca="true">IF(B176="","",IF(O176&lt;&gt;"",O176-B176,TODAY()-B176))</f>
        <v/>
      </c>
      <c r="T176" s="13" t="str">
        <f aca="false">IF(A176="","",SUMIF('Time Log'!$C$5:$C$1004,A176,'Time Log'!$E$5:$E$1004))</f>
        <v/>
      </c>
    </row>
    <row r="177" customFormat="false" ht="15" hidden="false" customHeight="false" outlineLevel="0" collapsed="false">
      <c r="A177" s="14"/>
      <c r="B177" s="15"/>
      <c r="C177" s="14"/>
      <c r="D177" s="14"/>
      <c r="E177" s="14"/>
      <c r="F177" s="14"/>
      <c r="G177" s="14"/>
      <c r="H177" s="14"/>
      <c r="I177" s="16"/>
      <c r="J177" s="17"/>
      <c r="K177" s="14"/>
      <c r="L177" s="15"/>
      <c r="M177" s="17"/>
      <c r="N177" s="14"/>
      <c r="O177" s="15"/>
      <c r="P177" s="14"/>
      <c r="Q177" s="16"/>
      <c r="R177" s="13" t="str">
        <f aca="false">IF(AND(B177&lt;&gt;"",L177&lt;&gt;""),L177-B177,"")</f>
        <v/>
      </c>
      <c r="S177" s="13" t="str">
        <f aca="true">IF(B177="","",IF(O177&lt;&gt;"",O177-B177,TODAY()-B177))</f>
        <v/>
      </c>
      <c r="T177" s="13" t="str">
        <f aca="false">IF(A177="","",SUMIF('Time Log'!$C$5:$C$1004,A177,'Time Log'!$E$5:$E$1004))</f>
        <v/>
      </c>
    </row>
    <row r="178" customFormat="false" ht="15" hidden="false" customHeight="false" outlineLevel="0" collapsed="false">
      <c r="A178" s="14"/>
      <c r="B178" s="15"/>
      <c r="C178" s="14"/>
      <c r="D178" s="14"/>
      <c r="E178" s="14"/>
      <c r="F178" s="14"/>
      <c r="G178" s="14"/>
      <c r="H178" s="14"/>
      <c r="I178" s="16"/>
      <c r="J178" s="17"/>
      <c r="K178" s="14"/>
      <c r="L178" s="15"/>
      <c r="M178" s="17"/>
      <c r="N178" s="14"/>
      <c r="O178" s="15"/>
      <c r="P178" s="14"/>
      <c r="Q178" s="16"/>
      <c r="R178" s="13" t="str">
        <f aca="false">IF(AND(B178&lt;&gt;"",L178&lt;&gt;""),L178-B178,"")</f>
        <v/>
      </c>
      <c r="S178" s="13" t="str">
        <f aca="true">IF(B178="","",IF(O178&lt;&gt;"",O178-B178,TODAY()-B178))</f>
        <v/>
      </c>
      <c r="T178" s="13" t="str">
        <f aca="false">IF(A178="","",SUMIF('Time Log'!$C$5:$C$1004,A178,'Time Log'!$E$5:$E$1004))</f>
        <v/>
      </c>
    </row>
    <row r="179" customFormat="false" ht="15" hidden="false" customHeight="false" outlineLevel="0" collapsed="false">
      <c r="A179" s="14"/>
      <c r="B179" s="15"/>
      <c r="C179" s="14"/>
      <c r="D179" s="14"/>
      <c r="E179" s="14"/>
      <c r="F179" s="14"/>
      <c r="G179" s="14"/>
      <c r="H179" s="14"/>
      <c r="I179" s="16"/>
      <c r="J179" s="17"/>
      <c r="K179" s="14"/>
      <c r="L179" s="15"/>
      <c r="M179" s="17"/>
      <c r="N179" s="14"/>
      <c r="O179" s="15"/>
      <c r="P179" s="14"/>
      <c r="Q179" s="16"/>
      <c r="R179" s="13" t="str">
        <f aca="false">IF(AND(B179&lt;&gt;"",L179&lt;&gt;""),L179-B179,"")</f>
        <v/>
      </c>
      <c r="S179" s="13" t="str">
        <f aca="true">IF(B179="","",IF(O179&lt;&gt;"",O179-B179,TODAY()-B179))</f>
        <v/>
      </c>
      <c r="T179" s="13" t="str">
        <f aca="false">IF(A179="","",SUMIF('Time Log'!$C$5:$C$1004,A179,'Time Log'!$E$5:$E$1004))</f>
        <v/>
      </c>
    </row>
    <row r="180" customFormat="false" ht="15" hidden="false" customHeight="false" outlineLevel="0" collapsed="false">
      <c r="A180" s="14"/>
      <c r="B180" s="15"/>
      <c r="C180" s="14"/>
      <c r="D180" s="14"/>
      <c r="E180" s="14"/>
      <c r="F180" s="14"/>
      <c r="G180" s="14"/>
      <c r="H180" s="14"/>
      <c r="I180" s="16"/>
      <c r="J180" s="17"/>
      <c r="K180" s="14"/>
      <c r="L180" s="15"/>
      <c r="M180" s="17"/>
      <c r="N180" s="14"/>
      <c r="O180" s="15"/>
      <c r="P180" s="14"/>
      <c r="Q180" s="16"/>
      <c r="R180" s="13" t="str">
        <f aca="false">IF(AND(B180&lt;&gt;"",L180&lt;&gt;""),L180-B180,"")</f>
        <v/>
      </c>
      <c r="S180" s="13" t="str">
        <f aca="true">IF(B180="","",IF(O180&lt;&gt;"",O180-B180,TODAY()-B180))</f>
        <v/>
      </c>
      <c r="T180" s="13" t="str">
        <f aca="false">IF(A180="","",SUMIF('Time Log'!$C$5:$C$1004,A180,'Time Log'!$E$5:$E$1004))</f>
        <v/>
      </c>
    </row>
    <row r="181" customFormat="false" ht="15" hidden="false" customHeight="false" outlineLevel="0" collapsed="false">
      <c r="A181" s="14"/>
      <c r="B181" s="15"/>
      <c r="C181" s="14"/>
      <c r="D181" s="14"/>
      <c r="E181" s="14"/>
      <c r="F181" s="14"/>
      <c r="G181" s="14"/>
      <c r="H181" s="14"/>
      <c r="I181" s="16"/>
      <c r="J181" s="17"/>
      <c r="K181" s="14"/>
      <c r="L181" s="15"/>
      <c r="M181" s="17"/>
      <c r="N181" s="14"/>
      <c r="O181" s="15"/>
      <c r="P181" s="14"/>
      <c r="Q181" s="16"/>
      <c r="R181" s="13" t="str">
        <f aca="false">IF(AND(B181&lt;&gt;"",L181&lt;&gt;""),L181-B181,"")</f>
        <v/>
      </c>
      <c r="S181" s="13" t="str">
        <f aca="true">IF(B181="","",IF(O181&lt;&gt;"",O181-B181,TODAY()-B181))</f>
        <v/>
      </c>
      <c r="T181" s="13" t="str">
        <f aca="false">IF(A181="","",SUMIF('Time Log'!$C$5:$C$1004,A181,'Time Log'!$E$5:$E$1004))</f>
        <v/>
      </c>
    </row>
    <row r="182" customFormat="false" ht="15" hidden="false" customHeight="false" outlineLevel="0" collapsed="false">
      <c r="A182" s="14"/>
      <c r="B182" s="15"/>
      <c r="C182" s="14"/>
      <c r="D182" s="14"/>
      <c r="E182" s="14"/>
      <c r="F182" s="14"/>
      <c r="G182" s="14"/>
      <c r="H182" s="14"/>
      <c r="I182" s="16"/>
      <c r="J182" s="17"/>
      <c r="K182" s="14"/>
      <c r="L182" s="15"/>
      <c r="M182" s="17"/>
      <c r="N182" s="14"/>
      <c r="O182" s="15"/>
      <c r="P182" s="14"/>
      <c r="Q182" s="16"/>
      <c r="R182" s="13" t="str">
        <f aca="false">IF(AND(B182&lt;&gt;"",L182&lt;&gt;""),L182-B182,"")</f>
        <v/>
      </c>
      <c r="S182" s="13" t="str">
        <f aca="true">IF(B182="","",IF(O182&lt;&gt;"",O182-B182,TODAY()-B182))</f>
        <v/>
      </c>
      <c r="T182" s="13" t="str">
        <f aca="false">IF(A182="","",SUMIF('Time Log'!$C$5:$C$1004,A182,'Time Log'!$E$5:$E$1004))</f>
        <v/>
      </c>
    </row>
    <row r="183" customFormat="false" ht="15" hidden="false" customHeight="false" outlineLevel="0" collapsed="false">
      <c r="A183" s="14"/>
      <c r="B183" s="15"/>
      <c r="C183" s="14"/>
      <c r="D183" s="14"/>
      <c r="E183" s="14"/>
      <c r="F183" s="14"/>
      <c r="G183" s="14"/>
      <c r="H183" s="14"/>
      <c r="I183" s="16"/>
      <c r="J183" s="17"/>
      <c r="K183" s="14"/>
      <c r="L183" s="15"/>
      <c r="M183" s="17"/>
      <c r="N183" s="14"/>
      <c r="O183" s="15"/>
      <c r="P183" s="14"/>
      <c r="Q183" s="16"/>
      <c r="R183" s="13" t="str">
        <f aca="false">IF(AND(B183&lt;&gt;"",L183&lt;&gt;""),L183-B183,"")</f>
        <v/>
      </c>
      <c r="S183" s="13" t="str">
        <f aca="true">IF(B183="","",IF(O183&lt;&gt;"",O183-B183,TODAY()-B183))</f>
        <v/>
      </c>
      <c r="T183" s="13" t="str">
        <f aca="false">IF(A183="","",SUMIF('Time Log'!$C$5:$C$1004,A183,'Time Log'!$E$5:$E$1004))</f>
        <v/>
      </c>
    </row>
    <row r="184" customFormat="false" ht="15" hidden="false" customHeight="false" outlineLevel="0" collapsed="false">
      <c r="A184" s="14"/>
      <c r="B184" s="15"/>
      <c r="C184" s="14"/>
      <c r="D184" s="14"/>
      <c r="E184" s="14"/>
      <c r="F184" s="14"/>
      <c r="G184" s="14"/>
      <c r="H184" s="14"/>
      <c r="I184" s="16"/>
      <c r="J184" s="17"/>
      <c r="K184" s="14"/>
      <c r="L184" s="15"/>
      <c r="M184" s="17"/>
      <c r="N184" s="14"/>
      <c r="O184" s="15"/>
      <c r="P184" s="14"/>
      <c r="Q184" s="16"/>
      <c r="R184" s="13" t="str">
        <f aca="false">IF(AND(B184&lt;&gt;"",L184&lt;&gt;""),L184-B184,"")</f>
        <v/>
      </c>
      <c r="S184" s="13" t="str">
        <f aca="true">IF(B184="","",IF(O184&lt;&gt;"",O184-B184,TODAY()-B184))</f>
        <v/>
      </c>
      <c r="T184" s="13" t="str">
        <f aca="false">IF(A184="","",SUMIF('Time Log'!$C$5:$C$1004,A184,'Time Log'!$E$5:$E$1004))</f>
        <v/>
      </c>
    </row>
    <row r="185" customFormat="false" ht="15" hidden="false" customHeight="false" outlineLevel="0" collapsed="false">
      <c r="A185" s="14"/>
      <c r="B185" s="15"/>
      <c r="C185" s="14"/>
      <c r="D185" s="14"/>
      <c r="E185" s="14"/>
      <c r="F185" s="14"/>
      <c r="G185" s="14"/>
      <c r="H185" s="14"/>
      <c r="I185" s="16"/>
      <c r="J185" s="17"/>
      <c r="K185" s="14"/>
      <c r="L185" s="15"/>
      <c r="M185" s="17"/>
      <c r="N185" s="14"/>
      <c r="O185" s="15"/>
      <c r="P185" s="14"/>
      <c r="Q185" s="16"/>
      <c r="R185" s="13" t="str">
        <f aca="false">IF(AND(B185&lt;&gt;"",L185&lt;&gt;""),L185-B185,"")</f>
        <v/>
      </c>
      <c r="S185" s="13" t="str">
        <f aca="true">IF(B185="","",IF(O185&lt;&gt;"",O185-B185,TODAY()-B185))</f>
        <v/>
      </c>
      <c r="T185" s="13" t="str">
        <f aca="false">IF(A185="","",SUMIF('Time Log'!$C$5:$C$1004,A185,'Time Log'!$E$5:$E$1004))</f>
        <v/>
      </c>
    </row>
    <row r="186" customFormat="false" ht="15" hidden="false" customHeight="false" outlineLevel="0" collapsed="false">
      <c r="A186" s="14"/>
      <c r="B186" s="15"/>
      <c r="C186" s="14"/>
      <c r="D186" s="14"/>
      <c r="E186" s="14"/>
      <c r="F186" s="14"/>
      <c r="G186" s="14"/>
      <c r="H186" s="14"/>
      <c r="I186" s="16"/>
      <c r="J186" s="17"/>
      <c r="K186" s="14"/>
      <c r="L186" s="15"/>
      <c r="M186" s="17"/>
      <c r="N186" s="14"/>
      <c r="O186" s="15"/>
      <c r="P186" s="14"/>
      <c r="Q186" s="16"/>
      <c r="R186" s="13" t="str">
        <f aca="false">IF(AND(B186&lt;&gt;"",L186&lt;&gt;""),L186-B186,"")</f>
        <v/>
      </c>
      <c r="S186" s="13" t="str">
        <f aca="true">IF(B186="","",IF(O186&lt;&gt;"",O186-B186,TODAY()-B186))</f>
        <v/>
      </c>
      <c r="T186" s="13" t="str">
        <f aca="false">IF(A186="","",SUMIF('Time Log'!$C$5:$C$1004,A186,'Time Log'!$E$5:$E$1004))</f>
        <v/>
      </c>
    </row>
    <row r="187" customFormat="false" ht="15" hidden="false" customHeight="false" outlineLevel="0" collapsed="false">
      <c r="A187" s="14"/>
      <c r="B187" s="15"/>
      <c r="C187" s="14"/>
      <c r="D187" s="14"/>
      <c r="E187" s="14"/>
      <c r="F187" s="14"/>
      <c r="G187" s="14"/>
      <c r="H187" s="14"/>
      <c r="I187" s="16"/>
      <c r="J187" s="17"/>
      <c r="K187" s="14"/>
      <c r="L187" s="15"/>
      <c r="M187" s="17"/>
      <c r="N187" s="14"/>
      <c r="O187" s="15"/>
      <c r="P187" s="14"/>
      <c r="Q187" s="16"/>
      <c r="R187" s="13" t="str">
        <f aca="false">IF(AND(B187&lt;&gt;"",L187&lt;&gt;""),L187-B187,"")</f>
        <v/>
      </c>
      <c r="S187" s="13" t="str">
        <f aca="true">IF(B187="","",IF(O187&lt;&gt;"",O187-B187,TODAY()-B187))</f>
        <v/>
      </c>
      <c r="T187" s="13" t="str">
        <f aca="false">IF(A187="","",SUMIF('Time Log'!$C$5:$C$1004,A187,'Time Log'!$E$5:$E$1004))</f>
        <v/>
      </c>
    </row>
    <row r="188" customFormat="false" ht="15" hidden="false" customHeight="false" outlineLevel="0" collapsed="false">
      <c r="A188" s="14"/>
      <c r="B188" s="15"/>
      <c r="C188" s="14"/>
      <c r="D188" s="14"/>
      <c r="E188" s="14"/>
      <c r="F188" s="14"/>
      <c r="G188" s="14"/>
      <c r="H188" s="14"/>
      <c r="I188" s="16"/>
      <c r="J188" s="17"/>
      <c r="K188" s="14"/>
      <c r="L188" s="15"/>
      <c r="M188" s="17"/>
      <c r="N188" s="14"/>
      <c r="O188" s="15"/>
      <c r="P188" s="14"/>
      <c r="Q188" s="16"/>
      <c r="R188" s="13" t="str">
        <f aca="false">IF(AND(B188&lt;&gt;"",L188&lt;&gt;""),L188-B188,"")</f>
        <v/>
      </c>
      <c r="S188" s="13" t="str">
        <f aca="true">IF(B188="","",IF(O188&lt;&gt;"",O188-B188,TODAY()-B188))</f>
        <v/>
      </c>
      <c r="T188" s="13" t="str">
        <f aca="false">IF(A188="","",SUMIF('Time Log'!$C$5:$C$1004,A188,'Time Log'!$E$5:$E$1004))</f>
        <v/>
      </c>
    </row>
    <row r="189" customFormat="false" ht="15" hidden="false" customHeight="false" outlineLevel="0" collapsed="false">
      <c r="A189" s="14"/>
      <c r="B189" s="15"/>
      <c r="C189" s="14"/>
      <c r="D189" s="14"/>
      <c r="E189" s="14"/>
      <c r="F189" s="14"/>
      <c r="G189" s="14"/>
      <c r="H189" s="14"/>
      <c r="I189" s="16"/>
      <c r="J189" s="17"/>
      <c r="K189" s="14"/>
      <c r="L189" s="15"/>
      <c r="M189" s="17"/>
      <c r="N189" s="14"/>
      <c r="O189" s="15"/>
      <c r="P189" s="14"/>
      <c r="Q189" s="16"/>
      <c r="R189" s="13" t="str">
        <f aca="false">IF(AND(B189&lt;&gt;"",L189&lt;&gt;""),L189-B189,"")</f>
        <v/>
      </c>
      <c r="S189" s="13" t="str">
        <f aca="true">IF(B189="","",IF(O189&lt;&gt;"",O189-B189,TODAY()-B189))</f>
        <v/>
      </c>
      <c r="T189" s="13" t="str">
        <f aca="false">IF(A189="","",SUMIF('Time Log'!$C$5:$C$1004,A189,'Time Log'!$E$5:$E$1004))</f>
        <v/>
      </c>
    </row>
    <row r="190" customFormat="false" ht="15" hidden="false" customHeight="false" outlineLevel="0" collapsed="false">
      <c r="A190" s="14"/>
      <c r="B190" s="15"/>
      <c r="C190" s="14"/>
      <c r="D190" s="14"/>
      <c r="E190" s="14"/>
      <c r="F190" s="14"/>
      <c r="G190" s="14"/>
      <c r="H190" s="14"/>
      <c r="I190" s="16"/>
      <c r="J190" s="17"/>
      <c r="K190" s="14"/>
      <c r="L190" s="15"/>
      <c r="M190" s="17"/>
      <c r="N190" s="14"/>
      <c r="O190" s="15"/>
      <c r="P190" s="14"/>
      <c r="Q190" s="16"/>
      <c r="R190" s="13" t="str">
        <f aca="false">IF(AND(B190&lt;&gt;"",L190&lt;&gt;""),L190-B190,"")</f>
        <v/>
      </c>
      <c r="S190" s="13" t="str">
        <f aca="true">IF(B190="","",IF(O190&lt;&gt;"",O190-B190,TODAY()-B190))</f>
        <v/>
      </c>
      <c r="T190" s="13" t="str">
        <f aca="false">IF(A190="","",SUMIF('Time Log'!$C$5:$C$1004,A190,'Time Log'!$E$5:$E$1004))</f>
        <v/>
      </c>
    </row>
    <row r="191" customFormat="false" ht="15" hidden="false" customHeight="false" outlineLevel="0" collapsed="false">
      <c r="A191" s="14"/>
      <c r="B191" s="15"/>
      <c r="C191" s="14"/>
      <c r="D191" s="14"/>
      <c r="E191" s="14"/>
      <c r="F191" s="14"/>
      <c r="G191" s="14"/>
      <c r="H191" s="14"/>
      <c r="I191" s="16"/>
      <c r="J191" s="17"/>
      <c r="K191" s="14"/>
      <c r="L191" s="15"/>
      <c r="M191" s="17"/>
      <c r="N191" s="14"/>
      <c r="O191" s="15"/>
      <c r="P191" s="14"/>
      <c r="Q191" s="16"/>
      <c r="R191" s="13" t="str">
        <f aca="false">IF(AND(B191&lt;&gt;"",L191&lt;&gt;""),L191-B191,"")</f>
        <v/>
      </c>
      <c r="S191" s="13" t="str">
        <f aca="true">IF(B191="","",IF(O191&lt;&gt;"",O191-B191,TODAY()-B191))</f>
        <v/>
      </c>
      <c r="T191" s="13" t="str">
        <f aca="false">IF(A191="","",SUMIF('Time Log'!$C$5:$C$1004,A191,'Time Log'!$E$5:$E$1004))</f>
        <v/>
      </c>
    </row>
    <row r="192" customFormat="false" ht="15" hidden="false" customHeight="false" outlineLevel="0" collapsed="false">
      <c r="A192" s="14"/>
      <c r="B192" s="15"/>
      <c r="C192" s="14"/>
      <c r="D192" s="14"/>
      <c r="E192" s="14"/>
      <c r="F192" s="14"/>
      <c r="G192" s="14"/>
      <c r="H192" s="14"/>
      <c r="I192" s="16"/>
      <c r="J192" s="17"/>
      <c r="K192" s="14"/>
      <c r="L192" s="15"/>
      <c r="M192" s="17"/>
      <c r="N192" s="14"/>
      <c r="O192" s="15"/>
      <c r="P192" s="14"/>
      <c r="Q192" s="16"/>
      <c r="R192" s="13" t="str">
        <f aca="false">IF(AND(B192&lt;&gt;"",L192&lt;&gt;""),L192-B192,"")</f>
        <v/>
      </c>
      <c r="S192" s="13" t="str">
        <f aca="true">IF(B192="","",IF(O192&lt;&gt;"",O192-B192,TODAY()-B192))</f>
        <v/>
      </c>
      <c r="T192" s="13" t="str">
        <f aca="false">IF(A192="","",SUMIF('Time Log'!$C$5:$C$1004,A192,'Time Log'!$E$5:$E$1004))</f>
        <v/>
      </c>
    </row>
    <row r="193" customFormat="false" ht="15" hidden="false" customHeight="false" outlineLevel="0" collapsed="false">
      <c r="A193" s="14"/>
      <c r="B193" s="15"/>
      <c r="C193" s="14"/>
      <c r="D193" s="14"/>
      <c r="E193" s="14"/>
      <c r="F193" s="14"/>
      <c r="G193" s="14"/>
      <c r="H193" s="14"/>
      <c r="I193" s="16"/>
      <c r="J193" s="17"/>
      <c r="K193" s="14"/>
      <c r="L193" s="15"/>
      <c r="M193" s="17"/>
      <c r="N193" s="14"/>
      <c r="O193" s="15"/>
      <c r="P193" s="14"/>
      <c r="Q193" s="16"/>
      <c r="R193" s="13" t="str">
        <f aca="false">IF(AND(B193&lt;&gt;"",L193&lt;&gt;""),L193-B193,"")</f>
        <v/>
      </c>
      <c r="S193" s="13" t="str">
        <f aca="true">IF(B193="","",IF(O193&lt;&gt;"",O193-B193,TODAY()-B193))</f>
        <v/>
      </c>
      <c r="T193" s="13" t="str">
        <f aca="false">IF(A193="","",SUMIF('Time Log'!$C$5:$C$1004,A193,'Time Log'!$E$5:$E$1004))</f>
        <v/>
      </c>
    </row>
    <row r="194" customFormat="false" ht="15" hidden="false" customHeight="false" outlineLevel="0" collapsed="false">
      <c r="A194" s="14"/>
      <c r="B194" s="15"/>
      <c r="C194" s="14"/>
      <c r="D194" s="14"/>
      <c r="E194" s="14"/>
      <c r="F194" s="14"/>
      <c r="G194" s="14"/>
      <c r="H194" s="14"/>
      <c r="I194" s="16"/>
      <c r="J194" s="17"/>
      <c r="K194" s="14"/>
      <c r="L194" s="15"/>
      <c r="M194" s="17"/>
      <c r="N194" s="14"/>
      <c r="O194" s="15"/>
      <c r="P194" s="14"/>
      <c r="Q194" s="16"/>
      <c r="R194" s="13" t="str">
        <f aca="false">IF(AND(B194&lt;&gt;"",L194&lt;&gt;""),L194-B194,"")</f>
        <v/>
      </c>
      <c r="S194" s="13" t="str">
        <f aca="true">IF(B194="","",IF(O194&lt;&gt;"",O194-B194,TODAY()-B194))</f>
        <v/>
      </c>
      <c r="T194" s="13" t="str">
        <f aca="false">IF(A194="","",SUMIF('Time Log'!$C$5:$C$1004,A194,'Time Log'!$E$5:$E$1004))</f>
        <v/>
      </c>
    </row>
    <row r="195" customFormat="false" ht="15" hidden="false" customHeight="false" outlineLevel="0" collapsed="false">
      <c r="A195" s="14"/>
      <c r="B195" s="15"/>
      <c r="C195" s="14"/>
      <c r="D195" s="14"/>
      <c r="E195" s="14"/>
      <c r="F195" s="14"/>
      <c r="G195" s="14"/>
      <c r="H195" s="14"/>
      <c r="I195" s="16"/>
      <c r="J195" s="17"/>
      <c r="K195" s="14"/>
      <c r="L195" s="15"/>
      <c r="M195" s="17"/>
      <c r="N195" s="14"/>
      <c r="O195" s="15"/>
      <c r="P195" s="14"/>
      <c r="Q195" s="16"/>
      <c r="R195" s="13" t="str">
        <f aca="false">IF(AND(B195&lt;&gt;"",L195&lt;&gt;""),L195-B195,"")</f>
        <v/>
      </c>
      <c r="S195" s="13" t="str">
        <f aca="true">IF(B195="","",IF(O195&lt;&gt;"",O195-B195,TODAY()-B195))</f>
        <v/>
      </c>
      <c r="T195" s="13" t="str">
        <f aca="false">IF(A195="","",SUMIF('Time Log'!$C$5:$C$1004,A195,'Time Log'!$E$5:$E$1004))</f>
        <v/>
      </c>
    </row>
    <row r="196" customFormat="false" ht="15" hidden="false" customHeight="false" outlineLevel="0" collapsed="false">
      <c r="A196" s="14"/>
      <c r="B196" s="15"/>
      <c r="C196" s="14"/>
      <c r="D196" s="14"/>
      <c r="E196" s="14"/>
      <c r="F196" s="14"/>
      <c r="G196" s="14"/>
      <c r="H196" s="14"/>
      <c r="I196" s="16"/>
      <c r="J196" s="17"/>
      <c r="K196" s="14"/>
      <c r="L196" s="15"/>
      <c r="M196" s="17"/>
      <c r="N196" s="14"/>
      <c r="O196" s="15"/>
      <c r="P196" s="14"/>
      <c r="Q196" s="16"/>
      <c r="R196" s="13" t="str">
        <f aca="false">IF(AND(B196&lt;&gt;"",L196&lt;&gt;""),L196-B196,"")</f>
        <v/>
      </c>
      <c r="S196" s="13" t="str">
        <f aca="true">IF(B196="","",IF(O196&lt;&gt;"",O196-B196,TODAY()-B196))</f>
        <v/>
      </c>
      <c r="T196" s="13" t="str">
        <f aca="false">IF(A196="","",SUMIF('Time Log'!$C$5:$C$1004,A196,'Time Log'!$E$5:$E$1004))</f>
        <v/>
      </c>
    </row>
    <row r="197" customFormat="false" ht="15" hidden="false" customHeight="false" outlineLevel="0" collapsed="false">
      <c r="A197" s="14"/>
      <c r="B197" s="15"/>
      <c r="C197" s="14"/>
      <c r="D197" s="14"/>
      <c r="E197" s="14"/>
      <c r="F197" s="14"/>
      <c r="G197" s="14"/>
      <c r="H197" s="14"/>
      <c r="I197" s="16"/>
      <c r="J197" s="17"/>
      <c r="K197" s="14"/>
      <c r="L197" s="15"/>
      <c r="M197" s="17"/>
      <c r="N197" s="14"/>
      <c r="O197" s="15"/>
      <c r="P197" s="14"/>
      <c r="Q197" s="16"/>
      <c r="R197" s="13" t="str">
        <f aca="false">IF(AND(B197&lt;&gt;"",L197&lt;&gt;""),L197-B197,"")</f>
        <v/>
      </c>
      <c r="S197" s="13" t="str">
        <f aca="true">IF(B197="","",IF(O197&lt;&gt;"",O197-B197,TODAY()-B197))</f>
        <v/>
      </c>
      <c r="T197" s="13" t="str">
        <f aca="false">IF(A197="","",SUMIF('Time Log'!$C$5:$C$1004,A197,'Time Log'!$E$5:$E$1004))</f>
        <v/>
      </c>
    </row>
    <row r="198" customFormat="false" ht="15" hidden="false" customHeight="false" outlineLevel="0" collapsed="false">
      <c r="A198" s="14"/>
      <c r="B198" s="15"/>
      <c r="C198" s="14"/>
      <c r="D198" s="14"/>
      <c r="E198" s="14"/>
      <c r="F198" s="14"/>
      <c r="G198" s="14"/>
      <c r="H198" s="14"/>
      <c r="I198" s="16"/>
      <c r="J198" s="17"/>
      <c r="K198" s="14"/>
      <c r="L198" s="15"/>
      <c r="M198" s="17"/>
      <c r="N198" s="14"/>
      <c r="O198" s="15"/>
      <c r="P198" s="14"/>
      <c r="Q198" s="16"/>
      <c r="R198" s="13" t="str">
        <f aca="false">IF(AND(B198&lt;&gt;"",L198&lt;&gt;""),L198-B198,"")</f>
        <v/>
      </c>
      <c r="S198" s="13" t="str">
        <f aca="true">IF(B198="","",IF(O198&lt;&gt;"",O198-B198,TODAY()-B198))</f>
        <v/>
      </c>
      <c r="T198" s="13" t="str">
        <f aca="false">IF(A198="","",SUMIF('Time Log'!$C$5:$C$1004,A198,'Time Log'!$E$5:$E$1004))</f>
        <v/>
      </c>
    </row>
    <row r="199" customFormat="false" ht="15" hidden="false" customHeight="false" outlineLevel="0" collapsed="false">
      <c r="A199" s="14"/>
      <c r="B199" s="15"/>
      <c r="C199" s="14"/>
      <c r="D199" s="14"/>
      <c r="E199" s="14"/>
      <c r="F199" s="14"/>
      <c r="G199" s="14"/>
      <c r="H199" s="14"/>
      <c r="I199" s="16"/>
      <c r="J199" s="17"/>
      <c r="K199" s="14"/>
      <c r="L199" s="15"/>
      <c r="M199" s="17"/>
      <c r="N199" s="14"/>
      <c r="O199" s="15"/>
      <c r="P199" s="14"/>
      <c r="Q199" s="16"/>
      <c r="R199" s="13" t="str">
        <f aca="false">IF(AND(B199&lt;&gt;"",L199&lt;&gt;""),L199-B199,"")</f>
        <v/>
      </c>
      <c r="S199" s="13" t="str">
        <f aca="true">IF(B199="","",IF(O199&lt;&gt;"",O199-B199,TODAY()-B199))</f>
        <v/>
      </c>
      <c r="T199" s="13" t="str">
        <f aca="false">IF(A199="","",SUMIF('Time Log'!$C$5:$C$1004,A199,'Time Log'!$E$5:$E$1004))</f>
        <v/>
      </c>
    </row>
    <row r="200" customFormat="false" ht="15" hidden="false" customHeight="false" outlineLevel="0" collapsed="false">
      <c r="A200" s="14"/>
      <c r="B200" s="15"/>
      <c r="C200" s="14"/>
      <c r="D200" s="14"/>
      <c r="E200" s="14"/>
      <c r="F200" s="14"/>
      <c r="G200" s="14"/>
      <c r="H200" s="14"/>
      <c r="I200" s="16"/>
      <c r="J200" s="17"/>
      <c r="K200" s="14"/>
      <c r="L200" s="15"/>
      <c r="M200" s="17"/>
      <c r="N200" s="14"/>
      <c r="O200" s="15"/>
      <c r="P200" s="14"/>
      <c r="Q200" s="16"/>
      <c r="R200" s="13" t="str">
        <f aca="false">IF(AND(B200&lt;&gt;"",L200&lt;&gt;""),L200-B200,"")</f>
        <v/>
      </c>
      <c r="S200" s="13" t="str">
        <f aca="true">IF(B200="","",IF(O200&lt;&gt;"",O200-B200,TODAY()-B200))</f>
        <v/>
      </c>
      <c r="T200" s="13" t="str">
        <f aca="false">IF(A200="","",SUMIF('Time Log'!$C$5:$C$1004,A200,'Time Log'!$E$5:$E$1004))</f>
        <v/>
      </c>
    </row>
    <row r="201" customFormat="false" ht="15" hidden="false" customHeight="false" outlineLevel="0" collapsed="false">
      <c r="A201" s="14"/>
      <c r="B201" s="15"/>
      <c r="C201" s="14"/>
      <c r="D201" s="14"/>
      <c r="E201" s="14"/>
      <c r="F201" s="14"/>
      <c r="G201" s="14"/>
      <c r="H201" s="14"/>
      <c r="I201" s="16"/>
      <c r="J201" s="17"/>
      <c r="K201" s="14"/>
      <c r="L201" s="15"/>
      <c r="M201" s="17"/>
      <c r="N201" s="14"/>
      <c r="O201" s="15"/>
      <c r="P201" s="14"/>
      <c r="Q201" s="16"/>
      <c r="R201" s="13" t="str">
        <f aca="false">IF(AND(B201&lt;&gt;"",L201&lt;&gt;""),L201-B201,"")</f>
        <v/>
      </c>
      <c r="S201" s="13" t="str">
        <f aca="true">IF(B201="","",IF(O201&lt;&gt;"",O201-B201,TODAY()-B201))</f>
        <v/>
      </c>
      <c r="T201" s="13" t="str">
        <f aca="false">IF(A201="","",SUMIF('Time Log'!$C$5:$C$1004,A201,'Time Log'!$E$5:$E$1004))</f>
        <v/>
      </c>
    </row>
    <row r="202" customFormat="false" ht="15" hidden="false" customHeight="false" outlineLevel="0" collapsed="false">
      <c r="A202" s="14"/>
      <c r="B202" s="15"/>
      <c r="C202" s="14"/>
      <c r="D202" s="14"/>
      <c r="E202" s="14"/>
      <c r="F202" s="14"/>
      <c r="G202" s="14"/>
      <c r="H202" s="14"/>
      <c r="I202" s="16"/>
      <c r="J202" s="17"/>
      <c r="K202" s="14"/>
      <c r="L202" s="15"/>
      <c r="M202" s="17"/>
      <c r="N202" s="14"/>
      <c r="O202" s="15"/>
      <c r="P202" s="14"/>
      <c r="Q202" s="16"/>
      <c r="R202" s="13" t="str">
        <f aca="false">IF(AND(B202&lt;&gt;"",L202&lt;&gt;""),L202-B202,"")</f>
        <v/>
      </c>
      <c r="S202" s="13" t="str">
        <f aca="true">IF(B202="","",IF(O202&lt;&gt;"",O202-B202,TODAY()-B202))</f>
        <v/>
      </c>
      <c r="T202" s="13" t="str">
        <f aca="false">IF(A202="","",SUMIF('Time Log'!$C$5:$C$1004,A202,'Time Log'!$E$5:$E$1004))</f>
        <v/>
      </c>
    </row>
    <row r="203" customFormat="false" ht="15" hidden="false" customHeight="false" outlineLevel="0" collapsed="false">
      <c r="A203" s="14"/>
      <c r="B203" s="15"/>
      <c r="C203" s="14"/>
      <c r="D203" s="14"/>
      <c r="E203" s="14"/>
      <c r="F203" s="14"/>
      <c r="G203" s="14"/>
      <c r="H203" s="14"/>
      <c r="I203" s="16"/>
      <c r="J203" s="17"/>
      <c r="K203" s="14"/>
      <c r="L203" s="15"/>
      <c r="M203" s="17"/>
      <c r="N203" s="14"/>
      <c r="O203" s="15"/>
      <c r="P203" s="14"/>
      <c r="Q203" s="16"/>
      <c r="R203" s="13" t="str">
        <f aca="false">IF(AND(B203&lt;&gt;"",L203&lt;&gt;""),L203-B203,"")</f>
        <v/>
      </c>
      <c r="S203" s="13" t="str">
        <f aca="true">IF(B203="","",IF(O203&lt;&gt;"",O203-B203,TODAY()-B203))</f>
        <v/>
      </c>
      <c r="T203" s="13" t="str">
        <f aca="false">IF(A203="","",SUMIF('Time Log'!$C$5:$C$1004,A203,'Time Log'!$E$5:$E$1004))</f>
        <v/>
      </c>
    </row>
    <row r="204" customFormat="false" ht="15" hidden="false" customHeight="false" outlineLevel="0" collapsed="false">
      <c r="A204" s="14"/>
      <c r="B204" s="15"/>
      <c r="C204" s="14"/>
      <c r="D204" s="14"/>
      <c r="E204" s="14"/>
      <c r="F204" s="14"/>
      <c r="G204" s="14"/>
      <c r="H204" s="14"/>
      <c r="I204" s="16"/>
      <c r="J204" s="17"/>
      <c r="K204" s="14"/>
      <c r="L204" s="15"/>
      <c r="M204" s="17"/>
      <c r="N204" s="14"/>
      <c r="O204" s="15"/>
      <c r="P204" s="14"/>
      <c r="Q204" s="16"/>
      <c r="R204" s="13" t="str">
        <f aca="false">IF(AND(B204&lt;&gt;"",L204&lt;&gt;""),L204-B204,"")</f>
        <v/>
      </c>
      <c r="S204" s="13" t="str">
        <f aca="true">IF(B204="","",IF(O204&lt;&gt;"",O204-B204,TODAY()-B204))</f>
        <v/>
      </c>
      <c r="T204" s="13" t="str">
        <f aca="false">IF(A204="","",SUMIF('Time Log'!$C$5:$C$1004,A204,'Time Log'!$E$5:$E$1004))</f>
        <v/>
      </c>
    </row>
    <row r="205" customFormat="false" ht="15" hidden="false" customHeight="false" outlineLevel="0" collapsed="false">
      <c r="A205" s="14"/>
      <c r="B205" s="15"/>
      <c r="C205" s="14"/>
      <c r="D205" s="14"/>
      <c r="E205" s="14"/>
      <c r="F205" s="14"/>
      <c r="G205" s="14"/>
      <c r="H205" s="14"/>
      <c r="I205" s="16"/>
      <c r="J205" s="17"/>
      <c r="K205" s="14"/>
      <c r="L205" s="15"/>
      <c r="M205" s="17"/>
      <c r="N205" s="14"/>
      <c r="O205" s="15"/>
      <c r="P205" s="14"/>
      <c r="Q205" s="16"/>
      <c r="R205" s="13" t="str">
        <f aca="false">IF(AND(B205&lt;&gt;"",L205&lt;&gt;""),L205-B205,"")</f>
        <v/>
      </c>
      <c r="S205" s="13" t="str">
        <f aca="true">IF(B205="","",IF(O205&lt;&gt;"",O205-B205,TODAY()-B205))</f>
        <v/>
      </c>
      <c r="T205" s="13" t="str">
        <f aca="false">IF(A205="","",SUMIF('Time Log'!$C$5:$C$1004,A205,'Time Log'!$E$5:$E$1004))</f>
        <v/>
      </c>
    </row>
    <row r="206" customFormat="false" ht="15" hidden="false" customHeight="false" outlineLevel="0" collapsed="false">
      <c r="A206" s="14"/>
      <c r="B206" s="15"/>
      <c r="C206" s="14"/>
      <c r="D206" s="14"/>
      <c r="E206" s="14"/>
      <c r="F206" s="14"/>
      <c r="G206" s="14"/>
      <c r="H206" s="14"/>
      <c r="I206" s="16"/>
      <c r="J206" s="17"/>
      <c r="K206" s="14"/>
      <c r="L206" s="15"/>
      <c r="M206" s="17"/>
      <c r="N206" s="14"/>
      <c r="O206" s="15"/>
      <c r="P206" s="14"/>
      <c r="Q206" s="16"/>
      <c r="R206" s="13" t="str">
        <f aca="false">IF(AND(B206&lt;&gt;"",L206&lt;&gt;""),L206-B206,"")</f>
        <v/>
      </c>
      <c r="S206" s="13" t="str">
        <f aca="true">IF(B206="","",IF(O206&lt;&gt;"",O206-B206,TODAY()-B206))</f>
        <v/>
      </c>
      <c r="T206" s="13" t="str">
        <f aca="false">IF(A206="","",SUMIF('Time Log'!$C$5:$C$1004,A206,'Time Log'!$E$5:$E$1004))</f>
        <v/>
      </c>
    </row>
    <row r="207" customFormat="false" ht="15" hidden="false" customHeight="false" outlineLevel="0" collapsed="false">
      <c r="A207" s="14"/>
      <c r="B207" s="15"/>
      <c r="C207" s="14"/>
      <c r="D207" s="14"/>
      <c r="E207" s="14"/>
      <c r="F207" s="14"/>
      <c r="G207" s="14"/>
      <c r="H207" s="14"/>
      <c r="I207" s="16"/>
      <c r="J207" s="17"/>
      <c r="K207" s="14"/>
      <c r="L207" s="15"/>
      <c r="M207" s="17"/>
      <c r="N207" s="14"/>
      <c r="O207" s="15"/>
      <c r="P207" s="14"/>
      <c r="Q207" s="16"/>
      <c r="R207" s="13" t="str">
        <f aca="false">IF(AND(B207&lt;&gt;"",L207&lt;&gt;""),L207-B207,"")</f>
        <v/>
      </c>
      <c r="S207" s="13" t="str">
        <f aca="true">IF(B207="","",IF(O207&lt;&gt;"",O207-B207,TODAY()-B207))</f>
        <v/>
      </c>
      <c r="T207" s="13" t="str">
        <f aca="false">IF(A207="","",SUMIF('Time Log'!$C$5:$C$1004,A207,'Time Log'!$E$5:$E$1004))</f>
        <v/>
      </c>
    </row>
    <row r="208" customFormat="false" ht="15" hidden="false" customHeight="false" outlineLevel="0" collapsed="false">
      <c r="A208" s="14"/>
      <c r="B208" s="15"/>
      <c r="C208" s="14"/>
      <c r="D208" s="14"/>
      <c r="E208" s="14"/>
      <c r="F208" s="14"/>
      <c r="G208" s="14"/>
      <c r="H208" s="14"/>
      <c r="I208" s="16"/>
      <c r="J208" s="17"/>
      <c r="K208" s="14"/>
      <c r="L208" s="15"/>
      <c r="M208" s="17"/>
      <c r="N208" s="14"/>
      <c r="O208" s="15"/>
      <c r="P208" s="14"/>
      <c r="Q208" s="16"/>
      <c r="R208" s="13" t="str">
        <f aca="false">IF(AND(B208&lt;&gt;"",L208&lt;&gt;""),L208-B208,"")</f>
        <v/>
      </c>
      <c r="S208" s="13" t="str">
        <f aca="true">IF(B208="","",IF(O208&lt;&gt;"",O208-B208,TODAY()-B208))</f>
        <v/>
      </c>
      <c r="T208" s="13" t="str">
        <f aca="false">IF(A208="","",SUMIF('Time Log'!$C$5:$C$1004,A208,'Time Log'!$E$5:$E$1004))</f>
        <v/>
      </c>
    </row>
    <row r="209" customFormat="false" ht="15" hidden="false" customHeight="false" outlineLevel="0" collapsed="false">
      <c r="A209" s="14"/>
      <c r="B209" s="15"/>
      <c r="C209" s="14"/>
      <c r="D209" s="14"/>
      <c r="E209" s="14"/>
      <c r="F209" s="14"/>
      <c r="G209" s="14"/>
      <c r="H209" s="14"/>
      <c r="I209" s="16"/>
      <c r="J209" s="17"/>
      <c r="K209" s="14"/>
      <c r="L209" s="15"/>
      <c r="M209" s="17"/>
      <c r="N209" s="14"/>
      <c r="O209" s="15"/>
      <c r="P209" s="14"/>
      <c r="Q209" s="16"/>
      <c r="R209" s="13" t="str">
        <f aca="false">IF(AND(B209&lt;&gt;"",L209&lt;&gt;""),L209-B209,"")</f>
        <v/>
      </c>
      <c r="S209" s="13" t="str">
        <f aca="true">IF(B209="","",IF(O209&lt;&gt;"",O209-B209,TODAY()-B209))</f>
        <v/>
      </c>
      <c r="T209" s="13" t="str">
        <f aca="false">IF(A209="","",SUMIF('Time Log'!$C$5:$C$1004,A209,'Time Log'!$E$5:$E$1004))</f>
        <v/>
      </c>
    </row>
    <row r="210" customFormat="false" ht="15" hidden="false" customHeight="false" outlineLevel="0" collapsed="false">
      <c r="A210" s="14"/>
      <c r="B210" s="15"/>
      <c r="C210" s="14"/>
      <c r="D210" s="14"/>
      <c r="E210" s="14"/>
      <c r="F210" s="14"/>
      <c r="G210" s="14"/>
      <c r="H210" s="14"/>
      <c r="I210" s="16"/>
      <c r="J210" s="17"/>
      <c r="K210" s="14"/>
      <c r="L210" s="15"/>
      <c r="M210" s="17"/>
      <c r="N210" s="14"/>
      <c r="O210" s="15"/>
      <c r="P210" s="14"/>
      <c r="Q210" s="16"/>
      <c r="R210" s="13" t="str">
        <f aca="false">IF(AND(B210&lt;&gt;"",L210&lt;&gt;""),L210-B210,"")</f>
        <v/>
      </c>
      <c r="S210" s="13" t="str">
        <f aca="true">IF(B210="","",IF(O210&lt;&gt;"",O210-B210,TODAY()-B210))</f>
        <v/>
      </c>
      <c r="T210" s="13" t="str">
        <f aca="false">IF(A210="","",SUMIF('Time Log'!$C$5:$C$1004,A210,'Time Log'!$E$5:$E$1004))</f>
        <v/>
      </c>
    </row>
    <row r="211" customFormat="false" ht="15" hidden="false" customHeight="false" outlineLevel="0" collapsed="false">
      <c r="A211" s="14"/>
      <c r="B211" s="15"/>
      <c r="C211" s="14"/>
      <c r="D211" s="14"/>
      <c r="E211" s="14"/>
      <c r="F211" s="14"/>
      <c r="G211" s="14"/>
      <c r="H211" s="14"/>
      <c r="I211" s="16"/>
      <c r="J211" s="17"/>
      <c r="K211" s="14"/>
      <c r="L211" s="15"/>
      <c r="M211" s="17"/>
      <c r="N211" s="14"/>
      <c r="O211" s="15"/>
      <c r="P211" s="14"/>
      <c r="Q211" s="16"/>
      <c r="R211" s="13" t="str">
        <f aca="false">IF(AND(B211&lt;&gt;"",L211&lt;&gt;""),L211-B211,"")</f>
        <v/>
      </c>
      <c r="S211" s="13" t="str">
        <f aca="true">IF(B211="","",IF(O211&lt;&gt;"",O211-B211,TODAY()-B211))</f>
        <v/>
      </c>
      <c r="T211" s="13" t="str">
        <f aca="false">IF(A211="","",SUMIF('Time Log'!$C$5:$C$1004,A211,'Time Log'!$E$5:$E$1004))</f>
        <v/>
      </c>
    </row>
    <row r="212" customFormat="false" ht="15" hidden="false" customHeight="false" outlineLevel="0" collapsed="false">
      <c r="A212" s="14"/>
      <c r="B212" s="15"/>
      <c r="C212" s="14"/>
      <c r="D212" s="14"/>
      <c r="E212" s="14"/>
      <c r="F212" s="14"/>
      <c r="G212" s="14"/>
      <c r="H212" s="14"/>
      <c r="I212" s="16"/>
      <c r="J212" s="17"/>
      <c r="K212" s="14"/>
      <c r="L212" s="15"/>
      <c r="M212" s="17"/>
      <c r="N212" s="14"/>
      <c r="O212" s="15"/>
      <c r="P212" s="14"/>
      <c r="Q212" s="16"/>
      <c r="R212" s="13" t="str">
        <f aca="false">IF(AND(B212&lt;&gt;"",L212&lt;&gt;""),L212-B212,"")</f>
        <v/>
      </c>
      <c r="S212" s="13" t="str">
        <f aca="true">IF(B212="","",IF(O212&lt;&gt;"",O212-B212,TODAY()-B212))</f>
        <v/>
      </c>
      <c r="T212" s="13" t="str">
        <f aca="false">IF(A212="","",SUMIF('Time Log'!$C$5:$C$1004,A212,'Time Log'!$E$5:$E$1004))</f>
        <v/>
      </c>
    </row>
    <row r="213" customFormat="false" ht="15" hidden="false" customHeight="false" outlineLevel="0" collapsed="false">
      <c r="A213" s="14"/>
      <c r="B213" s="15"/>
      <c r="C213" s="14"/>
      <c r="D213" s="14"/>
      <c r="E213" s="14"/>
      <c r="F213" s="14"/>
      <c r="G213" s="14"/>
      <c r="H213" s="14"/>
      <c r="I213" s="16"/>
      <c r="J213" s="17"/>
      <c r="K213" s="14"/>
      <c r="L213" s="15"/>
      <c r="M213" s="17"/>
      <c r="N213" s="14"/>
      <c r="O213" s="15"/>
      <c r="P213" s="14"/>
      <c r="Q213" s="16"/>
      <c r="R213" s="13" t="str">
        <f aca="false">IF(AND(B213&lt;&gt;"",L213&lt;&gt;""),L213-B213,"")</f>
        <v/>
      </c>
      <c r="S213" s="13" t="str">
        <f aca="true">IF(B213="","",IF(O213&lt;&gt;"",O213-B213,TODAY()-B213))</f>
        <v/>
      </c>
      <c r="T213" s="13" t="str">
        <f aca="false">IF(A213="","",SUMIF('Time Log'!$C$5:$C$1004,A213,'Time Log'!$E$5:$E$1004))</f>
        <v/>
      </c>
    </row>
    <row r="214" customFormat="false" ht="15" hidden="false" customHeight="false" outlineLevel="0" collapsed="false">
      <c r="A214" s="14"/>
      <c r="B214" s="15"/>
      <c r="C214" s="14"/>
      <c r="D214" s="14"/>
      <c r="E214" s="14"/>
      <c r="F214" s="14"/>
      <c r="G214" s="14"/>
      <c r="H214" s="14"/>
      <c r="I214" s="16"/>
      <c r="J214" s="17"/>
      <c r="K214" s="14"/>
      <c r="L214" s="15"/>
      <c r="M214" s="17"/>
      <c r="N214" s="14"/>
      <c r="O214" s="15"/>
      <c r="P214" s="14"/>
      <c r="Q214" s="16"/>
      <c r="R214" s="13" t="str">
        <f aca="false">IF(AND(B214&lt;&gt;"",L214&lt;&gt;""),L214-B214,"")</f>
        <v/>
      </c>
      <c r="S214" s="13" t="str">
        <f aca="true">IF(B214="","",IF(O214&lt;&gt;"",O214-B214,TODAY()-B214))</f>
        <v/>
      </c>
      <c r="T214" s="13" t="str">
        <f aca="false">IF(A214="","",SUMIF('Time Log'!$C$5:$C$1004,A214,'Time Log'!$E$5:$E$1004))</f>
        <v/>
      </c>
    </row>
    <row r="215" customFormat="false" ht="15" hidden="false" customHeight="false" outlineLevel="0" collapsed="false">
      <c r="A215" s="14"/>
      <c r="B215" s="15"/>
      <c r="C215" s="14"/>
      <c r="D215" s="14"/>
      <c r="E215" s="14"/>
      <c r="F215" s="14"/>
      <c r="G215" s="14"/>
      <c r="H215" s="14"/>
      <c r="I215" s="16"/>
      <c r="J215" s="17"/>
      <c r="K215" s="14"/>
      <c r="L215" s="15"/>
      <c r="M215" s="17"/>
      <c r="N215" s="14"/>
      <c r="O215" s="15"/>
      <c r="P215" s="14"/>
      <c r="Q215" s="16"/>
      <c r="R215" s="13" t="str">
        <f aca="false">IF(AND(B215&lt;&gt;"",L215&lt;&gt;""),L215-B215,"")</f>
        <v/>
      </c>
      <c r="S215" s="13" t="str">
        <f aca="true">IF(B215="","",IF(O215&lt;&gt;"",O215-B215,TODAY()-B215))</f>
        <v/>
      </c>
      <c r="T215" s="13" t="str">
        <f aca="false">IF(A215="","",SUMIF('Time Log'!$C$5:$C$1004,A215,'Time Log'!$E$5:$E$1004))</f>
        <v/>
      </c>
    </row>
    <row r="216" customFormat="false" ht="15" hidden="false" customHeight="false" outlineLevel="0" collapsed="false">
      <c r="A216" s="14"/>
      <c r="B216" s="15"/>
      <c r="C216" s="14"/>
      <c r="D216" s="14"/>
      <c r="E216" s="14"/>
      <c r="F216" s="14"/>
      <c r="G216" s="14"/>
      <c r="H216" s="14"/>
      <c r="I216" s="16"/>
      <c r="J216" s="17"/>
      <c r="K216" s="14"/>
      <c r="L216" s="15"/>
      <c r="M216" s="17"/>
      <c r="N216" s="14"/>
      <c r="O216" s="15"/>
      <c r="P216" s="14"/>
      <c r="Q216" s="16"/>
      <c r="R216" s="13" t="str">
        <f aca="false">IF(AND(B216&lt;&gt;"",L216&lt;&gt;""),L216-B216,"")</f>
        <v/>
      </c>
      <c r="S216" s="13" t="str">
        <f aca="true">IF(B216="","",IF(O216&lt;&gt;"",O216-B216,TODAY()-B216))</f>
        <v/>
      </c>
      <c r="T216" s="13" t="str">
        <f aca="false">IF(A216="","",SUMIF('Time Log'!$C$5:$C$1004,A216,'Time Log'!$E$5:$E$1004))</f>
        <v/>
      </c>
    </row>
    <row r="217" customFormat="false" ht="15" hidden="false" customHeight="false" outlineLevel="0" collapsed="false">
      <c r="A217" s="14"/>
      <c r="B217" s="15"/>
      <c r="C217" s="14"/>
      <c r="D217" s="14"/>
      <c r="E217" s="14"/>
      <c r="F217" s="14"/>
      <c r="G217" s="14"/>
      <c r="H217" s="14"/>
      <c r="I217" s="16"/>
      <c r="J217" s="17"/>
      <c r="K217" s="14"/>
      <c r="L217" s="15"/>
      <c r="M217" s="17"/>
      <c r="N217" s="14"/>
      <c r="O217" s="15"/>
      <c r="P217" s="14"/>
      <c r="Q217" s="16"/>
      <c r="R217" s="13" t="str">
        <f aca="false">IF(AND(B217&lt;&gt;"",L217&lt;&gt;""),L217-B217,"")</f>
        <v/>
      </c>
      <c r="S217" s="13" t="str">
        <f aca="true">IF(B217="","",IF(O217&lt;&gt;"",O217-B217,TODAY()-B217))</f>
        <v/>
      </c>
      <c r="T217" s="13" t="str">
        <f aca="false">IF(A217="","",SUMIF('Time Log'!$C$5:$C$1004,A217,'Time Log'!$E$5:$E$1004))</f>
        <v/>
      </c>
    </row>
    <row r="218" customFormat="false" ht="15" hidden="false" customHeight="false" outlineLevel="0" collapsed="false">
      <c r="A218" s="14"/>
      <c r="B218" s="15"/>
      <c r="C218" s="14"/>
      <c r="D218" s="14"/>
      <c r="E218" s="14"/>
      <c r="F218" s="14"/>
      <c r="G218" s="14"/>
      <c r="H218" s="14"/>
      <c r="I218" s="16"/>
      <c r="J218" s="17"/>
      <c r="K218" s="14"/>
      <c r="L218" s="15"/>
      <c r="M218" s="17"/>
      <c r="N218" s="14"/>
      <c r="O218" s="15"/>
      <c r="P218" s="14"/>
      <c r="Q218" s="16"/>
      <c r="R218" s="13" t="str">
        <f aca="false">IF(AND(B218&lt;&gt;"",L218&lt;&gt;""),L218-B218,"")</f>
        <v/>
      </c>
      <c r="S218" s="13" t="str">
        <f aca="true">IF(B218="","",IF(O218&lt;&gt;"",O218-B218,TODAY()-B218))</f>
        <v/>
      </c>
      <c r="T218" s="13" t="str">
        <f aca="false">IF(A218="","",SUMIF('Time Log'!$C$5:$C$1004,A218,'Time Log'!$E$5:$E$1004))</f>
        <v/>
      </c>
    </row>
    <row r="219" customFormat="false" ht="15" hidden="false" customHeight="false" outlineLevel="0" collapsed="false">
      <c r="A219" s="14"/>
      <c r="B219" s="15"/>
      <c r="C219" s="14"/>
      <c r="D219" s="14"/>
      <c r="E219" s="14"/>
      <c r="F219" s="14"/>
      <c r="G219" s="14"/>
      <c r="H219" s="14"/>
      <c r="I219" s="16"/>
      <c r="J219" s="17"/>
      <c r="K219" s="14"/>
      <c r="L219" s="15"/>
      <c r="M219" s="17"/>
      <c r="N219" s="14"/>
      <c r="O219" s="15"/>
      <c r="P219" s="14"/>
      <c r="Q219" s="16"/>
      <c r="R219" s="13" t="str">
        <f aca="false">IF(AND(B219&lt;&gt;"",L219&lt;&gt;""),L219-B219,"")</f>
        <v/>
      </c>
      <c r="S219" s="13" t="str">
        <f aca="true">IF(B219="","",IF(O219&lt;&gt;"",O219-B219,TODAY()-B219))</f>
        <v/>
      </c>
      <c r="T219" s="13" t="str">
        <f aca="false">IF(A219="","",SUMIF('Time Log'!$C$5:$C$1004,A219,'Time Log'!$E$5:$E$1004))</f>
        <v/>
      </c>
    </row>
    <row r="220" customFormat="false" ht="15" hidden="false" customHeight="false" outlineLevel="0" collapsed="false">
      <c r="A220" s="14"/>
      <c r="B220" s="15"/>
      <c r="C220" s="14"/>
      <c r="D220" s="14"/>
      <c r="E220" s="14"/>
      <c r="F220" s="14"/>
      <c r="G220" s="14"/>
      <c r="H220" s="14"/>
      <c r="I220" s="16"/>
      <c r="J220" s="17"/>
      <c r="K220" s="14"/>
      <c r="L220" s="15"/>
      <c r="M220" s="17"/>
      <c r="N220" s="14"/>
      <c r="O220" s="15"/>
      <c r="P220" s="14"/>
      <c r="Q220" s="16"/>
      <c r="R220" s="13" t="str">
        <f aca="false">IF(AND(B220&lt;&gt;"",L220&lt;&gt;""),L220-B220,"")</f>
        <v/>
      </c>
      <c r="S220" s="13" t="str">
        <f aca="true">IF(B220="","",IF(O220&lt;&gt;"",O220-B220,TODAY()-B220))</f>
        <v/>
      </c>
      <c r="T220" s="13" t="str">
        <f aca="false">IF(A220="","",SUMIF('Time Log'!$C$5:$C$1004,A220,'Time Log'!$E$5:$E$1004))</f>
        <v/>
      </c>
    </row>
    <row r="221" customFormat="false" ht="15" hidden="false" customHeight="false" outlineLevel="0" collapsed="false">
      <c r="A221" s="14"/>
      <c r="B221" s="15"/>
      <c r="C221" s="14"/>
      <c r="D221" s="14"/>
      <c r="E221" s="14"/>
      <c r="F221" s="14"/>
      <c r="G221" s="14"/>
      <c r="H221" s="14"/>
      <c r="I221" s="16"/>
      <c r="J221" s="17"/>
      <c r="K221" s="14"/>
      <c r="L221" s="15"/>
      <c r="M221" s="17"/>
      <c r="N221" s="14"/>
      <c r="O221" s="15"/>
      <c r="P221" s="14"/>
      <c r="Q221" s="16"/>
      <c r="R221" s="13" t="str">
        <f aca="false">IF(AND(B221&lt;&gt;"",L221&lt;&gt;""),L221-B221,"")</f>
        <v/>
      </c>
      <c r="S221" s="13" t="str">
        <f aca="true">IF(B221="","",IF(O221&lt;&gt;"",O221-B221,TODAY()-B221))</f>
        <v/>
      </c>
      <c r="T221" s="13" t="str">
        <f aca="false">IF(A221="","",SUMIF('Time Log'!$C$5:$C$1004,A221,'Time Log'!$E$5:$E$1004))</f>
        <v/>
      </c>
    </row>
    <row r="222" customFormat="false" ht="15" hidden="false" customHeight="false" outlineLevel="0" collapsed="false">
      <c r="A222" s="14"/>
      <c r="B222" s="15"/>
      <c r="C222" s="14"/>
      <c r="D222" s="14"/>
      <c r="E222" s="14"/>
      <c r="F222" s="14"/>
      <c r="G222" s="14"/>
      <c r="H222" s="14"/>
      <c r="I222" s="16"/>
      <c r="J222" s="17"/>
      <c r="K222" s="14"/>
      <c r="L222" s="15"/>
      <c r="M222" s="17"/>
      <c r="N222" s="14"/>
      <c r="O222" s="15"/>
      <c r="P222" s="14"/>
      <c r="Q222" s="16"/>
      <c r="R222" s="13" t="str">
        <f aca="false">IF(AND(B222&lt;&gt;"",L222&lt;&gt;""),L222-B222,"")</f>
        <v/>
      </c>
      <c r="S222" s="13" t="str">
        <f aca="true">IF(B222="","",IF(O222&lt;&gt;"",O222-B222,TODAY()-B222))</f>
        <v/>
      </c>
      <c r="T222" s="13" t="str">
        <f aca="false">IF(A222="","",SUMIF('Time Log'!$C$5:$C$1004,A222,'Time Log'!$E$5:$E$1004))</f>
        <v/>
      </c>
    </row>
    <row r="223" customFormat="false" ht="15" hidden="false" customHeight="false" outlineLevel="0" collapsed="false">
      <c r="A223" s="14"/>
      <c r="B223" s="15"/>
      <c r="C223" s="14"/>
      <c r="D223" s="14"/>
      <c r="E223" s="14"/>
      <c r="F223" s="14"/>
      <c r="G223" s="14"/>
      <c r="H223" s="14"/>
      <c r="I223" s="16"/>
      <c r="J223" s="17"/>
      <c r="K223" s="14"/>
      <c r="L223" s="15"/>
      <c r="M223" s="17"/>
      <c r="N223" s="14"/>
      <c r="O223" s="15"/>
      <c r="P223" s="14"/>
      <c r="Q223" s="16"/>
      <c r="R223" s="13" t="str">
        <f aca="false">IF(AND(B223&lt;&gt;"",L223&lt;&gt;""),L223-B223,"")</f>
        <v/>
      </c>
      <c r="S223" s="13" t="str">
        <f aca="true">IF(B223="","",IF(O223&lt;&gt;"",O223-B223,TODAY()-B223))</f>
        <v/>
      </c>
      <c r="T223" s="13" t="str">
        <f aca="false">IF(A223="","",SUMIF('Time Log'!$C$5:$C$1004,A223,'Time Log'!$E$5:$E$1004))</f>
        <v/>
      </c>
    </row>
    <row r="224" customFormat="false" ht="15" hidden="false" customHeight="false" outlineLevel="0" collapsed="false">
      <c r="A224" s="14"/>
      <c r="B224" s="15"/>
      <c r="C224" s="14"/>
      <c r="D224" s="14"/>
      <c r="E224" s="14"/>
      <c r="F224" s="14"/>
      <c r="G224" s="14"/>
      <c r="H224" s="14"/>
      <c r="I224" s="16"/>
      <c r="J224" s="17"/>
      <c r="K224" s="14"/>
      <c r="L224" s="15"/>
      <c r="M224" s="17"/>
      <c r="N224" s="14"/>
      <c r="O224" s="15"/>
      <c r="P224" s="14"/>
      <c r="Q224" s="16"/>
      <c r="R224" s="13" t="str">
        <f aca="false">IF(AND(B224&lt;&gt;"",L224&lt;&gt;""),L224-B224,"")</f>
        <v/>
      </c>
      <c r="S224" s="13" t="str">
        <f aca="true">IF(B224="","",IF(O224&lt;&gt;"",O224-B224,TODAY()-B224))</f>
        <v/>
      </c>
      <c r="T224" s="13" t="str">
        <f aca="false">IF(A224="","",SUMIF('Time Log'!$C$5:$C$1004,A224,'Time Log'!$E$5:$E$1004))</f>
        <v/>
      </c>
    </row>
    <row r="225" customFormat="false" ht="15" hidden="false" customHeight="false" outlineLevel="0" collapsed="false">
      <c r="A225" s="14"/>
      <c r="B225" s="15"/>
      <c r="C225" s="14"/>
      <c r="D225" s="14"/>
      <c r="E225" s="14"/>
      <c r="F225" s="14"/>
      <c r="G225" s="14"/>
      <c r="H225" s="14"/>
      <c r="I225" s="16"/>
      <c r="J225" s="17"/>
      <c r="K225" s="14"/>
      <c r="L225" s="15"/>
      <c r="M225" s="17"/>
      <c r="N225" s="14"/>
      <c r="O225" s="15"/>
      <c r="P225" s="14"/>
      <c r="Q225" s="16"/>
      <c r="R225" s="13" t="str">
        <f aca="false">IF(AND(B225&lt;&gt;"",L225&lt;&gt;""),L225-B225,"")</f>
        <v/>
      </c>
      <c r="S225" s="13" t="str">
        <f aca="true">IF(B225="","",IF(O225&lt;&gt;"",O225-B225,TODAY()-B225))</f>
        <v/>
      </c>
      <c r="T225" s="13" t="str">
        <f aca="false">IF(A225="","",SUMIF('Time Log'!$C$5:$C$1004,A225,'Time Log'!$E$5:$E$1004))</f>
        <v/>
      </c>
    </row>
    <row r="226" customFormat="false" ht="15" hidden="false" customHeight="false" outlineLevel="0" collapsed="false">
      <c r="A226" s="14"/>
      <c r="B226" s="15"/>
      <c r="C226" s="14"/>
      <c r="D226" s="14"/>
      <c r="E226" s="14"/>
      <c r="F226" s="14"/>
      <c r="G226" s="14"/>
      <c r="H226" s="14"/>
      <c r="I226" s="16"/>
      <c r="J226" s="17"/>
      <c r="K226" s="14"/>
      <c r="L226" s="15"/>
      <c r="M226" s="17"/>
      <c r="N226" s="14"/>
      <c r="O226" s="15"/>
      <c r="P226" s="14"/>
      <c r="Q226" s="16"/>
      <c r="R226" s="13" t="str">
        <f aca="false">IF(AND(B226&lt;&gt;"",L226&lt;&gt;""),L226-B226,"")</f>
        <v/>
      </c>
      <c r="S226" s="13" t="str">
        <f aca="true">IF(B226="","",IF(O226&lt;&gt;"",O226-B226,TODAY()-B226))</f>
        <v/>
      </c>
      <c r="T226" s="13" t="str">
        <f aca="false">IF(A226="","",SUMIF('Time Log'!$C$5:$C$1004,A226,'Time Log'!$E$5:$E$1004))</f>
        <v/>
      </c>
    </row>
    <row r="227" customFormat="false" ht="15" hidden="false" customHeight="false" outlineLevel="0" collapsed="false">
      <c r="A227" s="14"/>
      <c r="B227" s="15"/>
      <c r="C227" s="14"/>
      <c r="D227" s="14"/>
      <c r="E227" s="14"/>
      <c r="F227" s="14"/>
      <c r="G227" s="14"/>
      <c r="H227" s="14"/>
      <c r="I227" s="16"/>
      <c r="J227" s="17"/>
      <c r="K227" s="14"/>
      <c r="L227" s="15"/>
      <c r="M227" s="17"/>
      <c r="N227" s="14"/>
      <c r="O227" s="15"/>
      <c r="P227" s="14"/>
      <c r="Q227" s="16"/>
      <c r="R227" s="13" t="str">
        <f aca="false">IF(AND(B227&lt;&gt;"",L227&lt;&gt;""),L227-B227,"")</f>
        <v/>
      </c>
      <c r="S227" s="13" t="str">
        <f aca="true">IF(B227="","",IF(O227&lt;&gt;"",O227-B227,TODAY()-B227))</f>
        <v/>
      </c>
      <c r="T227" s="13" t="str">
        <f aca="false">IF(A227="","",SUMIF('Time Log'!$C$5:$C$1004,A227,'Time Log'!$E$5:$E$1004))</f>
        <v/>
      </c>
    </row>
    <row r="228" customFormat="false" ht="15" hidden="false" customHeight="false" outlineLevel="0" collapsed="false">
      <c r="A228" s="14"/>
      <c r="B228" s="15"/>
      <c r="C228" s="14"/>
      <c r="D228" s="14"/>
      <c r="E228" s="14"/>
      <c r="F228" s="14"/>
      <c r="G228" s="14"/>
      <c r="H228" s="14"/>
      <c r="I228" s="16"/>
      <c r="J228" s="17"/>
      <c r="K228" s="14"/>
      <c r="L228" s="15"/>
      <c r="M228" s="17"/>
      <c r="N228" s="14"/>
      <c r="O228" s="15"/>
      <c r="P228" s="14"/>
      <c r="Q228" s="16"/>
      <c r="R228" s="13" t="str">
        <f aca="false">IF(AND(B228&lt;&gt;"",L228&lt;&gt;""),L228-B228,"")</f>
        <v/>
      </c>
      <c r="S228" s="13" t="str">
        <f aca="true">IF(B228="","",IF(O228&lt;&gt;"",O228-B228,TODAY()-B228))</f>
        <v/>
      </c>
      <c r="T228" s="13" t="str">
        <f aca="false">IF(A228="","",SUMIF('Time Log'!$C$5:$C$1004,A228,'Time Log'!$E$5:$E$1004))</f>
        <v/>
      </c>
    </row>
    <row r="229" customFormat="false" ht="15" hidden="false" customHeight="false" outlineLevel="0" collapsed="false">
      <c r="A229" s="14"/>
      <c r="B229" s="15"/>
      <c r="C229" s="14"/>
      <c r="D229" s="14"/>
      <c r="E229" s="14"/>
      <c r="F229" s="14"/>
      <c r="G229" s="14"/>
      <c r="H229" s="14"/>
      <c r="I229" s="16"/>
      <c r="J229" s="17"/>
      <c r="K229" s="14"/>
      <c r="L229" s="15"/>
      <c r="M229" s="17"/>
      <c r="N229" s="14"/>
      <c r="O229" s="15"/>
      <c r="P229" s="14"/>
      <c r="Q229" s="16"/>
      <c r="R229" s="13" t="str">
        <f aca="false">IF(AND(B229&lt;&gt;"",L229&lt;&gt;""),L229-B229,"")</f>
        <v/>
      </c>
      <c r="S229" s="13" t="str">
        <f aca="true">IF(B229="","",IF(O229&lt;&gt;"",O229-B229,TODAY()-B229))</f>
        <v/>
      </c>
      <c r="T229" s="13" t="str">
        <f aca="false">IF(A229="","",SUMIF('Time Log'!$C$5:$C$1004,A229,'Time Log'!$E$5:$E$1004))</f>
        <v/>
      </c>
    </row>
    <row r="230" customFormat="false" ht="15" hidden="false" customHeight="false" outlineLevel="0" collapsed="false">
      <c r="A230" s="14"/>
      <c r="B230" s="15"/>
      <c r="C230" s="14"/>
      <c r="D230" s="14"/>
      <c r="E230" s="14"/>
      <c r="F230" s="14"/>
      <c r="G230" s="14"/>
      <c r="H230" s="14"/>
      <c r="I230" s="16"/>
      <c r="J230" s="17"/>
      <c r="K230" s="14"/>
      <c r="L230" s="15"/>
      <c r="M230" s="17"/>
      <c r="N230" s="14"/>
      <c r="O230" s="15"/>
      <c r="P230" s="14"/>
      <c r="Q230" s="16"/>
      <c r="R230" s="13" t="str">
        <f aca="false">IF(AND(B230&lt;&gt;"",L230&lt;&gt;""),L230-B230,"")</f>
        <v/>
      </c>
      <c r="S230" s="13" t="str">
        <f aca="true">IF(B230="","",IF(O230&lt;&gt;"",O230-B230,TODAY()-B230))</f>
        <v/>
      </c>
      <c r="T230" s="13" t="str">
        <f aca="false">IF(A230="","",SUMIF('Time Log'!$C$5:$C$1004,A230,'Time Log'!$E$5:$E$1004))</f>
        <v/>
      </c>
    </row>
    <row r="231" customFormat="false" ht="15" hidden="false" customHeight="false" outlineLevel="0" collapsed="false">
      <c r="A231" s="14"/>
      <c r="B231" s="15"/>
      <c r="C231" s="14"/>
      <c r="D231" s="14"/>
      <c r="E231" s="14"/>
      <c r="F231" s="14"/>
      <c r="G231" s="14"/>
      <c r="H231" s="14"/>
      <c r="I231" s="16"/>
      <c r="J231" s="17"/>
      <c r="K231" s="14"/>
      <c r="L231" s="15"/>
      <c r="M231" s="17"/>
      <c r="N231" s="14"/>
      <c r="O231" s="15"/>
      <c r="P231" s="14"/>
      <c r="Q231" s="16"/>
      <c r="R231" s="13" t="str">
        <f aca="false">IF(AND(B231&lt;&gt;"",L231&lt;&gt;""),L231-B231,"")</f>
        <v/>
      </c>
      <c r="S231" s="13" t="str">
        <f aca="true">IF(B231="","",IF(O231&lt;&gt;"",O231-B231,TODAY()-B231))</f>
        <v/>
      </c>
      <c r="T231" s="13" t="str">
        <f aca="false">IF(A231="","",SUMIF('Time Log'!$C$5:$C$1004,A231,'Time Log'!$E$5:$E$1004))</f>
        <v/>
      </c>
    </row>
    <row r="232" customFormat="false" ht="15" hidden="false" customHeight="false" outlineLevel="0" collapsed="false">
      <c r="A232" s="14"/>
      <c r="B232" s="15"/>
      <c r="C232" s="14"/>
      <c r="D232" s="14"/>
      <c r="E232" s="14"/>
      <c r="F232" s="14"/>
      <c r="G232" s="14"/>
      <c r="H232" s="14"/>
      <c r="I232" s="16"/>
      <c r="J232" s="17"/>
      <c r="K232" s="14"/>
      <c r="L232" s="15"/>
      <c r="M232" s="17"/>
      <c r="N232" s="14"/>
      <c r="O232" s="15"/>
      <c r="P232" s="14"/>
      <c r="Q232" s="16"/>
      <c r="R232" s="13" t="str">
        <f aca="false">IF(AND(B232&lt;&gt;"",L232&lt;&gt;""),L232-B232,"")</f>
        <v/>
      </c>
      <c r="S232" s="13" t="str">
        <f aca="true">IF(B232="","",IF(O232&lt;&gt;"",O232-B232,TODAY()-B232))</f>
        <v/>
      </c>
      <c r="T232" s="13" t="str">
        <f aca="false">IF(A232="","",SUMIF('Time Log'!$C$5:$C$1004,A232,'Time Log'!$E$5:$E$1004))</f>
        <v/>
      </c>
    </row>
    <row r="233" customFormat="false" ht="15" hidden="false" customHeight="false" outlineLevel="0" collapsed="false">
      <c r="A233" s="14"/>
      <c r="B233" s="15"/>
      <c r="C233" s="14"/>
      <c r="D233" s="14"/>
      <c r="E233" s="14"/>
      <c r="F233" s="14"/>
      <c r="G233" s="14"/>
      <c r="H233" s="14"/>
      <c r="I233" s="16"/>
      <c r="J233" s="17"/>
      <c r="K233" s="14"/>
      <c r="L233" s="15"/>
      <c r="M233" s="17"/>
      <c r="N233" s="14"/>
      <c r="O233" s="15"/>
      <c r="P233" s="14"/>
      <c r="Q233" s="16"/>
      <c r="R233" s="13" t="str">
        <f aca="false">IF(AND(B233&lt;&gt;"",L233&lt;&gt;""),L233-B233,"")</f>
        <v/>
      </c>
      <c r="S233" s="13" t="str">
        <f aca="true">IF(B233="","",IF(O233&lt;&gt;"",O233-B233,TODAY()-B233))</f>
        <v/>
      </c>
      <c r="T233" s="13" t="str">
        <f aca="false">IF(A233="","",SUMIF('Time Log'!$C$5:$C$1004,A233,'Time Log'!$E$5:$E$1004))</f>
        <v/>
      </c>
    </row>
    <row r="234" customFormat="false" ht="15" hidden="false" customHeight="false" outlineLevel="0" collapsed="false">
      <c r="A234" s="14"/>
      <c r="B234" s="15"/>
      <c r="C234" s="14"/>
      <c r="D234" s="14"/>
      <c r="E234" s="14"/>
      <c r="F234" s="14"/>
      <c r="G234" s="14"/>
      <c r="H234" s="14"/>
      <c r="I234" s="16"/>
      <c r="J234" s="17"/>
      <c r="K234" s="14"/>
      <c r="L234" s="15"/>
      <c r="M234" s="17"/>
      <c r="N234" s="14"/>
      <c r="O234" s="15"/>
      <c r="P234" s="14"/>
      <c r="Q234" s="16"/>
      <c r="R234" s="13" t="str">
        <f aca="false">IF(AND(B234&lt;&gt;"",L234&lt;&gt;""),L234-B234,"")</f>
        <v/>
      </c>
      <c r="S234" s="13" t="str">
        <f aca="true">IF(B234="","",IF(O234&lt;&gt;"",O234-B234,TODAY()-B234))</f>
        <v/>
      </c>
      <c r="T234" s="13" t="str">
        <f aca="false">IF(A234="","",SUMIF('Time Log'!$C$5:$C$1004,A234,'Time Log'!$E$5:$E$1004))</f>
        <v/>
      </c>
    </row>
    <row r="235" customFormat="false" ht="15" hidden="false" customHeight="false" outlineLevel="0" collapsed="false">
      <c r="A235" s="14"/>
      <c r="B235" s="15"/>
      <c r="C235" s="14"/>
      <c r="D235" s="14"/>
      <c r="E235" s="14"/>
      <c r="F235" s="14"/>
      <c r="G235" s="14"/>
      <c r="H235" s="14"/>
      <c r="I235" s="16"/>
      <c r="J235" s="17"/>
      <c r="K235" s="14"/>
      <c r="L235" s="15"/>
      <c r="M235" s="17"/>
      <c r="N235" s="14"/>
      <c r="O235" s="15"/>
      <c r="P235" s="14"/>
      <c r="Q235" s="16"/>
      <c r="R235" s="13" t="str">
        <f aca="false">IF(AND(B235&lt;&gt;"",L235&lt;&gt;""),L235-B235,"")</f>
        <v/>
      </c>
      <c r="S235" s="13" t="str">
        <f aca="true">IF(B235="","",IF(O235&lt;&gt;"",O235-B235,TODAY()-B235))</f>
        <v/>
      </c>
      <c r="T235" s="13" t="str">
        <f aca="false">IF(A235="","",SUMIF('Time Log'!$C$5:$C$1004,A235,'Time Log'!$E$5:$E$1004))</f>
        <v/>
      </c>
    </row>
    <row r="236" customFormat="false" ht="15" hidden="false" customHeight="false" outlineLevel="0" collapsed="false">
      <c r="A236" s="14"/>
      <c r="B236" s="15"/>
      <c r="C236" s="14"/>
      <c r="D236" s="14"/>
      <c r="E236" s="14"/>
      <c r="F236" s="14"/>
      <c r="G236" s="14"/>
      <c r="H236" s="14"/>
      <c r="I236" s="16"/>
      <c r="J236" s="17"/>
      <c r="K236" s="14"/>
      <c r="L236" s="15"/>
      <c r="M236" s="17"/>
      <c r="N236" s="14"/>
      <c r="O236" s="15"/>
      <c r="P236" s="14"/>
      <c r="Q236" s="16"/>
      <c r="R236" s="13" t="str">
        <f aca="false">IF(AND(B236&lt;&gt;"",L236&lt;&gt;""),L236-B236,"")</f>
        <v/>
      </c>
      <c r="S236" s="13" t="str">
        <f aca="true">IF(B236="","",IF(O236&lt;&gt;"",O236-B236,TODAY()-B236))</f>
        <v/>
      </c>
      <c r="T236" s="13" t="str">
        <f aca="false">IF(A236="","",SUMIF('Time Log'!$C$5:$C$1004,A236,'Time Log'!$E$5:$E$1004))</f>
        <v/>
      </c>
    </row>
    <row r="237" customFormat="false" ht="15" hidden="false" customHeight="false" outlineLevel="0" collapsed="false">
      <c r="A237" s="14"/>
      <c r="B237" s="15"/>
      <c r="C237" s="14"/>
      <c r="D237" s="14"/>
      <c r="E237" s="14"/>
      <c r="F237" s="14"/>
      <c r="G237" s="14"/>
      <c r="H237" s="14"/>
      <c r="I237" s="16"/>
      <c r="J237" s="17"/>
      <c r="K237" s="14"/>
      <c r="L237" s="15"/>
      <c r="M237" s="17"/>
      <c r="N237" s="14"/>
      <c r="O237" s="15"/>
      <c r="P237" s="14"/>
      <c r="Q237" s="16"/>
      <c r="R237" s="13" t="str">
        <f aca="false">IF(AND(B237&lt;&gt;"",L237&lt;&gt;""),L237-B237,"")</f>
        <v/>
      </c>
      <c r="S237" s="13" t="str">
        <f aca="true">IF(B237="","",IF(O237&lt;&gt;"",O237-B237,TODAY()-B237))</f>
        <v/>
      </c>
      <c r="T237" s="13" t="str">
        <f aca="false">IF(A237="","",SUMIF('Time Log'!$C$5:$C$1004,A237,'Time Log'!$E$5:$E$1004))</f>
        <v/>
      </c>
    </row>
    <row r="238" customFormat="false" ht="15" hidden="false" customHeight="false" outlineLevel="0" collapsed="false">
      <c r="A238" s="14"/>
      <c r="B238" s="15"/>
      <c r="C238" s="14"/>
      <c r="D238" s="14"/>
      <c r="E238" s="14"/>
      <c r="F238" s="14"/>
      <c r="G238" s="14"/>
      <c r="H238" s="14"/>
      <c r="I238" s="16"/>
      <c r="J238" s="17"/>
      <c r="K238" s="14"/>
      <c r="L238" s="15"/>
      <c r="M238" s="17"/>
      <c r="N238" s="14"/>
      <c r="O238" s="15"/>
      <c r="P238" s="14"/>
      <c r="Q238" s="16"/>
      <c r="R238" s="13" t="str">
        <f aca="false">IF(AND(B238&lt;&gt;"",L238&lt;&gt;""),L238-B238,"")</f>
        <v/>
      </c>
      <c r="S238" s="13" t="str">
        <f aca="true">IF(B238="","",IF(O238&lt;&gt;"",O238-B238,TODAY()-B238))</f>
        <v/>
      </c>
      <c r="T238" s="13" t="str">
        <f aca="false">IF(A238="","",SUMIF('Time Log'!$C$5:$C$1004,A238,'Time Log'!$E$5:$E$1004))</f>
        <v/>
      </c>
    </row>
    <row r="239" customFormat="false" ht="15" hidden="false" customHeight="false" outlineLevel="0" collapsed="false">
      <c r="A239" s="14"/>
      <c r="B239" s="15"/>
      <c r="C239" s="14"/>
      <c r="D239" s="14"/>
      <c r="E239" s="14"/>
      <c r="F239" s="14"/>
      <c r="G239" s="14"/>
      <c r="H239" s="14"/>
      <c r="I239" s="16"/>
      <c r="J239" s="17"/>
      <c r="K239" s="14"/>
      <c r="L239" s="15"/>
      <c r="M239" s="17"/>
      <c r="N239" s="14"/>
      <c r="O239" s="15"/>
      <c r="P239" s="14"/>
      <c r="Q239" s="16"/>
      <c r="R239" s="13" t="str">
        <f aca="false">IF(AND(B239&lt;&gt;"",L239&lt;&gt;""),L239-B239,"")</f>
        <v/>
      </c>
      <c r="S239" s="13" t="str">
        <f aca="true">IF(B239="","",IF(O239&lt;&gt;"",O239-B239,TODAY()-B239))</f>
        <v/>
      </c>
      <c r="T239" s="13" t="str">
        <f aca="false">IF(A239="","",SUMIF('Time Log'!$C$5:$C$1004,A239,'Time Log'!$E$5:$E$1004))</f>
        <v/>
      </c>
    </row>
    <row r="240" customFormat="false" ht="15" hidden="false" customHeight="false" outlineLevel="0" collapsed="false">
      <c r="A240" s="14"/>
      <c r="B240" s="15"/>
      <c r="C240" s="14"/>
      <c r="D240" s="14"/>
      <c r="E240" s="14"/>
      <c r="F240" s="14"/>
      <c r="G240" s="14"/>
      <c r="H240" s="14"/>
      <c r="I240" s="16"/>
      <c r="J240" s="17"/>
      <c r="K240" s="14"/>
      <c r="L240" s="15"/>
      <c r="M240" s="17"/>
      <c r="N240" s="14"/>
      <c r="O240" s="15"/>
      <c r="P240" s="14"/>
      <c r="Q240" s="16"/>
      <c r="R240" s="13" t="str">
        <f aca="false">IF(AND(B240&lt;&gt;"",L240&lt;&gt;""),L240-B240,"")</f>
        <v/>
      </c>
      <c r="S240" s="13" t="str">
        <f aca="true">IF(B240="","",IF(O240&lt;&gt;"",O240-B240,TODAY()-B240))</f>
        <v/>
      </c>
      <c r="T240" s="13" t="str">
        <f aca="false">IF(A240="","",SUMIF('Time Log'!$C$5:$C$1004,A240,'Time Log'!$E$5:$E$1004))</f>
        <v/>
      </c>
    </row>
    <row r="241" customFormat="false" ht="15" hidden="false" customHeight="false" outlineLevel="0" collapsed="false">
      <c r="A241" s="14"/>
      <c r="B241" s="15"/>
      <c r="C241" s="14"/>
      <c r="D241" s="14"/>
      <c r="E241" s="14"/>
      <c r="F241" s="14"/>
      <c r="G241" s="14"/>
      <c r="H241" s="14"/>
      <c r="I241" s="16"/>
      <c r="J241" s="17"/>
      <c r="K241" s="14"/>
      <c r="L241" s="15"/>
      <c r="M241" s="17"/>
      <c r="N241" s="14"/>
      <c r="O241" s="15"/>
      <c r="P241" s="14"/>
      <c r="Q241" s="16"/>
      <c r="R241" s="13" t="str">
        <f aca="false">IF(AND(B241&lt;&gt;"",L241&lt;&gt;""),L241-B241,"")</f>
        <v/>
      </c>
      <c r="S241" s="13" t="str">
        <f aca="true">IF(B241="","",IF(O241&lt;&gt;"",O241-B241,TODAY()-B241))</f>
        <v/>
      </c>
      <c r="T241" s="13" t="str">
        <f aca="false">IF(A241="","",SUMIF('Time Log'!$C$5:$C$1004,A241,'Time Log'!$E$5:$E$1004))</f>
        <v/>
      </c>
    </row>
    <row r="242" customFormat="false" ht="15" hidden="false" customHeight="false" outlineLevel="0" collapsed="false">
      <c r="A242" s="14"/>
      <c r="B242" s="15"/>
      <c r="C242" s="14"/>
      <c r="D242" s="14"/>
      <c r="E242" s="14"/>
      <c r="F242" s="14"/>
      <c r="G242" s="14"/>
      <c r="H242" s="14"/>
      <c r="I242" s="16"/>
      <c r="J242" s="17"/>
      <c r="K242" s="14"/>
      <c r="L242" s="15"/>
      <c r="M242" s="17"/>
      <c r="N242" s="14"/>
      <c r="O242" s="15"/>
      <c r="P242" s="14"/>
      <c r="Q242" s="16"/>
      <c r="R242" s="13" t="str">
        <f aca="false">IF(AND(B242&lt;&gt;"",L242&lt;&gt;""),L242-B242,"")</f>
        <v/>
      </c>
      <c r="S242" s="13" t="str">
        <f aca="true">IF(B242="","",IF(O242&lt;&gt;"",O242-B242,TODAY()-B242))</f>
        <v/>
      </c>
      <c r="T242" s="13" t="str">
        <f aca="false">IF(A242="","",SUMIF('Time Log'!$C$5:$C$1004,A242,'Time Log'!$E$5:$E$1004))</f>
        <v/>
      </c>
    </row>
    <row r="243" customFormat="false" ht="15" hidden="false" customHeight="false" outlineLevel="0" collapsed="false">
      <c r="A243" s="14"/>
      <c r="B243" s="15"/>
      <c r="C243" s="14"/>
      <c r="D243" s="14"/>
      <c r="E243" s="14"/>
      <c r="F243" s="14"/>
      <c r="G243" s="14"/>
      <c r="H243" s="14"/>
      <c r="I243" s="16"/>
      <c r="J243" s="17"/>
      <c r="K243" s="14"/>
      <c r="L243" s="15"/>
      <c r="M243" s="17"/>
      <c r="N243" s="14"/>
      <c r="O243" s="15"/>
      <c r="P243" s="14"/>
      <c r="Q243" s="16"/>
      <c r="R243" s="13" t="str">
        <f aca="false">IF(AND(B243&lt;&gt;"",L243&lt;&gt;""),L243-B243,"")</f>
        <v/>
      </c>
      <c r="S243" s="13" t="str">
        <f aca="true">IF(B243="","",IF(O243&lt;&gt;"",O243-B243,TODAY()-B243))</f>
        <v/>
      </c>
      <c r="T243" s="13" t="str">
        <f aca="false">IF(A243="","",SUMIF('Time Log'!$C$5:$C$1004,A243,'Time Log'!$E$5:$E$1004))</f>
        <v/>
      </c>
    </row>
    <row r="244" customFormat="false" ht="15" hidden="false" customHeight="false" outlineLevel="0" collapsed="false">
      <c r="A244" s="14"/>
      <c r="B244" s="15"/>
      <c r="C244" s="14"/>
      <c r="D244" s="14"/>
      <c r="E244" s="14"/>
      <c r="F244" s="14"/>
      <c r="G244" s="14"/>
      <c r="H244" s="14"/>
      <c r="I244" s="16"/>
      <c r="J244" s="17"/>
      <c r="K244" s="14"/>
      <c r="L244" s="15"/>
      <c r="M244" s="17"/>
      <c r="N244" s="14"/>
      <c r="O244" s="15"/>
      <c r="P244" s="14"/>
      <c r="Q244" s="16"/>
      <c r="R244" s="13" t="str">
        <f aca="false">IF(AND(B244&lt;&gt;"",L244&lt;&gt;""),L244-B244,"")</f>
        <v/>
      </c>
      <c r="S244" s="13" t="str">
        <f aca="true">IF(B244="","",IF(O244&lt;&gt;"",O244-B244,TODAY()-B244))</f>
        <v/>
      </c>
      <c r="T244" s="13" t="str">
        <f aca="false">IF(A244="","",SUMIF('Time Log'!$C$5:$C$1004,A244,'Time Log'!$E$5:$E$1004))</f>
        <v/>
      </c>
    </row>
    <row r="245" customFormat="false" ht="15" hidden="false" customHeight="false" outlineLevel="0" collapsed="false">
      <c r="A245" s="14"/>
      <c r="B245" s="15"/>
      <c r="C245" s="14"/>
      <c r="D245" s="14"/>
      <c r="E245" s="14"/>
      <c r="F245" s="14"/>
      <c r="G245" s="14"/>
      <c r="H245" s="14"/>
      <c r="I245" s="16"/>
      <c r="J245" s="17"/>
      <c r="K245" s="14"/>
      <c r="L245" s="15"/>
      <c r="M245" s="17"/>
      <c r="N245" s="14"/>
      <c r="O245" s="15"/>
      <c r="P245" s="14"/>
      <c r="Q245" s="16"/>
      <c r="R245" s="13" t="str">
        <f aca="false">IF(AND(B245&lt;&gt;"",L245&lt;&gt;""),L245-B245,"")</f>
        <v/>
      </c>
      <c r="S245" s="13" t="str">
        <f aca="true">IF(B245="","",IF(O245&lt;&gt;"",O245-B245,TODAY()-B245))</f>
        <v/>
      </c>
      <c r="T245" s="13" t="str">
        <f aca="false">IF(A245="","",SUMIF('Time Log'!$C$5:$C$1004,A245,'Time Log'!$E$5:$E$1004))</f>
        <v/>
      </c>
    </row>
    <row r="246" customFormat="false" ht="15" hidden="false" customHeight="false" outlineLevel="0" collapsed="false">
      <c r="A246" s="14"/>
      <c r="B246" s="15"/>
      <c r="C246" s="14"/>
      <c r="D246" s="14"/>
      <c r="E246" s="14"/>
      <c r="F246" s="14"/>
      <c r="G246" s="14"/>
      <c r="H246" s="14"/>
      <c r="I246" s="16"/>
      <c r="J246" s="17"/>
      <c r="K246" s="14"/>
      <c r="L246" s="15"/>
      <c r="M246" s="17"/>
      <c r="N246" s="14"/>
      <c r="O246" s="15"/>
      <c r="P246" s="14"/>
      <c r="Q246" s="16"/>
      <c r="R246" s="13" t="str">
        <f aca="false">IF(AND(B246&lt;&gt;"",L246&lt;&gt;""),L246-B246,"")</f>
        <v/>
      </c>
      <c r="S246" s="13" t="str">
        <f aca="true">IF(B246="","",IF(O246&lt;&gt;"",O246-B246,TODAY()-B246))</f>
        <v/>
      </c>
      <c r="T246" s="13" t="str">
        <f aca="false">IF(A246="","",SUMIF('Time Log'!$C$5:$C$1004,A246,'Time Log'!$E$5:$E$1004))</f>
        <v/>
      </c>
    </row>
    <row r="247" customFormat="false" ht="15" hidden="false" customHeight="false" outlineLevel="0" collapsed="false">
      <c r="A247" s="14"/>
      <c r="B247" s="15"/>
      <c r="C247" s="14"/>
      <c r="D247" s="14"/>
      <c r="E247" s="14"/>
      <c r="F247" s="14"/>
      <c r="G247" s="14"/>
      <c r="H247" s="14"/>
      <c r="I247" s="16"/>
      <c r="J247" s="17"/>
      <c r="K247" s="14"/>
      <c r="L247" s="15"/>
      <c r="M247" s="17"/>
      <c r="N247" s="14"/>
      <c r="O247" s="15"/>
      <c r="P247" s="14"/>
      <c r="Q247" s="16"/>
      <c r="R247" s="13" t="str">
        <f aca="false">IF(AND(B247&lt;&gt;"",L247&lt;&gt;""),L247-B247,"")</f>
        <v/>
      </c>
      <c r="S247" s="13" t="str">
        <f aca="true">IF(B247="","",IF(O247&lt;&gt;"",O247-B247,TODAY()-B247))</f>
        <v/>
      </c>
      <c r="T247" s="13" t="str">
        <f aca="false">IF(A247="","",SUMIF('Time Log'!$C$5:$C$1004,A247,'Time Log'!$E$5:$E$1004))</f>
        <v/>
      </c>
    </row>
    <row r="248" customFormat="false" ht="15" hidden="false" customHeight="false" outlineLevel="0" collapsed="false">
      <c r="A248" s="14"/>
      <c r="B248" s="15"/>
      <c r="C248" s="14"/>
      <c r="D248" s="14"/>
      <c r="E248" s="14"/>
      <c r="F248" s="14"/>
      <c r="G248" s="14"/>
      <c r="H248" s="14"/>
      <c r="I248" s="16"/>
      <c r="J248" s="17"/>
      <c r="K248" s="14"/>
      <c r="L248" s="15"/>
      <c r="M248" s="17"/>
      <c r="N248" s="14"/>
      <c r="O248" s="15"/>
      <c r="P248" s="14"/>
      <c r="Q248" s="16"/>
      <c r="R248" s="13" t="str">
        <f aca="false">IF(AND(B248&lt;&gt;"",L248&lt;&gt;""),L248-B248,"")</f>
        <v/>
      </c>
      <c r="S248" s="13" t="str">
        <f aca="true">IF(B248="","",IF(O248&lt;&gt;"",O248-B248,TODAY()-B248))</f>
        <v/>
      </c>
      <c r="T248" s="13" t="str">
        <f aca="false">IF(A248="","",SUMIF('Time Log'!$C$5:$C$1004,A248,'Time Log'!$E$5:$E$1004))</f>
        <v/>
      </c>
    </row>
    <row r="249" customFormat="false" ht="15" hidden="false" customHeight="false" outlineLevel="0" collapsed="false">
      <c r="A249" s="14"/>
      <c r="B249" s="15"/>
      <c r="C249" s="14"/>
      <c r="D249" s="14"/>
      <c r="E249" s="14"/>
      <c r="F249" s="14"/>
      <c r="G249" s="14"/>
      <c r="H249" s="14"/>
      <c r="I249" s="16"/>
      <c r="J249" s="17"/>
      <c r="K249" s="14"/>
      <c r="L249" s="15"/>
      <c r="M249" s="17"/>
      <c r="N249" s="14"/>
      <c r="O249" s="15"/>
      <c r="P249" s="14"/>
      <c r="Q249" s="16"/>
      <c r="R249" s="13" t="str">
        <f aca="false">IF(AND(B249&lt;&gt;"",L249&lt;&gt;""),L249-B249,"")</f>
        <v/>
      </c>
      <c r="S249" s="13" t="str">
        <f aca="true">IF(B249="","",IF(O249&lt;&gt;"",O249-B249,TODAY()-B249))</f>
        <v/>
      </c>
      <c r="T249" s="13" t="str">
        <f aca="false">IF(A249="","",SUMIF('Time Log'!$C$5:$C$1004,A249,'Time Log'!$E$5:$E$1004))</f>
        <v/>
      </c>
    </row>
    <row r="250" customFormat="false" ht="15" hidden="false" customHeight="false" outlineLevel="0" collapsed="false">
      <c r="A250" s="14"/>
      <c r="B250" s="15"/>
      <c r="C250" s="14"/>
      <c r="D250" s="14"/>
      <c r="E250" s="14"/>
      <c r="F250" s="14"/>
      <c r="G250" s="14"/>
      <c r="H250" s="14"/>
      <c r="I250" s="16"/>
      <c r="J250" s="17"/>
      <c r="K250" s="14"/>
      <c r="L250" s="15"/>
      <c r="M250" s="17"/>
      <c r="N250" s="14"/>
      <c r="O250" s="15"/>
      <c r="P250" s="14"/>
      <c r="Q250" s="16"/>
      <c r="R250" s="13" t="str">
        <f aca="false">IF(AND(B250&lt;&gt;"",L250&lt;&gt;""),L250-B250,"")</f>
        <v/>
      </c>
      <c r="S250" s="13" t="str">
        <f aca="true">IF(B250="","",IF(O250&lt;&gt;"",O250-B250,TODAY()-B250))</f>
        <v/>
      </c>
      <c r="T250" s="13" t="str">
        <f aca="false">IF(A250="","",SUMIF('Time Log'!$C$5:$C$1004,A250,'Time Log'!$E$5:$E$1004))</f>
        <v/>
      </c>
    </row>
    <row r="251" customFormat="false" ht="15" hidden="false" customHeight="false" outlineLevel="0" collapsed="false">
      <c r="A251" s="14"/>
      <c r="B251" s="15"/>
      <c r="C251" s="14"/>
      <c r="D251" s="14"/>
      <c r="E251" s="14"/>
      <c r="F251" s="14"/>
      <c r="G251" s="14"/>
      <c r="H251" s="14"/>
      <c r="I251" s="16"/>
      <c r="J251" s="17"/>
      <c r="K251" s="14"/>
      <c r="L251" s="15"/>
      <c r="M251" s="17"/>
      <c r="N251" s="14"/>
      <c r="O251" s="15"/>
      <c r="P251" s="14"/>
      <c r="Q251" s="16"/>
      <c r="R251" s="13" t="str">
        <f aca="false">IF(AND(B251&lt;&gt;"",L251&lt;&gt;""),L251-B251,"")</f>
        <v/>
      </c>
      <c r="S251" s="13" t="str">
        <f aca="true">IF(B251="","",IF(O251&lt;&gt;"",O251-B251,TODAY()-B251))</f>
        <v/>
      </c>
      <c r="T251" s="13" t="str">
        <f aca="false">IF(A251="","",SUMIF('Time Log'!$C$5:$C$1004,A251,'Time Log'!$E$5:$E$1004))</f>
        <v/>
      </c>
    </row>
    <row r="252" customFormat="false" ht="15" hidden="false" customHeight="false" outlineLevel="0" collapsed="false">
      <c r="A252" s="14"/>
      <c r="B252" s="15"/>
      <c r="C252" s="14"/>
      <c r="D252" s="14"/>
      <c r="E252" s="14"/>
      <c r="F252" s="14"/>
      <c r="G252" s="14"/>
      <c r="H252" s="14"/>
      <c r="I252" s="16"/>
      <c r="J252" s="17"/>
      <c r="K252" s="14"/>
      <c r="L252" s="15"/>
      <c r="M252" s="17"/>
      <c r="N252" s="14"/>
      <c r="O252" s="15"/>
      <c r="P252" s="14"/>
      <c r="Q252" s="16"/>
      <c r="R252" s="13" t="str">
        <f aca="false">IF(AND(B252&lt;&gt;"",L252&lt;&gt;""),L252-B252,"")</f>
        <v/>
      </c>
      <c r="S252" s="13" t="str">
        <f aca="true">IF(B252="","",IF(O252&lt;&gt;"",O252-B252,TODAY()-B252))</f>
        <v/>
      </c>
      <c r="T252" s="13" t="str">
        <f aca="false">IF(A252="","",SUMIF('Time Log'!$C$5:$C$1004,A252,'Time Log'!$E$5:$E$1004))</f>
        <v/>
      </c>
    </row>
    <row r="253" customFormat="false" ht="15" hidden="false" customHeight="false" outlineLevel="0" collapsed="false">
      <c r="A253" s="14"/>
      <c r="B253" s="15"/>
      <c r="C253" s="14"/>
      <c r="D253" s="14"/>
      <c r="E253" s="14"/>
      <c r="F253" s="14"/>
      <c r="G253" s="14"/>
      <c r="H253" s="14"/>
      <c r="I253" s="16"/>
      <c r="J253" s="17"/>
      <c r="K253" s="14"/>
      <c r="L253" s="15"/>
      <c r="M253" s="17"/>
      <c r="N253" s="14"/>
      <c r="O253" s="15"/>
      <c r="P253" s="14"/>
      <c r="Q253" s="16"/>
      <c r="R253" s="13" t="str">
        <f aca="false">IF(AND(B253&lt;&gt;"",L253&lt;&gt;""),L253-B253,"")</f>
        <v/>
      </c>
      <c r="S253" s="13" t="str">
        <f aca="true">IF(B253="","",IF(O253&lt;&gt;"",O253-B253,TODAY()-B253))</f>
        <v/>
      </c>
      <c r="T253" s="13" t="str">
        <f aca="false">IF(A253="","",SUMIF('Time Log'!$C$5:$C$1004,A253,'Time Log'!$E$5:$E$1004))</f>
        <v/>
      </c>
    </row>
    <row r="254" customFormat="false" ht="15" hidden="false" customHeight="false" outlineLevel="0" collapsed="false">
      <c r="A254" s="14"/>
      <c r="B254" s="15"/>
      <c r="C254" s="14"/>
      <c r="D254" s="14"/>
      <c r="E254" s="14"/>
      <c r="F254" s="14"/>
      <c r="G254" s="14"/>
      <c r="H254" s="14"/>
      <c r="I254" s="16"/>
      <c r="J254" s="17"/>
      <c r="K254" s="14"/>
      <c r="L254" s="15"/>
      <c r="M254" s="17"/>
      <c r="N254" s="14"/>
      <c r="O254" s="15"/>
      <c r="P254" s="14"/>
      <c r="Q254" s="16"/>
      <c r="R254" s="13" t="str">
        <f aca="false">IF(AND(B254&lt;&gt;"",L254&lt;&gt;""),L254-B254,"")</f>
        <v/>
      </c>
      <c r="S254" s="13" t="str">
        <f aca="true">IF(B254="","",IF(O254&lt;&gt;"",O254-B254,TODAY()-B254))</f>
        <v/>
      </c>
      <c r="T254" s="13" t="str">
        <f aca="false">IF(A254="","",SUMIF('Time Log'!$C$5:$C$1004,A254,'Time Log'!$E$5:$E$1004))</f>
        <v/>
      </c>
    </row>
    <row r="255" customFormat="false" ht="15" hidden="false" customHeight="false" outlineLevel="0" collapsed="false">
      <c r="A255" s="14"/>
      <c r="B255" s="15"/>
      <c r="C255" s="14"/>
      <c r="D255" s="14"/>
      <c r="E255" s="14"/>
      <c r="F255" s="14"/>
      <c r="G255" s="14"/>
      <c r="H255" s="14"/>
      <c r="I255" s="16"/>
      <c r="J255" s="17"/>
      <c r="K255" s="14"/>
      <c r="L255" s="15"/>
      <c r="M255" s="17"/>
      <c r="N255" s="14"/>
      <c r="O255" s="15"/>
      <c r="P255" s="14"/>
      <c r="Q255" s="16"/>
      <c r="R255" s="13" t="str">
        <f aca="false">IF(AND(B255&lt;&gt;"",L255&lt;&gt;""),L255-B255,"")</f>
        <v/>
      </c>
      <c r="S255" s="13" t="str">
        <f aca="true">IF(B255="","",IF(O255&lt;&gt;"",O255-B255,TODAY()-B255))</f>
        <v/>
      </c>
      <c r="T255" s="13" t="str">
        <f aca="false">IF(A255="","",SUMIF('Time Log'!$C$5:$C$1004,A255,'Time Log'!$E$5:$E$1004))</f>
        <v/>
      </c>
    </row>
    <row r="256" customFormat="false" ht="15" hidden="false" customHeight="false" outlineLevel="0" collapsed="false">
      <c r="A256" s="14"/>
      <c r="B256" s="15"/>
      <c r="C256" s="14"/>
      <c r="D256" s="14"/>
      <c r="E256" s="14"/>
      <c r="F256" s="14"/>
      <c r="G256" s="14"/>
      <c r="H256" s="14"/>
      <c r="I256" s="16"/>
      <c r="J256" s="17"/>
      <c r="K256" s="14"/>
      <c r="L256" s="15"/>
      <c r="M256" s="17"/>
      <c r="N256" s="14"/>
      <c r="O256" s="15"/>
      <c r="P256" s="14"/>
      <c r="Q256" s="16"/>
      <c r="R256" s="13" t="str">
        <f aca="false">IF(AND(B256&lt;&gt;"",L256&lt;&gt;""),L256-B256,"")</f>
        <v/>
      </c>
      <c r="S256" s="13" t="str">
        <f aca="true">IF(B256="","",IF(O256&lt;&gt;"",O256-B256,TODAY()-B256))</f>
        <v/>
      </c>
      <c r="T256" s="13" t="str">
        <f aca="false">IF(A256="","",SUMIF('Time Log'!$C$5:$C$1004,A256,'Time Log'!$E$5:$E$1004))</f>
        <v/>
      </c>
    </row>
    <row r="257" customFormat="false" ht="15" hidden="false" customHeight="false" outlineLevel="0" collapsed="false">
      <c r="A257" s="14"/>
      <c r="B257" s="15"/>
      <c r="C257" s="14"/>
      <c r="D257" s="14"/>
      <c r="E257" s="14"/>
      <c r="F257" s="14"/>
      <c r="G257" s="14"/>
      <c r="H257" s="14"/>
      <c r="I257" s="16"/>
      <c r="J257" s="17"/>
      <c r="K257" s="14"/>
      <c r="L257" s="15"/>
      <c r="M257" s="17"/>
      <c r="N257" s="14"/>
      <c r="O257" s="15"/>
      <c r="P257" s="14"/>
      <c r="Q257" s="16"/>
      <c r="R257" s="13" t="str">
        <f aca="false">IF(AND(B257&lt;&gt;"",L257&lt;&gt;""),L257-B257,"")</f>
        <v/>
      </c>
      <c r="S257" s="13" t="str">
        <f aca="true">IF(B257="","",IF(O257&lt;&gt;"",O257-B257,TODAY()-B257))</f>
        <v/>
      </c>
      <c r="T257" s="13" t="str">
        <f aca="false">IF(A257="","",SUMIF('Time Log'!$C$5:$C$1004,A257,'Time Log'!$E$5:$E$1004))</f>
        <v/>
      </c>
    </row>
    <row r="258" customFormat="false" ht="15" hidden="false" customHeight="false" outlineLevel="0" collapsed="false">
      <c r="A258" s="14"/>
      <c r="B258" s="15"/>
      <c r="C258" s="14"/>
      <c r="D258" s="14"/>
      <c r="E258" s="14"/>
      <c r="F258" s="14"/>
      <c r="G258" s="14"/>
      <c r="H258" s="14"/>
      <c r="I258" s="16"/>
      <c r="J258" s="17"/>
      <c r="K258" s="14"/>
      <c r="L258" s="15"/>
      <c r="M258" s="17"/>
      <c r="N258" s="14"/>
      <c r="O258" s="15"/>
      <c r="P258" s="14"/>
      <c r="Q258" s="16"/>
      <c r="R258" s="13" t="str">
        <f aca="false">IF(AND(B258&lt;&gt;"",L258&lt;&gt;""),L258-B258,"")</f>
        <v/>
      </c>
      <c r="S258" s="13" t="str">
        <f aca="true">IF(B258="","",IF(O258&lt;&gt;"",O258-B258,TODAY()-B258))</f>
        <v/>
      </c>
      <c r="T258" s="13" t="str">
        <f aca="false">IF(A258="","",SUMIF('Time Log'!$C$5:$C$1004,A258,'Time Log'!$E$5:$E$1004))</f>
        <v/>
      </c>
    </row>
    <row r="259" customFormat="false" ht="15" hidden="false" customHeight="false" outlineLevel="0" collapsed="false">
      <c r="A259" s="14"/>
      <c r="B259" s="15"/>
      <c r="C259" s="14"/>
      <c r="D259" s="14"/>
      <c r="E259" s="14"/>
      <c r="F259" s="14"/>
      <c r="G259" s="14"/>
      <c r="H259" s="14"/>
      <c r="I259" s="16"/>
      <c r="J259" s="17"/>
      <c r="K259" s="14"/>
      <c r="L259" s="15"/>
      <c r="M259" s="17"/>
      <c r="N259" s="14"/>
      <c r="O259" s="15"/>
      <c r="P259" s="14"/>
      <c r="Q259" s="16"/>
      <c r="R259" s="13" t="str">
        <f aca="false">IF(AND(B259&lt;&gt;"",L259&lt;&gt;""),L259-B259,"")</f>
        <v/>
      </c>
      <c r="S259" s="13" t="str">
        <f aca="true">IF(B259="","",IF(O259&lt;&gt;"",O259-B259,TODAY()-B259))</f>
        <v/>
      </c>
      <c r="T259" s="13" t="str">
        <f aca="false">IF(A259="","",SUMIF('Time Log'!$C$5:$C$1004,A259,'Time Log'!$E$5:$E$1004))</f>
        <v/>
      </c>
    </row>
    <row r="260" customFormat="false" ht="15" hidden="false" customHeight="false" outlineLevel="0" collapsed="false">
      <c r="A260" s="14"/>
      <c r="B260" s="15"/>
      <c r="C260" s="14"/>
      <c r="D260" s="14"/>
      <c r="E260" s="14"/>
      <c r="F260" s="14"/>
      <c r="G260" s="14"/>
      <c r="H260" s="14"/>
      <c r="I260" s="16"/>
      <c r="J260" s="17"/>
      <c r="K260" s="14"/>
      <c r="L260" s="15"/>
      <c r="M260" s="17"/>
      <c r="N260" s="14"/>
      <c r="O260" s="15"/>
      <c r="P260" s="14"/>
      <c r="Q260" s="16"/>
      <c r="R260" s="13" t="str">
        <f aca="false">IF(AND(B260&lt;&gt;"",L260&lt;&gt;""),L260-B260,"")</f>
        <v/>
      </c>
      <c r="S260" s="13" t="str">
        <f aca="true">IF(B260="","",IF(O260&lt;&gt;"",O260-B260,TODAY()-B260))</f>
        <v/>
      </c>
      <c r="T260" s="13" t="str">
        <f aca="false">IF(A260="","",SUMIF('Time Log'!$C$5:$C$1004,A260,'Time Log'!$E$5:$E$1004))</f>
        <v/>
      </c>
    </row>
    <row r="261" customFormat="false" ht="15" hidden="false" customHeight="false" outlineLevel="0" collapsed="false">
      <c r="A261" s="14"/>
      <c r="B261" s="15"/>
      <c r="C261" s="14"/>
      <c r="D261" s="14"/>
      <c r="E261" s="14"/>
      <c r="F261" s="14"/>
      <c r="G261" s="14"/>
      <c r="H261" s="14"/>
      <c r="I261" s="16"/>
      <c r="J261" s="17"/>
      <c r="K261" s="14"/>
      <c r="L261" s="15"/>
      <c r="M261" s="17"/>
      <c r="N261" s="14"/>
      <c r="O261" s="15"/>
      <c r="P261" s="14"/>
      <c r="Q261" s="16"/>
      <c r="R261" s="13" t="str">
        <f aca="false">IF(AND(B261&lt;&gt;"",L261&lt;&gt;""),L261-B261,"")</f>
        <v/>
      </c>
      <c r="S261" s="13" t="str">
        <f aca="true">IF(B261="","",IF(O261&lt;&gt;"",O261-B261,TODAY()-B261))</f>
        <v/>
      </c>
      <c r="T261" s="13" t="str">
        <f aca="false">IF(A261="","",SUMIF('Time Log'!$C$5:$C$1004,A261,'Time Log'!$E$5:$E$1004))</f>
        <v/>
      </c>
    </row>
    <row r="262" customFormat="false" ht="15" hidden="false" customHeight="false" outlineLevel="0" collapsed="false">
      <c r="A262" s="14"/>
      <c r="B262" s="15"/>
      <c r="C262" s="14"/>
      <c r="D262" s="14"/>
      <c r="E262" s="14"/>
      <c r="F262" s="14"/>
      <c r="G262" s="14"/>
      <c r="H262" s="14"/>
      <c r="I262" s="16"/>
      <c r="J262" s="17"/>
      <c r="K262" s="14"/>
      <c r="L262" s="15"/>
      <c r="M262" s="17"/>
      <c r="N262" s="14"/>
      <c r="O262" s="15"/>
      <c r="P262" s="14"/>
      <c r="Q262" s="16"/>
      <c r="R262" s="13" t="str">
        <f aca="false">IF(AND(B262&lt;&gt;"",L262&lt;&gt;""),L262-B262,"")</f>
        <v/>
      </c>
      <c r="S262" s="13" t="str">
        <f aca="true">IF(B262="","",IF(O262&lt;&gt;"",O262-B262,TODAY()-B262))</f>
        <v/>
      </c>
      <c r="T262" s="13" t="str">
        <f aca="false">IF(A262="","",SUMIF('Time Log'!$C$5:$C$1004,A262,'Time Log'!$E$5:$E$1004))</f>
        <v/>
      </c>
    </row>
    <row r="263" customFormat="false" ht="15" hidden="false" customHeight="false" outlineLevel="0" collapsed="false">
      <c r="A263" s="14"/>
      <c r="B263" s="15"/>
      <c r="C263" s="14"/>
      <c r="D263" s="14"/>
      <c r="E263" s="14"/>
      <c r="F263" s="14"/>
      <c r="G263" s="14"/>
      <c r="H263" s="14"/>
      <c r="I263" s="16"/>
      <c r="J263" s="17"/>
      <c r="K263" s="14"/>
      <c r="L263" s="15"/>
      <c r="M263" s="17"/>
      <c r="N263" s="14"/>
      <c r="O263" s="15"/>
      <c r="P263" s="14"/>
      <c r="Q263" s="16"/>
      <c r="R263" s="13" t="str">
        <f aca="false">IF(AND(B263&lt;&gt;"",L263&lt;&gt;""),L263-B263,"")</f>
        <v/>
      </c>
      <c r="S263" s="13" t="str">
        <f aca="true">IF(B263="","",IF(O263&lt;&gt;"",O263-B263,TODAY()-B263))</f>
        <v/>
      </c>
      <c r="T263" s="13" t="str">
        <f aca="false">IF(A263="","",SUMIF('Time Log'!$C$5:$C$1004,A263,'Time Log'!$E$5:$E$1004))</f>
        <v/>
      </c>
    </row>
    <row r="264" customFormat="false" ht="15" hidden="false" customHeight="false" outlineLevel="0" collapsed="false">
      <c r="A264" s="14"/>
      <c r="B264" s="15"/>
      <c r="C264" s="14"/>
      <c r="D264" s="14"/>
      <c r="E264" s="14"/>
      <c r="F264" s="14"/>
      <c r="G264" s="14"/>
      <c r="H264" s="14"/>
      <c r="I264" s="16"/>
      <c r="J264" s="17"/>
      <c r="K264" s="14"/>
      <c r="L264" s="15"/>
      <c r="M264" s="17"/>
      <c r="N264" s="14"/>
      <c r="O264" s="15"/>
      <c r="P264" s="14"/>
      <c r="Q264" s="16"/>
      <c r="R264" s="13" t="str">
        <f aca="false">IF(AND(B264&lt;&gt;"",L264&lt;&gt;""),L264-B264,"")</f>
        <v/>
      </c>
      <c r="S264" s="13" t="str">
        <f aca="true">IF(B264="","",IF(O264&lt;&gt;"",O264-B264,TODAY()-B264))</f>
        <v/>
      </c>
      <c r="T264" s="13" t="str">
        <f aca="false">IF(A264="","",SUMIF('Time Log'!$C$5:$C$1004,A264,'Time Log'!$E$5:$E$1004))</f>
        <v/>
      </c>
    </row>
    <row r="265" customFormat="false" ht="15" hidden="false" customHeight="false" outlineLevel="0" collapsed="false">
      <c r="A265" s="14"/>
      <c r="B265" s="15"/>
      <c r="C265" s="14"/>
      <c r="D265" s="14"/>
      <c r="E265" s="14"/>
      <c r="F265" s="14"/>
      <c r="G265" s="14"/>
      <c r="H265" s="14"/>
      <c r="I265" s="16"/>
      <c r="J265" s="17"/>
      <c r="K265" s="14"/>
      <c r="L265" s="15"/>
      <c r="M265" s="17"/>
      <c r="N265" s="14"/>
      <c r="O265" s="15"/>
      <c r="P265" s="14"/>
      <c r="Q265" s="16"/>
      <c r="R265" s="13" t="str">
        <f aca="false">IF(AND(B265&lt;&gt;"",L265&lt;&gt;""),L265-B265,"")</f>
        <v/>
      </c>
      <c r="S265" s="13" t="str">
        <f aca="true">IF(B265="","",IF(O265&lt;&gt;"",O265-B265,TODAY()-B265))</f>
        <v/>
      </c>
      <c r="T265" s="13" t="str">
        <f aca="false">IF(A265="","",SUMIF('Time Log'!$C$5:$C$1004,A265,'Time Log'!$E$5:$E$1004))</f>
        <v/>
      </c>
    </row>
    <row r="266" customFormat="false" ht="15" hidden="false" customHeight="false" outlineLevel="0" collapsed="false">
      <c r="A266" s="14"/>
      <c r="B266" s="15"/>
      <c r="C266" s="14"/>
      <c r="D266" s="14"/>
      <c r="E266" s="14"/>
      <c r="F266" s="14"/>
      <c r="G266" s="14"/>
      <c r="H266" s="14"/>
      <c r="I266" s="16"/>
      <c r="J266" s="17"/>
      <c r="K266" s="14"/>
      <c r="L266" s="15"/>
      <c r="M266" s="17"/>
      <c r="N266" s="14"/>
      <c r="O266" s="15"/>
      <c r="P266" s="14"/>
      <c r="Q266" s="16"/>
      <c r="R266" s="13" t="str">
        <f aca="false">IF(AND(B266&lt;&gt;"",L266&lt;&gt;""),L266-B266,"")</f>
        <v/>
      </c>
      <c r="S266" s="13" t="str">
        <f aca="true">IF(B266="","",IF(O266&lt;&gt;"",O266-B266,TODAY()-B266))</f>
        <v/>
      </c>
      <c r="T266" s="13" t="str">
        <f aca="false">IF(A266="","",SUMIF('Time Log'!$C$5:$C$1004,A266,'Time Log'!$E$5:$E$1004))</f>
        <v/>
      </c>
    </row>
    <row r="267" customFormat="false" ht="15" hidden="false" customHeight="false" outlineLevel="0" collapsed="false">
      <c r="A267" s="14"/>
      <c r="B267" s="15"/>
      <c r="C267" s="14"/>
      <c r="D267" s="14"/>
      <c r="E267" s="14"/>
      <c r="F267" s="14"/>
      <c r="G267" s="14"/>
      <c r="H267" s="14"/>
      <c r="I267" s="16"/>
      <c r="J267" s="17"/>
      <c r="K267" s="14"/>
      <c r="L267" s="15"/>
      <c r="M267" s="17"/>
      <c r="N267" s="14"/>
      <c r="O267" s="15"/>
      <c r="P267" s="14"/>
      <c r="Q267" s="16"/>
      <c r="R267" s="13" t="str">
        <f aca="false">IF(AND(B267&lt;&gt;"",L267&lt;&gt;""),L267-B267,"")</f>
        <v/>
      </c>
      <c r="S267" s="13" t="str">
        <f aca="true">IF(B267="","",IF(O267&lt;&gt;"",O267-B267,TODAY()-B267))</f>
        <v/>
      </c>
      <c r="T267" s="13" t="str">
        <f aca="false">IF(A267="","",SUMIF('Time Log'!$C$5:$C$1004,A267,'Time Log'!$E$5:$E$1004))</f>
        <v/>
      </c>
    </row>
    <row r="268" customFormat="false" ht="15" hidden="false" customHeight="false" outlineLevel="0" collapsed="false">
      <c r="A268" s="14"/>
      <c r="B268" s="15"/>
      <c r="C268" s="14"/>
      <c r="D268" s="14"/>
      <c r="E268" s="14"/>
      <c r="F268" s="14"/>
      <c r="G268" s="14"/>
      <c r="H268" s="14"/>
      <c r="I268" s="16"/>
      <c r="J268" s="17"/>
      <c r="K268" s="14"/>
      <c r="L268" s="15"/>
      <c r="M268" s="17"/>
      <c r="N268" s="14"/>
      <c r="O268" s="15"/>
      <c r="P268" s="14"/>
      <c r="Q268" s="16"/>
      <c r="R268" s="13" t="str">
        <f aca="false">IF(AND(B268&lt;&gt;"",L268&lt;&gt;""),L268-B268,"")</f>
        <v/>
      </c>
      <c r="S268" s="13" t="str">
        <f aca="true">IF(B268="","",IF(O268&lt;&gt;"",O268-B268,TODAY()-B268))</f>
        <v/>
      </c>
      <c r="T268" s="13" t="str">
        <f aca="false">IF(A268="","",SUMIF('Time Log'!$C$5:$C$1004,A268,'Time Log'!$E$5:$E$1004))</f>
        <v/>
      </c>
    </row>
    <row r="269" customFormat="false" ht="15" hidden="false" customHeight="false" outlineLevel="0" collapsed="false">
      <c r="A269" s="14"/>
      <c r="B269" s="15"/>
      <c r="C269" s="14"/>
      <c r="D269" s="14"/>
      <c r="E269" s="14"/>
      <c r="F269" s="14"/>
      <c r="G269" s="14"/>
      <c r="H269" s="14"/>
      <c r="I269" s="16"/>
      <c r="J269" s="17"/>
      <c r="K269" s="14"/>
      <c r="L269" s="15"/>
      <c r="M269" s="17"/>
      <c r="N269" s="14"/>
      <c r="O269" s="15"/>
      <c r="P269" s="14"/>
      <c r="Q269" s="16"/>
      <c r="R269" s="13" t="str">
        <f aca="false">IF(AND(B269&lt;&gt;"",L269&lt;&gt;""),L269-B269,"")</f>
        <v/>
      </c>
      <c r="S269" s="13" t="str">
        <f aca="true">IF(B269="","",IF(O269&lt;&gt;"",O269-B269,TODAY()-B269))</f>
        <v/>
      </c>
      <c r="T269" s="13" t="str">
        <f aca="false">IF(A269="","",SUMIF('Time Log'!$C$5:$C$1004,A269,'Time Log'!$E$5:$E$1004))</f>
        <v/>
      </c>
    </row>
    <row r="270" customFormat="false" ht="15" hidden="false" customHeight="false" outlineLevel="0" collapsed="false">
      <c r="A270" s="14"/>
      <c r="B270" s="15"/>
      <c r="C270" s="14"/>
      <c r="D270" s="14"/>
      <c r="E270" s="14"/>
      <c r="F270" s="14"/>
      <c r="G270" s="14"/>
      <c r="H270" s="14"/>
      <c r="I270" s="16"/>
      <c r="J270" s="17"/>
      <c r="K270" s="14"/>
      <c r="L270" s="15"/>
      <c r="M270" s="17"/>
      <c r="N270" s="14"/>
      <c r="O270" s="15"/>
      <c r="P270" s="14"/>
      <c r="Q270" s="16"/>
      <c r="R270" s="13" t="str">
        <f aca="false">IF(AND(B270&lt;&gt;"",L270&lt;&gt;""),L270-B270,"")</f>
        <v/>
      </c>
      <c r="S270" s="13" t="str">
        <f aca="true">IF(B270="","",IF(O270&lt;&gt;"",O270-B270,TODAY()-B270))</f>
        <v/>
      </c>
      <c r="T270" s="13" t="str">
        <f aca="false">IF(A270="","",SUMIF('Time Log'!$C$5:$C$1004,A270,'Time Log'!$E$5:$E$1004))</f>
        <v/>
      </c>
    </row>
    <row r="271" customFormat="false" ht="15" hidden="false" customHeight="false" outlineLevel="0" collapsed="false">
      <c r="A271" s="14"/>
      <c r="B271" s="15"/>
      <c r="C271" s="14"/>
      <c r="D271" s="14"/>
      <c r="E271" s="14"/>
      <c r="F271" s="14"/>
      <c r="G271" s="14"/>
      <c r="H271" s="14"/>
      <c r="I271" s="16"/>
      <c r="J271" s="17"/>
      <c r="K271" s="14"/>
      <c r="L271" s="15"/>
      <c r="M271" s="17"/>
      <c r="N271" s="14"/>
      <c r="O271" s="15"/>
      <c r="P271" s="14"/>
      <c r="Q271" s="16"/>
      <c r="R271" s="13" t="str">
        <f aca="false">IF(AND(B271&lt;&gt;"",L271&lt;&gt;""),L271-B271,"")</f>
        <v/>
      </c>
      <c r="S271" s="13" t="str">
        <f aca="true">IF(B271="","",IF(O271&lt;&gt;"",O271-B271,TODAY()-B271))</f>
        <v/>
      </c>
      <c r="T271" s="13" t="str">
        <f aca="false">IF(A271="","",SUMIF('Time Log'!$C$5:$C$1004,A271,'Time Log'!$E$5:$E$1004))</f>
        <v/>
      </c>
    </row>
    <row r="272" customFormat="false" ht="15" hidden="false" customHeight="false" outlineLevel="0" collapsed="false">
      <c r="A272" s="14"/>
      <c r="B272" s="15"/>
      <c r="C272" s="14"/>
      <c r="D272" s="14"/>
      <c r="E272" s="14"/>
      <c r="F272" s="14"/>
      <c r="G272" s="14"/>
      <c r="H272" s="14"/>
      <c r="I272" s="16"/>
      <c r="J272" s="17"/>
      <c r="K272" s="14"/>
      <c r="L272" s="15"/>
      <c r="M272" s="17"/>
      <c r="N272" s="14"/>
      <c r="O272" s="15"/>
      <c r="P272" s="14"/>
      <c r="Q272" s="16"/>
      <c r="R272" s="13" t="str">
        <f aca="false">IF(AND(B272&lt;&gt;"",L272&lt;&gt;""),L272-B272,"")</f>
        <v/>
      </c>
      <c r="S272" s="13" t="str">
        <f aca="true">IF(B272="","",IF(O272&lt;&gt;"",O272-B272,TODAY()-B272))</f>
        <v/>
      </c>
      <c r="T272" s="13" t="str">
        <f aca="false">IF(A272="","",SUMIF('Time Log'!$C$5:$C$1004,A272,'Time Log'!$E$5:$E$1004))</f>
        <v/>
      </c>
    </row>
    <row r="273" customFormat="false" ht="15" hidden="false" customHeight="false" outlineLevel="0" collapsed="false">
      <c r="A273" s="14"/>
      <c r="B273" s="15"/>
      <c r="C273" s="14"/>
      <c r="D273" s="14"/>
      <c r="E273" s="14"/>
      <c r="F273" s="14"/>
      <c r="G273" s="14"/>
      <c r="H273" s="14"/>
      <c r="I273" s="16"/>
      <c r="J273" s="17"/>
      <c r="K273" s="14"/>
      <c r="L273" s="15"/>
      <c r="M273" s="17"/>
      <c r="N273" s="14"/>
      <c r="O273" s="15"/>
      <c r="P273" s="14"/>
      <c r="Q273" s="16"/>
      <c r="R273" s="13" t="str">
        <f aca="false">IF(AND(B273&lt;&gt;"",L273&lt;&gt;""),L273-B273,"")</f>
        <v/>
      </c>
      <c r="S273" s="13" t="str">
        <f aca="true">IF(B273="","",IF(O273&lt;&gt;"",O273-B273,TODAY()-B273))</f>
        <v/>
      </c>
      <c r="T273" s="13" t="str">
        <f aca="false">IF(A273="","",SUMIF('Time Log'!$C$5:$C$1004,A273,'Time Log'!$E$5:$E$1004))</f>
        <v/>
      </c>
    </row>
    <row r="274" customFormat="false" ht="15" hidden="false" customHeight="false" outlineLevel="0" collapsed="false">
      <c r="A274" s="14"/>
      <c r="B274" s="15"/>
      <c r="C274" s="14"/>
      <c r="D274" s="14"/>
      <c r="E274" s="14"/>
      <c r="F274" s="14"/>
      <c r="G274" s="14"/>
      <c r="H274" s="14"/>
      <c r="I274" s="16"/>
      <c r="J274" s="17"/>
      <c r="K274" s="14"/>
      <c r="L274" s="15"/>
      <c r="M274" s="17"/>
      <c r="N274" s="14"/>
      <c r="O274" s="15"/>
      <c r="P274" s="14"/>
      <c r="Q274" s="16"/>
      <c r="R274" s="13" t="str">
        <f aca="false">IF(AND(B274&lt;&gt;"",L274&lt;&gt;""),L274-B274,"")</f>
        <v/>
      </c>
      <c r="S274" s="13" t="str">
        <f aca="true">IF(B274="","",IF(O274&lt;&gt;"",O274-B274,TODAY()-B274))</f>
        <v/>
      </c>
      <c r="T274" s="13" t="str">
        <f aca="false">IF(A274="","",SUMIF('Time Log'!$C$5:$C$1004,A274,'Time Log'!$E$5:$E$1004))</f>
        <v/>
      </c>
    </row>
    <row r="275" customFormat="false" ht="15" hidden="false" customHeight="false" outlineLevel="0" collapsed="false">
      <c r="A275" s="14"/>
      <c r="B275" s="15"/>
      <c r="C275" s="14"/>
      <c r="D275" s="14"/>
      <c r="E275" s="14"/>
      <c r="F275" s="14"/>
      <c r="G275" s="14"/>
      <c r="H275" s="14"/>
      <c r="I275" s="16"/>
      <c r="J275" s="17"/>
      <c r="K275" s="14"/>
      <c r="L275" s="15"/>
      <c r="M275" s="17"/>
      <c r="N275" s="14"/>
      <c r="O275" s="15"/>
      <c r="P275" s="14"/>
      <c r="Q275" s="16"/>
      <c r="R275" s="13" t="str">
        <f aca="false">IF(AND(B275&lt;&gt;"",L275&lt;&gt;""),L275-B275,"")</f>
        <v/>
      </c>
      <c r="S275" s="13" t="str">
        <f aca="true">IF(B275="","",IF(O275&lt;&gt;"",O275-B275,TODAY()-B275))</f>
        <v/>
      </c>
      <c r="T275" s="13" t="str">
        <f aca="false">IF(A275="","",SUMIF('Time Log'!$C$5:$C$1004,A275,'Time Log'!$E$5:$E$1004))</f>
        <v/>
      </c>
    </row>
    <row r="276" customFormat="false" ht="15" hidden="false" customHeight="false" outlineLevel="0" collapsed="false">
      <c r="A276" s="14"/>
      <c r="B276" s="15"/>
      <c r="C276" s="14"/>
      <c r="D276" s="14"/>
      <c r="E276" s="14"/>
      <c r="F276" s="14"/>
      <c r="G276" s="14"/>
      <c r="H276" s="14"/>
      <c r="I276" s="16"/>
      <c r="J276" s="17"/>
      <c r="K276" s="14"/>
      <c r="L276" s="15"/>
      <c r="M276" s="17"/>
      <c r="N276" s="14"/>
      <c r="O276" s="15"/>
      <c r="P276" s="14"/>
      <c r="Q276" s="16"/>
      <c r="R276" s="13" t="str">
        <f aca="false">IF(AND(B276&lt;&gt;"",L276&lt;&gt;""),L276-B276,"")</f>
        <v/>
      </c>
      <c r="S276" s="13" t="str">
        <f aca="true">IF(B276="","",IF(O276&lt;&gt;"",O276-B276,TODAY()-B276))</f>
        <v/>
      </c>
      <c r="T276" s="13" t="str">
        <f aca="false">IF(A276="","",SUMIF('Time Log'!$C$5:$C$1004,A276,'Time Log'!$E$5:$E$1004))</f>
        <v/>
      </c>
    </row>
    <row r="277" customFormat="false" ht="15" hidden="false" customHeight="false" outlineLevel="0" collapsed="false">
      <c r="A277" s="14"/>
      <c r="B277" s="15"/>
      <c r="C277" s="14"/>
      <c r="D277" s="14"/>
      <c r="E277" s="14"/>
      <c r="F277" s="14"/>
      <c r="G277" s="14"/>
      <c r="H277" s="14"/>
      <c r="I277" s="16"/>
      <c r="J277" s="17"/>
      <c r="K277" s="14"/>
      <c r="L277" s="15"/>
      <c r="M277" s="17"/>
      <c r="N277" s="14"/>
      <c r="O277" s="15"/>
      <c r="P277" s="14"/>
      <c r="Q277" s="16"/>
      <c r="R277" s="13" t="str">
        <f aca="false">IF(AND(B277&lt;&gt;"",L277&lt;&gt;""),L277-B277,"")</f>
        <v/>
      </c>
      <c r="S277" s="13" t="str">
        <f aca="true">IF(B277="","",IF(O277&lt;&gt;"",O277-B277,TODAY()-B277))</f>
        <v/>
      </c>
      <c r="T277" s="13" t="str">
        <f aca="false">IF(A277="","",SUMIF('Time Log'!$C$5:$C$1004,A277,'Time Log'!$E$5:$E$1004))</f>
        <v/>
      </c>
    </row>
    <row r="278" customFormat="false" ht="15" hidden="false" customHeight="false" outlineLevel="0" collapsed="false">
      <c r="A278" s="14"/>
      <c r="B278" s="15"/>
      <c r="C278" s="14"/>
      <c r="D278" s="14"/>
      <c r="E278" s="14"/>
      <c r="F278" s="14"/>
      <c r="G278" s="14"/>
      <c r="H278" s="14"/>
      <c r="I278" s="16"/>
      <c r="J278" s="17"/>
      <c r="K278" s="14"/>
      <c r="L278" s="15"/>
      <c r="M278" s="17"/>
      <c r="N278" s="14"/>
      <c r="O278" s="15"/>
      <c r="P278" s="14"/>
      <c r="Q278" s="16"/>
      <c r="R278" s="13" t="str">
        <f aca="false">IF(AND(B278&lt;&gt;"",L278&lt;&gt;""),L278-B278,"")</f>
        <v/>
      </c>
      <c r="S278" s="13" t="str">
        <f aca="true">IF(B278="","",IF(O278&lt;&gt;"",O278-B278,TODAY()-B278))</f>
        <v/>
      </c>
      <c r="T278" s="13" t="str">
        <f aca="false">IF(A278="","",SUMIF('Time Log'!$C$5:$C$1004,A278,'Time Log'!$E$5:$E$1004))</f>
        <v/>
      </c>
    </row>
    <row r="279" customFormat="false" ht="15" hidden="false" customHeight="false" outlineLevel="0" collapsed="false">
      <c r="A279" s="14"/>
      <c r="B279" s="15"/>
      <c r="C279" s="14"/>
      <c r="D279" s="14"/>
      <c r="E279" s="14"/>
      <c r="F279" s="14"/>
      <c r="G279" s="14"/>
      <c r="H279" s="14"/>
      <c r="I279" s="16"/>
      <c r="J279" s="17"/>
      <c r="K279" s="14"/>
      <c r="L279" s="15"/>
      <c r="M279" s="17"/>
      <c r="N279" s="14"/>
      <c r="O279" s="15"/>
      <c r="P279" s="14"/>
      <c r="Q279" s="16"/>
      <c r="R279" s="13" t="str">
        <f aca="false">IF(AND(B279&lt;&gt;"",L279&lt;&gt;""),L279-B279,"")</f>
        <v/>
      </c>
      <c r="S279" s="13" t="str">
        <f aca="true">IF(B279="","",IF(O279&lt;&gt;"",O279-B279,TODAY()-B279))</f>
        <v/>
      </c>
      <c r="T279" s="13" t="str">
        <f aca="false">IF(A279="","",SUMIF('Time Log'!$C$5:$C$1004,A279,'Time Log'!$E$5:$E$1004))</f>
        <v/>
      </c>
    </row>
    <row r="280" customFormat="false" ht="15" hidden="false" customHeight="false" outlineLevel="0" collapsed="false">
      <c r="A280" s="14"/>
      <c r="B280" s="15"/>
      <c r="C280" s="14"/>
      <c r="D280" s="14"/>
      <c r="E280" s="14"/>
      <c r="F280" s="14"/>
      <c r="G280" s="14"/>
      <c r="H280" s="14"/>
      <c r="I280" s="16"/>
      <c r="J280" s="17"/>
      <c r="K280" s="14"/>
      <c r="L280" s="15"/>
      <c r="M280" s="17"/>
      <c r="N280" s="14"/>
      <c r="O280" s="15"/>
      <c r="P280" s="14"/>
      <c r="Q280" s="16"/>
      <c r="R280" s="13" t="str">
        <f aca="false">IF(AND(B280&lt;&gt;"",L280&lt;&gt;""),L280-B280,"")</f>
        <v/>
      </c>
      <c r="S280" s="13" t="str">
        <f aca="true">IF(B280="","",IF(O280&lt;&gt;"",O280-B280,TODAY()-B280))</f>
        <v/>
      </c>
      <c r="T280" s="13" t="str">
        <f aca="false">IF(A280="","",SUMIF('Time Log'!$C$5:$C$1004,A280,'Time Log'!$E$5:$E$1004))</f>
        <v/>
      </c>
    </row>
    <row r="281" customFormat="false" ht="15" hidden="false" customHeight="false" outlineLevel="0" collapsed="false">
      <c r="A281" s="14"/>
      <c r="B281" s="15"/>
      <c r="C281" s="14"/>
      <c r="D281" s="14"/>
      <c r="E281" s="14"/>
      <c r="F281" s="14"/>
      <c r="G281" s="14"/>
      <c r="H281" s="14"/>
      <c r="I281" s="16"/>
      <c r="J281" s="17"/>
      <c r="K281" s="14"/>
      <c r="L281" s="15"/>
      <c r="M281" s="17"/>
      <c r="N281" s="14"/>
      <c r="O281" s="15"/>
      <c r="P281" s="14"/>
      <c r="Q281" s="16"/>
      <c r="R281" s="13" t="str">
        <f aca="false">IF(AND(B281&lt;&gt;"",L281&lt;&gt;""),L281-B281,"")</f>
        <v/>
      </c>
      <c r="S281" s="13" t="str">
        <f aca="true">IF(B281="","",IF(O281&lt;&gt;"",O281-B281,TODAY()-B281))</f>
        <v/>
      </c>
      <c r="T281" s="13" t="str">
        <f aca="false">IF(A281="","",SUMIF('Time Log'!$C$5:$C$1004,A281,'Time Log'!$E$5:$E$1004))</f>
        <v/>
      </c>
    </row>
    <row r="282" customFormat="false" ht="15" hidden="false" customHeight="false" outlineLevel="0" collapsed="false">
      <c r="A282" s="14"/>
      <c r="B282" s="15"/>
      <c r="C282" s="14"/>
      <c r="D282" s="14"/>
      <c r="E282" s="14"/>
      <c r="F282" s="14"/>
      <c r="G282" s="14"/>
      <c r="H282" s="14"/>
      <c r="I282" s="16"/>
      <c r="J282" s="17"/>
      <c r="K282" s="14"/>
      <c r="L282" s="15"/>
      <c r="M282" s="17"/>
      <c r="N282" s="14"/>
      <c r="O282" s="15"/>
      <c r="P282" s="14"/>
      <c r="Q282" s="16"/>
      <c r="R282" s="13" t="str">
        <f aca="false">IF(AND(B282&lt;&gt;"",L282&lt;&gt;""),L282-B282,"")</f>
        <v/>
      </c>
      <c r="S282" s="13" t="str">
        <f aca="true">IF(B282="","",IF(O282&lt;&gt;"",O282-B282,TODAY()-B282))</f>
        <v/>
      </c>
      <c r="T282" s="13" t="str">
        <f aca="false">IF(A282="","",SUMIF('Time Log'!$C$5:$C$1004,A282,'Time Log'!$E$5:$E$1004))</f>
        <v/>
      </c>
    </row>
    <row r="283" customFormat="false" ht="15" hidden="false" customHeight="false" outlineLevel="0" collapsed="false">
      <c r="A283" s="14"/>
      <c r="B283" s="15"/>
      <c r="C283" s="14"/>
      <c r="D283" s="14"/>
      <c r="E283" s="14"/>
      <c r="F283" s="14"/>
      <c r="G283" s="14"/>
      <c r="H283" s="14"/>
      <c r="I283" s="16"/>
      <c r="J283" s="17"/>
      <c r="K283" s="14"/>
      <c r="L283" s="15"/>
      <c r="M283" s="17"/>
      <c r="N283" s="14"/>
      <c r="O283" s="15"/>
      <c r="P283" s="14"/>
      <c r="Q283" s="16"/>
      <c r="R283" s="13" t="str">
        <f aca="false">IF(AND(B283&lt;&gt;"",L283&lt;&gt;""),L283-B283,"")</f>
        <v/>
      </c>
      <c r="S283" s="13" t="str">
        <f aca="true">IF(B283="","",IF(O283&lt;&gt;"",O283-B283,TODAY()-B283))</f>
        <v/>
      </c>
      <c r="T283" s="13" t="str">
        <f aca="false">IF(A283="","",SUMIF('Time Log'!$C$5:$C$1004,A283,'Time Log'!$E$5:$E$1004))</f>
        <v/>
      </c>
    </row>
    <row r="284" customFormat="false" ht="15" hidden="false" customHeight="false" outlineLevel="0" collapsed="false">
      <c r="A284" s="14"/>
      <c r="B284" s="15"/>
      <c r="C284" s="14"/>
      <c r="D284" s="14"/>
      <c r="E284" s="14"/>
      <c r="F284" s="14"/>
      <c r="G284" s="14"/>
      <c r="H284" s="14"/>
      <c r="I284" s="16"/>
      <c r="J284" s="17"/>
      <c r="K284" s="14"/>
      <c r="L284" s="15"/>
      <c r="M284" s="17"/>
      <c r="N284" s="14"/>
      <c r="O284" s="15"/>
      <c r="P284" s="14"/>
      <c r="Q284" s="16"/>
      <c r="R284" s="13" t="str">
        <f aca="false">IF(AND(B284&lt;&gt;"",L284&lt;&gt;""),L284-B284,"")</f>
        <v/>
      </c>
      <c r="S284" s="13" t="str">
        <f aca="true">IF(B284="","",IF(O284&lt;&gt;"",O284-B284,TODAY()-B284))</f>
        <v/>
      </c>
      <c r="T284" s="13" t="str">
        <f aca="false">IF(A284="","",SUMIF('Time Log'!$C$5:$C$1004,A284,'Time Log'!$E$5:$E$1004))</f>
        <v/>
      </c>
    </row>
    <row r="285" customFormat="false" ht="15" hidden="false" customHeight="false" outlineLevel="0" collapsed="false">
      <c r="A285" s="14"/>
      <c r="B285" s="15"/>
      <c r="C285" s="14"/>
      <c r="D285" s="14"/>
      <c r="E285" s="14"/>
      <c r="F285" s="14"/>
      <c r="G285" s="14"/>
      <c r="H285" s="14"/>
      <c r="I285" s="16"/>
      <c r="J285" s="17"/>
      <c r="K285" s="14"/>
      <c r="L285" s="15"/>
      <c r="M285" s="17"/>
      <c r="N285" s="14"/>
      <c r="O285" s="15"/>
      <c r="P285" s="14"/>
      <c r="Q285" s="16"/>
      <c r="R285" s="13" t="str">
        <f aca="false">IF(AND(B285&lt;&gt;"",L285&lt;&gt;""),L285-B285,"")</f>
        <v/>
      </c>
      <c r="S285" s="13" t="str">
        <f aca="true">IF(B285="","",IF(O285&lt;&gt;"",O285-B285,TODAY()-B285))</f>
        <v/>
      </c>
      <c r="T285" s="13" t="str">
        <f aca="false">IF(A285="","",SUMIF('Time Log'!$C$5:$C$1004,A285,'Time Log'!$E$5:$E$1004))</f>
        <v/>
      </c>
    </row>
    <row r="286" customFormat="false" ht="15" hidden="false" customHeight="false" outlineLevel="0" collapsed="false">
      <c r="A286" s="14"/>
      <c r="B286" s="15"/>
      <c r="C286" s="14"/>
      <c r="D286" s="14"/>
      <c r="E286" s="14"/>
      <c r="F286" s="14"/>
      <c r="G286" s="14"/>
      <c r="H286" s="14"/>
      <c r="I286" s="16"/>
      <c r="J286" s="17"/>
      <c r="K286" s="14"/>
      <c r="L286" s="15"/>
      <c r="M286" s="17"/>
      <c r="N286" s="14"/>
      <c r="O286" s="15"/>
      <c r="P286" s="14"/>
      <c r="Q286" s="16"/>
      <c r="R286" s="13" t="str">
        <f aca="false">IF(AND(B286&lt;&gt;"",L286&lt;&gt;""),L286-B286,"")</f>
        <v/>
      </c>
      <c r="S286" s="13" t="str">
        <f aca="true">IF(B286="","",IF(O286&lt;&gt;"",O286-B286,TODAY()-B286))</f>
        <v/>
      </c>
      <c r="T286" s="13" t="str">
        <f aca="false">IF(A286="","",SUMIF('Time Log'!$C$5:$C$1004,A286,'Time Log'!$E$5:$E$1004))</f>
        <v/>
      </c>
    </row>
    <row r="287" customFormat="false" ht="15" hidden="false" customHeight="false" outlineLevel="0" collapsed="false">
      <c r="A287" s="14"/>
      <c r="B287" s="15"/>
      <c r="C287" s="14"/>
      <c r="D287" s="14"/>
      <c r="E287" s="14"/>
      <c r="F287" s="14"/>
      <c r="G287" s="14"/>
      <c r="H287" s="14"/>
      <c r="I287" s="16"/>
      <c r="J287" s="17"/>
      <c r="K287" s="14"/>
      <c r="L287" s="15"/>
      <c r="M287" s="17"/>
      <c r="N287" s="14"/>
      <c r="O287" s="15"/>
      <c r="P287" s="14"/>
      <c r="Q287" s="16"/>
      <c r="R287" s="13" t="str">
        <f aca="false">IF(AND(B287&lt;&gt;"",L287&lt;&gt;""),L287-B287,"")</f>
        <v/>
      </c>
      <c r="S287" s="13" t="str">
        <f aca="true">IF(B287="","",IF(O287&lt;&gt;"",O287-B287,TODAY()-B287))</f>
        <v/>
      </c>
      <c r="T287" s="13" t="str">
        <f aca="false">IF(A287="","",SUMIF('Time Log'!$C$5:$C$1004,A287,'Time Log'!$E$5:$E$1004))</f>
        <v/>
      </c>
    </row>
    <row r="288" customFormat="false" ht="15" hidden="false" customHeight="false" outlineLevel="0" collapsed="false">
      <c r="A288" s="14"/>
      <c r="B288" s="15"/>
      <c r="C288" s="14"/>
      <c r="D288" s="14"/>
      <c r="E288" s="14"/>
      <c r="F288" s="14"/>
      <c r="G288" s="14"/>
      <c r="H288" s="14"/>
      <c r="I288" s="16"/>
      <c r="J288" s="17"/>
      <c r="K288" s="14"/>
      <c r="L288" s="15"/>
      <c r="M288" s="17"/>
      <c r="N288" s="14"/>
      <c r="O288" s="15"/>
      <c r="P288" s="14"/>
      <c r="Q288" s="16"/>
      <c r="R288" s="13" t="str">
        <f aca="false">IF(AND(B288&lt;&gt;"",L288&lt;&gt;""),L288-B288,"")</f>
        <v/>
      </c>
      <c r="S288" s="13" t="str">
        <f aca="true">IF(B288="","",IF(O288&lt;&gt;"",O288-B288,TODAY()-B288))</f>
        <v/>
      </c>
      <c r="T288" s="13" t="str">
        <f aca="false">IF(A288="","",SUMIF('Time Log'!$C$5:$C$1004,A288,'Time Log'!$E$5:$E$1004))</f>
        <v/>
      </c>
    </row>
    <row r="289" customFormat="false" ht="15" hidden="false" customHeight="false" outlineLevel="0" collapsed="false">
      <c r="A289" s="14"/>
      <c r="B289" s="15"/>
      <c r="C289" s="14"/>
      <c r="D289" s="14"/>
      <c r="E289" s="14"/>
      <c r="F289" s="14"/>
      <c r="G289" s="14"/>
      <c r="H289" s="14"/>
      <c r="I289" s="16"/>
      <c r="J289" s="17"/>
      <c r="K289" s="14"/>
      <c r="L289" s="15"/>
      <c r="M289" s="17"/>
      <c r="N289" s="14"/>
      <c r="O289" s="15"/>
      <c r="P289" s="14"/>
      <c r="Q289" s="16"/>
      <c r="R289" s="13" t="str">
        <f aca="false">IF(AND(B289&lt;&gt;"",L289&lt;&gt;""),L289-B289,"")</f>
        <v/>
      </c>
      <c r="S289" s="13" t="str">
        <f aca="true">IF(B289="","",IF(O289&lt;&gt;"",O289-B289,TODAY()-B289))</f>
        <v/>
      </c>
      <c r="T289" s="13" t="str">
        <f aca="false">IF(A289="","",SUMIF('Time Log'!$C$5:$C$1004,A289,'Time Log'!$E$5:$E$1004))</f>
        <v/>
      </c>
    </row>
    <row r="290" customFormat="false" ht="15" hidden="false" customHeight="false" outlineLevel="0" collapsed="false">
      <c r="A290" s="14"/>
      <c r="B290" s="15"/>
      <c r="C290" s="14"/>
      <c r="D290" s="14"/>
      <c r="E290" s="14"/>
      <c r="F290" s="14"/>
      <c r="G290" s="14"/>
      <c r="H290" s="14"/>
      <c r="I290" s="16"/>
      <c r="J290" s="17"/>
      <c r="K290" s="14"/>
      <c r="L290" s="15"/>
      <c r="M290" s="17"/>
      <c r="N290" s="14"/>
      <c r="O290" s="15"/>
      <c r="P290" s="14"/>
      <c r="Q290" s="16"/>
      <c r="R290" s="13" t="str">
        <f aca="false">IF(AND(B290&lt;&gt;"",L290&lt;&gt;""),L290-B290,"")</f>
        <v/>
      </c>
      <c r="S290" s="13" t="str">
        <f aca="true">IF(B290="","",IF(O290&lt;&gt;"",O290-B290,TODAY()-B290))</f>
        <v/>
      </c>
      <c r="T290" s="13" t="str">
        <f aca="false">IF(A290="","",SUMIF('Time Log'!$C$5:$C$1004,A290,'Time Log'!$E$5:$E$1004))</f>
        <v/>
      </c>
    </row>
    <row r="291" customFormat="false" ht="15" hidden="false" customHeight="false" outlineLevel="0" collapsed="false">
      <c r="A291" s="14"/>
      <c r="B291" s="15"/>
      <c r="C291" s="14"/>
      <c r="D291" s="14"/>
      <c r="E291" s="14"/>
      <c r="F291" s="14"/>
      <c r="G291" s="14"/>
      <c r="H291" s="14"/>
      <c r="I291" s="16"/>
      <c r="J291" s="17"/>
      <c r="K291" s="14"/>
      <c r="L291" s="15"/>
      <c r="M291" s="17"/>
      <c r="N291" s="14"/>
      <c r="O291" s="15"/>
      <c r="P291" s="14"/>
      <c r="Q291" s="16"/>
      <c r="R291" s="13" t="str">
        <f aca="false">IF(AND(B291&lt;&gt;"",L291&lt;&gt;""),L291-B291,"")</f>
        <v/>
      </c>
      <c r="S291" s="13" t="str">
        <f aca="true">IF(B291="","",IF(O291&lt;&gt;"",O291-B291,TODAY()-B291))</f>
        <v/>
      </c>
      <c r="T291" s="13" t="str">
        <f aca="false">IF(A291="","",SUMIF('Time Log'!$C$5:$C$1004,A291,'Time Log'!$E$5:$E$1004))</f>
        <v/>
      </c>
    </row>
    <row r="292" customFormat="false" ht="15" hidden="false" customHeight="false" outlineLevel="0" collapsed="false">
      <c r="A292" s="14"/>
      <c r="B292" s="15"/>
      <c r="C292" s="14"/>
      <c r="D292" s="14"/>
      <c r="E292" s="14"/>
      <c r="F292" s="14"/>
      <c r="G292" s="14"/>
      <c r="H292" s="14"/>
      <c r="I292" s="16"/>
      <c r="J292" s="17"/>
      <c r="K292" s="14"/>
      <c r="L292" s="15"/>
      <c r="M292" s="17"/>
      <c r="N292" s="14"/>
      <c r="O292" s="15"/>
      <c r="P292" s="14"/>
      <c r="Q292" s="16"/>
      <c r="R292" s="13" t="str">
        <f aca="false">IF(AND(B292&lt;&gt;"",L292&lt;&gt;""),L292-B292,"")</f>
        <v/>
      </c>
      <c r="S292" s="13" t="str">
        <f aca="true">IF(B292="","",IF(O292&lt;&gt;"",O292-B292,TODAY()-B292))</f>
        <v/>
      </c>
      <c r="T292" s="13" t="str">
        <f aca="false">IF(A292="","",SUMIF('Time Log'!$C$5:$C$1004,A292,'Time Log'!$E$5:$E$1004))</f>
        <v/>
      </c>
    </row>
    <row r="293" customFormat="false" ht="15" hidden="false" customHeight="false" outlineLevel="0" collapsed="false">
      <c r="A293" s="14"/>
      <c r="B293" s="15"/>
      <c r="C293" s="14"/>
      <c r="D293" s="14"/>
      <c r="E293" s="14"/>
      <c r="F293" s="14"/>
      <c r="G293" s="14"/>
      <c r="H293" s="14"/>
      <c r="I293" s="16"/>
      <c r="J293" s="17"/>
      <c r="K293" s="14"/>
      <c r="L293" s="15"/>
      <c r="M293" s="17"/>
      <c r="N293" s="14"/>
      <c r="O293" s="15"/>
      <c r="P293" s="14"/>
      <c r="Q293" s="16"/>
      <c r="R293" s="13" t="str">
        <f aca="false">IF(AND(B293&lt;&gt;"",L293&lt;&gt;""),L293-B293,"")</f>
        <v/>
      </c>
      <c r="S293" s="13" t="str">
        <f aca="true">IF(B293="","",IF(O293&lt;&gt;"",O293-B293,TODAY()-B293))</f>
        <v/>
      </c>
      <c r="T293" s="13" t="str">
        <f aca="false">IF(A293="","",SUMIF('Time Log'!$C$5:$C$1004,A293,'Time Log'!$E$5:$E$1004))</f>
        <v/>
      </c>
    </row>
    <row r="294" customFormat="false" ht="15" hidden="false" customHeight="false" outlineLevel="0" collapsed="false">
      <c r="A294" s="14"/>
      <c r="B294" s="15"/>
      <c r="C294" s="14"/>
      <c r="D294" s="14"/>
      <c r="E294" s="14"/>
      <c r="F294" s="14"/>
      <c r="G294" s="14"/>
      <c r="H294" s="14"/>
      <c r="I294" s="16"/>
      <c r="J294" s="17"/>
      <c r="K294" s="14"/>
      <c r="L294" s="15"/>
      <c r="M294" s="17"/>
      <c r="N294" s="14"/>
      <c r="O294" s="15"/>
      <c r="P294" s="14"/>
      <c r="Q294" s="16"/>
      <c r="R294" s="13" t="str">
        <f aca="false">IF(AND(B294&lt;&gt;"",L294&lt;&gt;""),L294-B294,"")</f>
        <v/>
      </c>
      <c r="S294" s="13" t="str">
        <f aca="true">IF(B294="","",IF(O294&lt;&gt;"",O294-B294,TODAY()-B294))</f>
        <v/>
      </c>
      <c r="T294" s="13" t="str">
        <f aca="false">IF(A294="","",SUMIF('Time Log'!$C$5:$C$1004,A294,'Time Log'!$E$5:$E$1004))</f>
        <v/>
      </c>
    </row>
    <row r="295" customFormat="false" ht="15" hidden="false" customHeight="false" outlineLevel="0" collapsed="false">
      <c r="A295" s="14"/>
      <c r="B295" s="15"/>
      <c r="C295" s="14"/>
      <c r="D295" s="14"/>
      <c r="E295" s="14"/>
      <c r="F295" s="14"/>
      <c r="G295" s="14"/>
      <c r="H295" s="14"/>
      <c r="I295" s="16"/>
      <c r="J295" s="17"/>
      <c r="K295" s="14"/>
      <c r="L295" s="15"/>
      <c r="M295" s="17"/>
      <c r="N295" s="14"/>
      <c r="O295" s="15"/>
      <c r="P295" s="14"/>
      <c r="Q295" s="16"/>
      <c r="R295" s="13" t="str">
        <f aca="false">IF(AND(B295&lt;&gt;"",L295&lt;&gt;""),L295-B295,"")</f>
        <v/>
      </c>
      <c r="S295" s="13" t="str">
        <f aca="true">IF(B295="","",IF(O295&lt;&gt;"",O295-B295,TODAY()-B295))</f>
        <v/>
      </c>
      <c r="T295" s="13" t="str">
        <f aca="false">IF(A295="","",SUMIF('Time Log'!$C$5:$C$1004,A295,'Time Log'!$E$5:$E$1004))</f>
        <v/>
      </c>
    </row>
    <row r="296" customFormat="false" ht="15" hidden="false" customHeight="false" outlineLevel="0" collapsed="false">
      <c r="A296" s="14"/>
      <c r="B296" s="15"/>
      <c r="C296" s="14"/>
      <c r="D296" s="14"/>
      <c r="E296" s="14"/>
      <c r="F296" s="14"/>
      <c r="G296" s="14"/>
      <c r="H296" s="14"/>
      <c r="I296" s="16"/>
      <c r="J296" s="17"/>
      <c r="K296" s="14"/>
      <c r="L296" s="15"/>
      <c r="M296" s="17"/>
      <c r="N296" s="14"/>
      <c r="O296" s="15"/>
      <c r="P296" s="14"/>
      <c r="Q296" s="16"/>
      <c r="R296" s="13" t="str">
        <f aca="false">IF(AND(B296&lt;&gt;"",L296&lt;&gt;""),L296-B296,"")</f>
        <v/>
      </c>
      <c r="S296" s="13" t="str">
        <f aca="true">IF(B296="","",IF(O296&lt;&gt;"",O296-B296,TODAY()-B296))</f>
        <v/>
      </c>
      <c r="T296" s="13" t="str">
        <f aca="false">IF(A296="","",SUMIF('Time Log'!$C$5:$C$1004,A296,'Time Log'!$E$5:$E$1004))</f>
        <v/>
      </c>
    </row>
    <row r="297" customFormat="false" ht="15" hidden="false" customHeight="false" outlineLevel="0" collapsed="false">
      <c r="A297" s="14"/>
      <c r="B297" s="15"/>
      <c r="C297" s="14"/>
      <c r="D297" s="14"/>
      <c r="E297" s="14"/>
      <c r="F297" s="14"/>
      <c r="G297" s="14"/>
      <c r="H297" s="14"/>
      <c r="I297" s="16"/>
      <c r="J297" s="17"/>
      <c r="K297" s="14"/>
      <c r="L297" s="15"/>
      <c r="M297" s="17"/>
      <c r="N297" s="14"/>
      <c r="O297" s="15"/>
      <c r="P297" s="14"/>
      <c r="Q297" s="16"/>
      <c r="R297" s="13" t="str">
        <f aca="false">IF(AND(B297&lt;&gt;"",L297&lt;&gt;""),L297-B297,"")</f>
        <v/>
      </c>
      <c r="S297" s="13" t="str">
        <f aca="true">IF(B297="","",IF(O297&lt;&gt;"",O297-B297,TODAY()-B297))</f>
        <v/>
      </c>
      <c r="T297" s="13" t="str">
        <f aca="false">IF(A297="","",SUMIF('Time Log'!$C$5:$C$1004,A297,'Time Log'!$E$5:$E$1004))</f>
        <v/>
      </c>
    </row>
    <row r="298" customFormat="false" ht="15" hidden="false" customHeight="false" outlineLevel="0" collapsed="false">
      <c r="A298" s="14"/>
      <c r="B298" s="15"/>
      <c r="C298" s="14"/>
      <c r="D298" s="14"/>
      <c r="E298" s="14"/>
      <c r="F298" s="14"/>
      <c r="G298" s="14"/>
      <c r="H298" s="14"/>
      <c r="I298" s="16"/>
      <c r="J298" s="17"/>
      <c r="K298" s="14"/>
      <c r="L298" s="15"/>
      <c r="M298" s="17"/>
      <c r="N298" s="14"/>
      <c r="O298" s="15"/>
      <c r="P298" s="14"/>
      <c r="Q298" s="16"/>
      <c r="R298" s="13" t="str">
        <f aca="false">IF(AND(B298&lt;&gt;"",L298&lt;&gt;""),L298-B298,"")</f>
        <v/>
      </c>
      <c r="S298" s="13" t="str">
        <f aca="true">IF(B298="","",IF(O298&lt;&gt;"",O298-B298,TODAY()-B298))</f>
        <v/>
      </c>
      <c r="T298" s="13" t="str">
        <f aca="false">IF(A298="","",SUMIF('Time Log'!$C$5:$C$1004,A298,'Time Log'!$E$5:$E$1004))</f>
        <v/>
      </c>
    </row>
    <row r="299" customFormat="false" ht="15" hidden="false" customHeight="false" outlineLevel="0" collapsed="false">
      <c r="A299" s="14"/>
      <c r="B299" s="15"/>
      <c r="C299" s="14"/>
      <c r="D299" s="14"/>
      <c r="E299" s="14"/>
      <c r="F299" s="14"/>
      <c r="G299" s="14"/>
      <c r="H299" s="14"/>
      <c r="I299" s="16"/>
      <c r="J299" s="17"/>
      <c r="K299" s="14"/>
      <c r="L299" s="15"/>
      <c r="M299" s="17"/>
      <c r="N299" s="14"/>
      <c r="O299" s="15"/>
      <c r="P299" s="14"/>
      <c r="Q299" s="16"/>
      <c r="R299" s="13" t="str">
        <f aca="false">IF(AND(B299&lt;&gt;"",L299&lt;&gt;""),L299-B299,"")</f>
        <v/>
      </c>
      <c r="S299" s="13" t="str">
        <f aca="true">IF(B299="","",IF(O299&lt;&gt;"",O299-B299,TODAY()-B299))</f>
        <v/>
      </c>
      <c r="T299" s="13" t="str">
        <f aca="false">IF(A299="","",SUMIF('Time Log'!$C$5:$C$1004,A299,'Time Log'!$E$5:$E$1004))</f>
        <v/>
      </c>
    </row>
    <row r="300" customFormat="false" ht="15" hidden="false" customHeight="false" outlineLevel="0" collapsed="false">
      <c r="A300" s="14"/>
      <c r="B300" s="15"/>
      <c r="C300" s="14"/>
      <c r="D300" s="14"/>
      <c r="E300" s="14"/>
      <c r="F300" s="14"/>
      <c r="G300" s="14"/>
      <c r="H300" s="14"/>
      <c r="I300" s="16"/>
      <c r="J300" s="17"/>
      <c r="K300" s="14"/>
      <c r="L300" s="15"/>
      <c r="M300" s="17"/>
      <c r="N300" s="14"/>
      <c r="O300" s="15"/>
      <c r="P300" s="14"/>
      <c r="Q300" s="16"/>
      <c r="R300" s="13" t="str">
        <f aca="false">IF(AND(B300&lt;&gt;"",L300&lt;&gt;""),L300-B300,"")</f>
        <v/>
      </c>
      <c r="S300" s="13" t="str">
        <f aca="true">IF(B300="","",IF(O300&lt;&gt;"",O300-B300,TODAY()-B300))</f>
        <v/>
      </c>
      <c r="T300" s="13" t="str">
        <f aca="false">IF(A300="","",SUMIF('Time Log'!$C$5:$C$1004,A300,'Time Log'!$E$5:$E$1004))</f>
        <v/>
      </c>
    </row>
    <row r="301" customFormat="false" ht="15" hidden="false" customHeight="false" outlineLevel="0" collapsed="false">
      <c r="A301" s="14"/>
      <c r="B301" s="15"/>
      <c r="C301" s="14"/>
      <c r="D301" s="14"/>
      <c r="E301" s="14"/>
      <c r="F301" s="14"/>
      <c r="G301" s="14"/>
      <c r="H301" s="14"/>
      <c r="I301" s="16"/>
      <c r="J301" s="17"/>
      <c r="K301" s="14"/>
      <c r="L301" s="15"/>
      <c r="M301" s="17"/>
      <c r="N301" s="14"/>
      <c r="O301" s="15"/>
      <c r="P301" s="14"/>
      <c r="Q301" s="16"/>
      <c r="R301" s="13" t="str">
        <f aca="false">IF(AND(B301&lt;&gt;"",L301&lt;&gt;""),L301-B301,"")</f>
        <v/>
      </c>
      <c r="S301" s="13" t="str">
        <f aca="true">IF(B301="","",IF(O301&lt;&gt;"",O301-B301,TODAY()-B301))</f>
        <v/>
      </c>
      <c r="T301" s="13" t="str">
        <f aca="false">IF(A301="","",SUMIF('Time Log'!$C$5:$C$1004,A301,'Time Log'!$E$5:$E$1004))</f>
        <v/>
      </c>
    </row>
    <row r="302" customFormat="false" ht="15" hidden="false" customHeight="false" outlineLevel="0" collapsed="false">
      <c r="A302" s="14"/>
      <c r="B302" s="15"/>
      <c r="C302" s="14"/>
      <c r="D302" s="14"/>
      <c r="E302" s="14"/>
      <c r="F302" s="14"/>
      <c r="G302" s="14"/>
      <c r="H302" s="14"/>
      <c r="I302" s="16"/>
      <c r="J302" s="17"/>
      <c r="K302" s="14"/>
      <c r="L302" s="15"/>
      <c r="M302" s="17"/>
      <c r="N302" s="14"/>
      <c r="O302" s="15"/>
      <c r="P302" s="14"/>
      <c r="Q302" s="16"/>
      <c r="R302" s="13" t="str">
        <f aca="false">IF(AND(B302&lt;&gt;"",L302&lt;&gt;""),L302-B302,"")</f>
        <v/>
      </c>
      <c r="S302" s="13" t="str">
        <f aca="true">IF(B302="","",IF(O302&lt;&gt;"",O302-B302,TODAY()-B302))</f>
        <v/>
      </c>
      <c r="T302" s="13" t="str">
        <f aca="false">IF(A302="","",SUMIF('Time Log'!$C$5:$C$1004,A302,'Time Log'!$E$5:$E$1004))</f>
        <v/>
      </c>
    </row>
    <row r="303" customFormat="false" ht="15" hidden="false" customHeight="false" outlineLevel="0" collapsed="false">
      <c r="A303" s="14"/>
      <c r="B303" s="15"/>
      <c r="C303" s="14"/>
      <c r="D303" s="14"/>
      <c r="E303" s="14"/>
      <c r="F303" s="14"/>
      <c r="G303" s="14"/>
      <c r="H303" s="14"/>
      <c r="I303" s="16"/>
      <c r="J303" s="17"/>
      <c r="K303" s="14"/>
      <c r="L303" s="15"/>
      <c r="M303" s="17"/>
      <c r="N303" s="14"/>
      <c r="O303" s="15"/>
      <c r="P303" s="14"/>
      <c r="Q303" s="16"/>
      <c r="R303" s="13" t="str">
        <f aca="false">IF(AND(B303&lt;&gt;"",L303&lt;&gt;""),L303-B303,"")</f>
        <v/>
      </c>
      <c r="S303" s="13" t="str">
        <f aca="true">IF(B303="","",IF(O303&lt;&gt;"",O303-B303,TODAY()-B303))</f>
        <v/>
      </c>
      <c r="T303" s="13" t="str">
        <f aca="false">IF(A303="","",SUMIF('Time Log'!$C$5:$C$1004,A303,'Time Log'!$E$5:$E$1004))</f>
        <v/>
      </c>
    </row>
    <row r="304" customFormat="false" ht="15" hidden="false" customHeight="false" outlineLevel="0" collapsed="false">
      <c r="A304" s="14"/>
      <c r="B304" s="15"/>
      <c r="C304" s="14"/>
      <c r="D304" s="14"/>
      <c r="E304" s="14"/>
      <c r="F304" s="14"/>
      <c r="G304" s="14"/>
      <c r="H304" s="14"/>
      <c r="I304" s="16"/>
      <c r="J304" s="17"/>
      <c r="K304" s="14"/>
      <c r="L304" s="15"/>
      <c r="M304" s="17"/>
      <c r="N304" s="14"/>
      <c r="O304" s="15"/>
      <c r="P304" s="14"/>
      <c r="Q304" s="16"/>
      <c r="R304" s="13" t="str">
        <f aca="false">IF(AND(B304&lt;&gt;"",L304&lt;&gt;""),L304-B304,"")</f>
        <v/>
      </c>
      <c r="S304" s="13" t="str">
        <f aca="true">IF(B304="","",IF(O304&lt;&gt;"",O304-B304,TODAY()-B304))</f>
        <v/>
      </c>
      <c r="T304" s="13" t="str">
        <f aca="false">IF(A304="","",SUMIF('Time Log'!$C$5:$C$1004,A304,'Time Log'!$E$5:$E$1004))</f>
        <v/>
      </c>
    </row>
    <row r="305" customFormat="false" ht="15" hidden="false" customHeight="false" outlineLevel="0" collapsed="false">
      <c r="A305" s="14"/>
      <c r="B305" s="15"/>
      <c r="C305" s="14"/>
      <c r="D305" s="14"/>
      <c r="E305" s="14"/>
      <c r="F305" s="14"/>
      <c r="G305" s="14"/>
      <c r="H305" s="14"/>
      <c r="I305" s="16"/>
      <c r="J305" s="17"/>
      <c r="K305" s="14"/>
      <c r="L305" s="15"/>
      <c r="M305" s="17"/>
      <c r="N305" s="14"/>
      <c r="O305" s="15"/>
      <c r="P305" s="14"/>
      <c r="Q305" s="16"/>
      <c r="R305" s="13" t="str">
        <f aca="false">IF(AND(B305&lt;&gt;"",L305&lt;&gt;""),L305-B305,"")</f>
        <v/>
      </c>
      <c r="S305" s="13" t="str">
        <f aca="true">IF(B305="","",IF(O305&lt;&gt;"",O305-B305,TODAY()-B305))</f>
        <v/>
      </c>
      <c r="T305" s="13" t="str">
        <f aca="false">IF(A305="","",SUMIF('Time Log'!$C$5:$C$1004,A305,'Time Log'!$E$5:$E$1004))</f>
        <v/>
      </c>
    </row>
    <row r="306" customFormat="false" ht="15" hidden="false" customHeight="false" outlineLevel="0" collapsed="false">
      <c r="A306" s="14"/>
      <c r="B306" s="15"/>
      <c r="C306" s="14"/>
      <c r="D306" s="14"/>
      <c r="E306" s="14"/>
      <c r="F306" s="14"/>
      <c r="G306" s="14"/>
      <c r="H306" s="14"/>
      <c r="I306" s="16"/>
      <c r="J306" s="17"/>
      <c r="K306" s="14"/>
      <c r="L306" s="15"/>
      <c r="M306" s="17"/>
      <c r="N306" s="14"/>
      <c r="O306" s="15"/>
      <c r="P306" s="14"/>
      <c r="Q306" s="16"/>
      <c r="R306" s="13" t="str">
        <f aca="false">IF(AND(B306&lt;&gt;"",L306&lt;&gt;""),L306-B306,"")</f>
        <v/>
      </c>
      <c r="S306" s="13" t="str">
        <f aca="true">IF(B306="","",IF(O306&lt;&gt;"",O306-B306,TODAY()-B306))</f>
        <v/>
      </c>
      <c r="T306" s="13" t="str">
        <f aca="false">IF(A306="","",SUMIF('Time Log'!$C$5:$C$1004,A306,'Time Log'!$E$5:$E$1004))</f>
        <v/>
      </c>
    </row>
    <row r="307" customFormat="false" ht="15" hidden="false" customHeight="false" outlineLevel="0" collapsed="false">
      <c r="A307" s="14"/>
      <c r="B307" s="15"/>
      <c r="C307" s="14"/>
      <c r="D307" s="14"/>
      <c r="E307" s="14"/>
      <c r="F307" s="14"/>
      <c r="G307" s="14"/>
      <c r="H307" s="14"/>
      <c r="I307" s="16"/>
      <c r="J307" s="17"/>
      <c r="K307" s="14"/>
      <c r="L307" s="15"/>
      <c r="M307" s="17"/>
      <c r="N307" s="14"/>
      <c r="O307" s="15"/>
      <c r="P307" s="14"/>
      <c r="Q307" s="16"/>
      <c r="R307" s="13" t="str">
        <f aca="false">IF(AND(B307&lt;&gt;"",L307&lt;&gt;""),L307-B307,"")</f>
        <v/>
      </c>
      <c r="S307" s="13" t="str">
        <f aca="true">IF(B307="","",IF(O307&lt;&gt;"",O307-B307,TODAY()-B307))</f>
        <v/>
      </c>
      <c r="T307" s="13" t="str">
        <f aca="false">IF(A307="","",SUMIF('Time Log'!$C$5:$C$1004,A307,'Time Log'!$E$5:$E$1004))</f>
        <v/>
      </c>
    </row>
    <row r="308" customFormat="false" ht="15" hidden="false" customHeight="false" outlineLevel="0" collapsed="false">
      <c r="A308" s="14"/>
      <c r="B308" s="15"/>
      <c r="C308" s="14"/>
      <c r="D308" s="14"/>
      <c r="E308" s="14"/>
      <c r="F308" s="14"/>
      <c r="G308" s="14"/>
      <c r="H308" s="14"/>
      <c r="I308" s="16"/>
      <c r="J308" s="17"/>
      <c r="K308" s="14"/>
      <c r="L308" s="15"/>
      <c r="M308" s="17"/>
      <c r="N308" s="14"/>
      <c r="O308" s="15"/>
      <c r="P308" s="14"/>
      <c r="Q308" s="16"/>
      <c r="R308" s="13" t="str">
        <f aca="false">IF(AND(B308&lt;&gt;"",L308&lt;&gt;""),L308-B308,"")</f>
        <v/>
      </c>
      <c r="S308" s="13" t="str">
        <f aca="true">IF(B308="","",IF(O308&lt;&gt;"",O308-B308,TODAY()-B308))</f>
        <v/>
      </c>
      <c r="T308" s="13" t="str">
        <f aca="false">IF(A308="","",SUMIF('Time Log'!$C$5:$C$1004,A308,'Time Log'!$E$5:$E$1004))</f>
        <v/>
      </c>
    </row>
    <row r="309" customFormat="false" ht="15" hidden="false" customHeight="false" outlineLevel="0" collapsed="false">
      <c r="A309" s="14"/>
      <c r="B309" s="15"/>
      <c r="C309" s="14"/>
      <c r="D309" s="14"/>
      <c r="E309" s="14"/>
      <c r="F309" s="14"/>
      <c r="G309" s="14"/>
      <c r="H309" s="14"/>
      <c r="I309" s="16"/>
      <c r="J309" s="17"/>
      <c r="K309" s="14"/>
      <c r="L309" s="15"/>
      <c r="M309" s="17"/>
      <c r="N309" s="14"/>
      <c r="O309" s="15"/>
      <c r="P309" s="14"/>
      <c r="Q309" s="16"/>
      <c r="R309" s="13" t="str">
        <f aca="false">IF(AND(B309&lt;&gt;"",L309&lt;&gt;""),L309-B309,"")</f>
        <v/>
      </c>
      <c r="S309" s="13" t="str">
        <f aca="true">IF(B309="","",IF(O309&lt;&gt;"",O309-B309,TODAY()-B309))</f>
        <v/>
      </c>
      <c r="T309" s="13" t="str">
        <f aca="false">IF(A309="","",SUMIF('Time Log'!$C$5:$C$1004,A309,'Time Log'!$E$5:$E$1004))</f>
        <v/>
      </c>
    </row>
    <row r="310" customFormat="false" ht="15" hidden="false" customHeight="false" outlineLevel="0" collapsed="false">
      <c r="A310" s="14"/>
      <c r="B310" s="15"/>
      <c r="C310" s="14"/>
      <c r="D310" s="14"/>
      <c r="E310" s="14"/>
      <c r="F310" s="14"/>
      <c r="G310" s="14"/>
      <c r="H310" s="14"/>
      <c r="I310" s="16"/>
      <c r="J310" s="17"/>
      <c r="K310" s="14"/>
      <c r="L310" s="15"/>
      <c r="M310" s="17"/>
      <c r="N310" s="14"/>
      <c r="O310" s="15"/>
      <c r="P310" s="14"/>
      <c r="Q310" s="16"/>
      <c r="R310" s="13" t="str">
        <f aca="false">IF(AND(B310&lt;&gt;"",L310&lt;&gt;""),L310-B310,"")</f>
        <v/>
      </c>
      <c r="S310" s="13" t="str">
        <f aca="true">IF(B310="","",IF(O310&lt;&gt;"",O310-B310,TODAY()-B310))</f>
        <v/>
      </c>
      <c r="T310" s="13" t="str">
        <f aca="false">IF(A310="","",SUMIF('Time Log'!$C$5:$C$1004,A310,'Time Log'!$E$5:$E$1004))</f>
        <v/>
      </c>
    </row>
    <row r="311" customFormat="false" ht="15" hidden="false" customHeight="false" outlineLevel="0" collapsed="false">
      <c r="A311" s="14"/>
      <c r="B311" s="15"/>
      <c r="C311" s="14"/>
      <c r="D311" s="14"/>
      <c r="E311" s="14"/>
      <c r="F311" s="14"/>
      <c r="G311" s="14"/>
      <c r="H311" s="14"/>
      <c r="I311" s="16"/>
      <c r="J311" s="17"/>
      <c r="K311" s="14"/>
      <c r="L311" s="15"/>
      <c r="M311" s="17"/>
      <c r="N311" s="14"/>
      <c r="O311" s="15"/>
      <c r="P311" s="14"/>
      <c r="Q311" s="16"/>
      <c r="R311" s="13" t="str">
        <f aca="false">IF(AND(B311&lt;&gt;"",L311&lt;&gt;""),L311-B311,"")</f>
        <v/>
      </c>
      <c r="S311" s="13" t="str">
        <f aca="true">IF(B311="","",IF(O311&lt;&gt;"",O311-B311,TODAY()-B311))</f>
        <v/>
      </c>
      <c r="T311" s="13" t="str">
        <f aca="false">IF(A311="","",SUMIF('Time Log'!$C$5:$C$1004,A311,'Time Log'!$E$5:$E$1004))</f>
        <v/>
      </c>
    </row>
    <row r="312" customFormat="false" ht="15" hidden="false" customHeight="false" outlineLevel="0" collapsed="false">
      <c r="A312" s="14"/>
      <c r="B312" s="15"/>
      <c r="C312" s="14"/>
      <c r="D312" s="14"/>
      <c r="E312" s="14"/>
      <c r="F312" s="14"/>
      <c r="G312" s="14"/>
      <c r="H312" s="14"/>
      <c r="I312" s="16"/>
      <c r="J312" s="17"/>
      <c r="K312" s="14"/>
      <c r="L312" s="15"/>
      <c r="M312" s="17"/>
      <c r="N312" s="14"/>
      <c r="O312" s="15"/>
      <c r="P312" s="14"/>
      <c r="Q312" s="16"/>
      <c r="R312" s="13" t="str">
        <f aca="false">IF(AND(B312&lt;&gt;"",L312&lt;&gt;""),L312-B312,"")</f>
        <v/>
      </c>
      <c r="S312" s="13" t="str">
        <f aca="true">IF(B312="","",IF(O312&lt;&gt;"",O312-B312,TODAY()-B312))</f>
        <v/>
      </c>
      <c r="T312" s="13" t="str">
        <f aca="false">IF(A312="","",SUMIF('Time Log'!$C$5:$C$1004,A312,'Time Log'!$E$5:$E$1004))</f>
        <v/>
      </c>
    </row>
    <row r="313" customFormat="false" ht="15" hidden="false" customHeight="false" outlineLevel="0" collapsed="false">
      <c r="A313" s="14"/>
      <c r="B313" s="15"/>
      <c r="C313" s="14"/>
      <c r="D313" s="14"/>
      <c r="E313" s="14"/>
      <c r="F313" s="14"/>
      <c r="G313" s="14"/>
      <c r="H313" s="14"/>
      <c r="I313" s="16"/>
      <c r="J313" s="17"/>
      <c r="K313" s="14"/>
      <c r="L313" s="15"/>
      <c r="M313" s="17"/>
      <c r="N313" s="14"/>
      <c r="O313" s="15"/>
      <c r="P313" s="14"/>
      <c r="Q313" s="16"/>
      <c r="R313" s="13" t="str">
        <f aca="false">IF(AND(B313&lt;&gt;"",L313&lt;&gt;""),L313-B313,"")</f>
        <v/>
      </c>
      <c r="S313" s="13" t="str">
        <f aca="true">IF(B313="","",IF(O313&lt;&gt;"",O313-B313,TODAY()-B313))</f>
        <v/>
      </c>
      <c r="T313" s="13" t="str">
        <f aca="false">IF(A313="","",SUMIF('Time Log'!$C$5:$C$1004,A313,'Time Log'!$E$5:$E$1004))</f>
        <v/>
      </c>
    </row>
    <row r="314" customFormat="false" ht="15" hidden="false" customHeight="false" outlineLevel="0" collapsed="false">
      <c r="A314" s="14"/>
      <c r="B314" s="15"/>
      <c r="C314" s="14"/>
      <c r="D314" s="14"/>
      <c r="E314" s="14"/>
      <c r="F314" s="14"/>
      <c r="G314" s="14"/>
      <c r="H314" s="14"/>
      <c r="I314" s="16"/>
      <c r="J314" s="17"/>
      <c r="K314" s="14"/>
      <c r="L314" s="15"/>
      <c r="M314" s="17"/>
      <c r="N314" s="14"/>
      <c r="O314" s="15"/>
      <c r="P314" s="14"/>
      <c r="Q314" s="16"/>
      <c r="R314" s="13" t="str">
        <f aca="false">IF(AND(B314&lt;&gt;"",L314&lt;&gt;""),L314-B314,"")</f>
        <v/>
      </c>
      <c r="S314" s="13" t="str">
        <f aca="true">IF(B314="","",IF(O314&lt;&gt;"",O314-B314,TODAY()-B314))</f>
        <v/>
      </c>
      <c r="T314" s="13" t="str">
        <f aca="false">IF(A314="","",SUMIF('Time Log'!$C$5:$C$1004,A314,'Time Log'!$E$5:$E$1004))</f>
        <v/>
      </c>
    </row>
    <row r="315" customFormat="false" ht="15" hidden="false" customHeight="false" outlineLevel="0" collapsed="false">
      <c r="A315" s="14"/>
      <c r="B315" s="15"/>
      <c r="C315" s="14"/>
      <c r="D315" s="14"/>
      <c r="E315" s="14"/>
      <c r="F315" s="14"/>
      <c r="G315" s="14"/>
      <c r="H315" s="14"/>
      <c r="I315" s="16"/>
      <c r="J315" s="17"/>
      <c r="K315" s="14"/>
      <c r="L315" s="15"/>
      <c r="M315" s="17"/>
      <c r="N315" s="14"/>
      <c r="O315" s="15"/>
      <c r="P315" s="14"/>
      <c r="Q315" s="16"/>
      <c r="R315" s="13" t="str">
        <f aca="false">IF(AND(B315&lt;&gt;"",L315&lt;&gt;""),L315-B315,"")</f>
        <v/>
      </c>
      <c r="S315" s="13" t="str">
        <f aca="true">IF(B315="","",IF(O315&lt;&gt;"",O315-B315,TODAY()-B315))</f>
        <v/>
      </c>
      <c r="T315" s="13" t="str">
        <f aca="false">IF(A315="","",SUMIF('Time Log'!$C$5:$C$1004,A315,'Time Log'!$E$5:$E$1004))</f>
        <v/>
      </c>
    </row>
    <row r="316" customFormat="false" ht="15" hidden="false" customHeight="false" outlineLevel="0" collapsed="false">
      <c r="A316" s="14"/>
      <c r="B316" s="15"/>
      <c r="C316" s="14"/>
      <c r="D316" s="14"/>
      <c r="E316" s="14"/>
      <c r="F316" s="14"/>
      <c r="G316" s="14"/>
      <c r="H316" s="14"/>
      <c r="I316" s="16"/>
      <c r="J316" s="17"/>
      <c r="K316" s="14"/>
      <c r="L316" s="15"/>
      <c r="M316" s="17"/>
      <c r="N316" s="14"/>
      <c r="O316" s="15"/>
      <c r="P316" s="14"/>
      <c r="Q316" s="16"/>
      <c r="R316" s="13" t="str">
        <f aca="false">IF(AND(B316&lt;&gt;"",L316&lt;&gt;""),L316-B316,"")</f>
        <v/>
      </c>
      <c r="S316" s="13" t="str">
        <f aca="true">IF(B316="","",IF(O316&lt;&gt;"",O316-B316,TODAY()-B316))</f>
        <v/>
      </c>
      <c r="T316" s="13" t="str">
        <f aca="false">IF(A316="","",SUMIF('Time Log'!$C$5:$C$1004,A316,'Time Log'!$E$5:$E$1004))</f>
        <v/>
      </c>
    </row>
    <row r="317" customFormat="false" ht="15" hidden="false" customHeight="false" outlineLevel="0" collapsed="false">
      <c r="A317" s="14"/>
      <c r="B317" s="15"/>
      <c r="C317" s="14"/>
      <c r="D317" s="14"/>
      <c r="E317" s="14"/>
      <c r="F317" s="14"/>
      <c r="G317" s="14"/>
      <c r="H317" s="14"/>
      <c r="I317" s="16"/>
      <c r="J317" s="17"/>
      <c r="K317" s="14"/>
      <c r="L317" s="15"/>
      <c r="M317" s="17"/>
      <c r="N317" s="14"/>
      <c r="O317" s="15"/>
      <c r="P317" s="14"/>
      <c r="Q317" s="16"/>
      <c r="R317" s="13" t="str">
        <f aca="false">IF(AND(B317&lt;&gt;"",L317&lt;&gt;""),L317-B317,"")</f>
        <v/>
      </c>
      <c r="S317" s="13" t="str">
        <f aca="true">IF(B317="","",IF(O317&lt;&gt;"",O317-B317,TODAY()-B317))</f>
        <v/>
      </c>
      <c r="T317" s="13" t="str">
        <f aca="false">IF(A317="","",SUMIF('Time Log'!$C$5:$C$1004,A317,'Time Log'!$E$5:$E$1004))</f>
        <v/>
      </c>
    </row>
    <row r="318" customFormat="false" ht="15" hidden="false" customHeight="false" outlineLevel="0" collapsed="false">
      <c r="A318" s="14"/>
      <c r="B318" s="15"/>
      <c r="C318" s="14"/>
      <c r="D318" s="14"/>
      <c r="E318" s="14"/>
      <c r="F318" s="14"/>
      <c r="G318" s="14"/>
      <c r="H318" s="14"/>
      <c r="I318" s="16"/>
      <c r="J318" s="17"/>
      <c r="K318" s="14"/>
      <c r="L318" s="15"/>
      <c r="M318" s="17"/>
      <c r="N318" s="14"/>
      <c r="O318" s="15"/>
      <c r="P318" s="14"/>
      <c r="Q318" s="16"/>
      <c r="R318" s="13" t="str">
        <f aca="false">IF(AND(B318&lt;&gt;"",L318&lt;&gt;""),L318-B318,"")</f>
        <v/>
      </c>
      <c r="S318" s="13" t="str">
        <f aca="true">IF(B318="","",IF(O318&lt;&gt;"",O318-B318,TODAY()-B318))</f>
        <v/>
      </c>
      <c r="T318" s="13" t="str">
        <f aca="false">IF(A318="","",SUMIF('Time Log'!$C$5:$C$1004,A318,'Time Log'!$E$5:$E$1004))</f>
        <v/>
      </c>
    </row>
    <row r="319" customFormat="false" ht="15" hidden="false" customHeight="false" outlineLevel="0" collapsed="false">
      <c r="A319" s="14"/>
      <c r="B319" s="15"/>
      <c r="C319" s="14"/>
      <c r="D319" s="14"/>
      <c r="E319" s="14"/>
      <c r="F319" s="14"/>
      <c r="G319" s="14"/>
      <c r="H319" s="14"/>
      <c r="I319" s="16"/>
      <c r="J319" s="17"/>
      <c r="K319" s="14"/>
      <c r="L319" s="15"/>
      <c r="M319" s="17"/>
      <c r="N319" s="14"/>
      <c r="O319" s="15"/>
      <c r="P319" s="14"/>
      <c r="Q319" s="16"/>
      <c r="R319" s="13" t="str">
        <f aca="false">IF(AND(B319&lt;&gt;"",L319&lt;&gt;""),L319-B319,"")</f>
        <v/>
      </c>
      <c r="S319" s="13" t="str">
        <f aca="true">IF(B319="","",IF(O319&lt;&gt;"",O319-B319,TODAY()-B319))</f>
        <v/>
      </c>
      <c r="T319" s="13" t="str">
        <f aca="false">IF(A319="","",SUMIF('Time Log'!$C$5:$C$1004,A319,'Time Log'!$E$5:$E$1004))</f>
        <v/>
      </c>
    </row>
    <row r="320" customFormat="false" ht="15" hidden="false" customHeight="false" outlineLevel="0" collapsed="false">
      <c r="A320" s="14"/>
      <c r="B320" s="15"/>
      <c r="C320" s="14"/>
      <c r="D320" s="14"/>
      <c r="E320" s="14"/>
      <c r="F320" s="14"/>
      <c r="G320" s="14"/>
      <c r="H320" s="14"/>
      <c r="I320" s="16"/>
      <c r="J320" s="17"/>
      <c r="K320" s="14"/>
      <c r="L320" s="15"/>
      <c r="M320" s="17"/>
      <c r="N320" s="14"/>
      <c r="O320" s="15"/>
      <c r="P320" s="14"/>
      <c r="Q320" s="16"/>
      <c r="R320" s="13" t="str">
        <f aca="false">IF(AND(B320&lt;&gt;"",L320&lt;&gt;""),L320-B320,"")</f>
        <v/>
      </c>
      <c r="S320" s="13" t="str">
        <f aca="true">IF(B320="","",IF(O320&lt;&gt;"",O320-B320,TODAY()-B320))</f>
        <v/>
      </c>
      <c r="T320" s="13" t="str">
        <f aca="false">IF(A320="","",SUMIF('Time Log'!$C$5:$C$1004,A320,'Time Log'!$E$5:$E$1004))</f>
        <v/>
      </c>
    </row>
    <row r="321" customFormat="false" ht="15" hidden="false" customHeight="false" outlineLevel="0" collapsed="false">
      <c r="A321" s="14"/>
      <c r="B321" s="15"/>
      <c r="C321" s="14"/>
      <c r="D321" s="14"/>
      <c r="E321" s="14"/>
      <c r="F321" s="14"/>
      <c r="G321" s="14"/>
      <c r="H321" s="14"/>
      <c r="I321" s="16"/>
      <c r="J321" s="17"/>
      <c r="K321" s="14"/>
      <c r="L321" s="15"/>
      <c r="M321" s="17"/>
      <c r="N321" s="14"/>
      <c r="O321" s="15"/>
      <c r="P321" s="14"/>
      <c r="Q321" s="16"/>
      <c r="R321" s="13" t="str">
        <f aca="false">IF(AND(B321&lt;&gt;"",L321&lt;&gt;""),L321-B321,"")</f>
        <v/>
      </c>
      <c r="S321" s="13" t="str">
        <f aca="true">IF(B321="","",IF(O321&lt;&gt;"",O321-B321,TODAY()-B321))</f>
        <v/>
      </c>
      <c r="T321" s="13" t="str">
        <f aca="false">IF(A321="","",SUMIF('Time Log'!$C$5:$C$1004,A321,'Time Log'!$E$5:$E$1004))</f>
        <v/>
      </c>
    </row>
    <row r="322" customFormat="false" ht="15" hidden="false" customHeight="false" outlineLevel="0" collapsed="false">
      <c r="A322" s="14"/>
      <c r="B322" s="15"/>
      <c r="C322" s="14"/>
      <c r="D322" s="14"/>
      <c r="E322" s="14"/>
      <c r="F322" s="14"/>
      <c r="G322" s="14"/>
      <c r="H322" s="14"/>
      <c r="I322" s="16"/>
      <c r="J322" s="17"/>
      <c r="K322" s="14"/>
      <c r="L322" s="15"/>
      <c r="M322" s="17"/>
      <c r="N322" s="14"/>
      <c r="O322" s="15"/>
      <c r="P322" s="14"/>
      <c r="Q322" s="16"/>
      <c r="R322" s="13" t="str">
        <f aca="false">IF(AND(B322&lt;&gt;"",L322&lt;&gt;""),L322-B322,"")</f>
        <v/>
      </c>
      <c r="S322" s="13" t="str">
        <f aca="true">IF(B322="","",IF(O322&lt;&gt;"",O322-B322,TODAY()-B322))</f>
        <v/>
      </c>
      <c r="T322" s="13" t="str">
        <f aca="false">IF(A322="","",SUMIF('Time Log'!$C$5:$C$1004,A322,'Time Log'!$E$5:$E$1004))</f>
        <v/>
      </c>
    </row>
    <row r="323" customFormat="false" ht="15" hidden="false" customHeight="false" outlineLevel="0" collapsed="false">
      <c r="A323" s="14"/>
      <c r="B323" s="15"/>
      <c r="C323" s="14"/>
      <c r="D323" s="14"/>
      <c r="E323" s="14"/>
      <c r="F323" s="14"/>
      <c r="G323" s="14"/>
      <c r="H323" s="14"/>
      <c r="I323" s="16"/>
      <c r="J323" s="17"/>
      <c r="K323" s="14"/>
      <c r="L323" s="15"/>
      <c r="M323" s="17"/>
      <c r="N323" s="14"/>
      <c r="O323" s="15"/>
      <c r="P323" s="14"/>
      <c r="Q323" s="16"/>
      <c r="R323" s="13" t="str">
        <f aca="false">IF(AND(B323&lt;&gt;"",L323&lt;&gt;""),L323-B323,"")</f>
        <v/>
      </c>
      <c r="S323" s="13" t="str">
        <f aca="true">IF(B323="","",IF(O323&lt;&gt;"",O323-B323,TODAY()-B323))</f>
        <v/>
      </c>
      <c r="T323" s="13" t="str">
        <f aca="false">IF(A323="","",SUMIF('Time Log'!$C$5:$C$1004,A323,'Time Log'!$E$5:$E$1004))</f>
        <v/>
      </c>
    </row>
    <row r="324" customFormat="false" ht="15" hidden="false" customHeight="false" outlineLevel="0" collapsed="false">
      <c r="A324" s="14"/>
      <c r="B324" s="15"/>
      <c r="C324" s="14"/>
      <c r="D324" s="14"/>
      <c r="E324" s="14"/>
      <c r="F324" s="14"/>
      <c r="G324" s="14"/>
      <c r="H324" s="14"/>
      <c r="I324" s="16"/>
      <c r="J324" s="17"/>
      <c r="K324" s="14"/>
      <c r="L324" s="15"/>
      <c r="M324" s="17"/>
      <c r="N324" s="14"/>
      <c r="O324" s="15"/>
      <c r="P324" s="14"/>
      <c r="Q324" s="16"/>
      <c r="R324" s="13" t="str">
        <f aca="false">IF(AND(B324&lt;&gt;"",L324&lt;&gt;""),L324-B324,"")</f>
        <v/>
      </c>
      <c r="S324" s="13" t="str">
        <f aca="true">IF(B324="","",IF(O324&lt;&gt;"",O324-B324,TODAY()-B324))</f>
        <v/>
      </c>
      <c r="T324" s="13" t="str">
        <f aca="false">IF(A324="","",SUMIF('Time Log'!$C$5:$C$1004,A324,'Time Log'!$E$5:$E$1004))</f>
        <v/>
      </c>
    </row>
    <row r="325" customFormat="false" ht="15" hidden="false" customHeight="false" outlineLevel="0" collapsed="false">
      <c r="A325" s="14"/>
      <c r="B325" s="15"/>
      <c r="C325" s="14"/>
      <c r="D325" s="14"/>
      <c r="E325" s="14"/>
      <c r="F325" s="14"/>
      <c r="G325" s="14"/>
      <c r="H325" s="14"/>
      <c r="I325" s="16"/>
      <c r="J325" s="17"/>
      <c r="K325" s="14"/>
      <c r="L325" s="15"/>
      <c r="M325" s="17"/>
      <c r="N325" s="14"/>
      <c r="O325" s="15"/>
      <c r="P325" s="14"/>
      <c r="Q325" s="16"/>
      <c r="R325" s="13" t="str">
        <f aca="false">IF(AND(B325&lt;&gt;"",L325&lt;&gt;""),L325-B325,"")</f>
        <v/>
      </c>
      <c r="S325" s="13" t="str">
        <f aca="true">IF(B325="","",IF(O325&lt;&gt;"",O325-B325,TODAY()-B325))</f>
        <v/>
      </c>
      <c r="T325" s="13" t="str">
        <f aca="false">IF(A325="","",SUMIF('Time Log'!$C$5:$C$1004,A325,'Time Log'!$E$5:$E$1004))</f>
        <v/>
      </c>
    </row>
    <row r="326" customFormat="false" ht="15" hidden="false" customHeight="false" outlineLevel="0" collapsed="false">
      <c r="A326" s="14"/>
      <c r="B326" s="15"/>
      <c r="C326" s="14"/>
      <c r="D326" s="14"/>
      <c r="E326" s="14"/>
      <c r="F326" s="14"/>
      <c r="G326" s="14"/>
      <c r="H326" s="14"/>
      <c r="I326" s="16"/>
      <c r="J326" s="17"/>
      <c r="K326" s="14"/>
      <c r="L326" s="15"/>
      <c r="M326" s="17"/>
      <c r="N326" s="14"/>
      <c r="O326" s="15"/>
      <c r="P326" s="14"/>
      <c r="Q326" s="16"/>
      <c r="R326" s="13" t="str">
        <f aca="false">IF(AND(B326&lt;&gt;"",L326&lt;&gt;""),L326-B326,"")</f>
        <v/>
      </c>
      <c r="S326" s="13" t="str">
        <f aca="true">IF(B326="","",IF(O326&lt;&gt;"",O326-B326,TODAY()-B326))</f>
        <v/>
      </c>
      <c r="T326" s="13" t="str">
        <f aca="false">IF(A326="","",SUMIF('Time Log'!$C$5:$C$1004,A326,'Time Log'!$E$5:$E$1004))</f>
        <v/>
      </c>
    </row>
    <row r="327" customFormat="false" ht="15" hidden="false" customHeight="false" outlineLevel="0" collapsed="false">
      <c r="A327" s="14"/>
      <c r="B327" s="15"/>
      <c r="C327" s="14"/>
      <c r="D327" s="14"/>
      <c r="E327" s="14"/>
      <c r="F327" s="14"/>
      <c r="G327" s="14"/>
      <c r="H327" s="14"/>
      <c r="I327" s="16"/>
      <c r="J327" s="17"/>
      <c r="K327" s="14"/>
      <c r="L327" s="15"/>
      <c r="M327" s="17"/>
      <c r="N327" s="14"/>
      <c r="O327" s="15"/>
      <c r="P327" s="14"/>
      <c r="Q327" s="16"/>
      <c r="R327" s="13" t="str">
        <f aca="false">IF(AND(B327&lt;&gt;"",L327&lt;&gt;""),L327-B327,"")</f>
        <v/>
      </c>
      <c r="S327" s="13" t="str">
        <f aca="true">IF(B327="","",IF(O327&lt;&gt;"",O327-B327,TODAY()-B327))</f>
        <v/>
      </c>
      <c r="T327" s="13" t="str">
        <f aca="false">IF(A327="","",SUMIF('Time Log'!$C$5:$C$1004,A327,'Time Log'!$E$5:$E$1004))</f>
        <v/>
      </c>
    </row>
    <row r="328" customFormat="false" ht="15" hidden="false" customHeight="false" outlineLevel="0" collapsed="false">
      <c r="A328" s="14"/>
      <c r="B328" s="15"/>
      <c r="C328" s="14"/>
      <c r="D328" s="14"/>
      <c r="E328" s="14"/>
      <c r="F328" s="14"/>
      <c r="G328" s="14"/>
      <c r="H328" s="14"/>
      <c r="I328" s="16"/>
      <c r="J328" s="17"/>
      <c r="K328" s="14"/>
      <c r="L328" s="15"/>
      <c r="M328" s="17"/>
      <c r="N328" s="14"/>
      <c r="O328" s="15"/>
      <c r="P328" s="14"/>
      <c r="Q328" s="16"/>
      <c r="R328" s="13" t="str">
        <f aca="false">IF(AND(B328&lt;&gt;"",L328&lt;&gt;""),L328-B328,"")</f>
        <v/>
      </c>
      <c r="S328" s="13" t="str">
        <f aca="true">IF(B328="","",IF(O328&lt;&gt;"",O328-B328,TODAY()-B328))</f>
        <v/>
      </c>
      <c r="T328" s="13" t="str">
        <f aca="false">IF(A328="","",SUMIF('Time Log'!$C$5:$C$1004,A328,'Time Log'!$E$5:$E$1004))</f>
        <v/>
      </c>
    </row>
    <row r="329" customFormat="false" ht="15" hidden="false" customHeight="false" outlineLevel="0" collapsed="false">
      <c r="A329" s="14"/>
      <c r="B329" s="15"/>
      <c r="C329" s="14"/>
      <c r="D329" s="14"/>
      <c r="E329" s="14"/>
      <c r="F329" s="14"/>
      <c r="G329" s="14"/>
      <c r="H329" s="14"/>
      <c r="I329" s="16"/>
      <c r="J329" s="17"/>
      <c r="K329" s="14"/>
      <c r="L329" s="15"/>
      <c r="M329" s="17"/>
      <c r="N329" s="14"/>
      <c r="O329" s="15"/>
      <c r="P329" s="14"/>
      <c r="Q329" s="16"/>
      <c r="R329" s="13" t="str">
        <f aca="false">IF(AND(B329&lt;&gt;"",L329&lt;&gt;""),L329-B329,"")</f>
        <v/>
      </c>
      <c r="S329" s="13" t="str">
        <f aca="true">IF(B329="","",IF(O329&lt;&gt;"",O329-B329,TODAY()-B329))</f>
        <v/>
      </c>
      <c r="T329" s="13" t="str">
        <f aca="false">IF(A329="","",SUMIF('Time Log'!$C$5:$C$1004,A329,'Time Log'!$E$5:$E$1004))</f>
        <v/>
      </c>
    </row>
    <row r="330" customFormat="false" ht="15" hidden="false" customHeight="false" outlineLevel="0" collapsed="false">
      <c r="A330" s="14"/>
      <c r="B330" s="15"/>
      <c r="C330" s="14"/>
      <c r="D330" s="14"/>
      <c r="E330" s="14"/>
      <c r="F330" s="14"/>
      <c r="G330" s="14"/>
      <c r="H330" s="14"/>
      <c r="I330" s="16"/>
      <c r="J330" s="17"/>
      <c r="K330" s="14"/>
      <c r="L330" s="15"/>
      <c r="M330" s="17"/>
      <c r="N330" s="14"/>
      <c r="O330" s="15"/>
      <c r="P330" s="14"/>
      <c r="Q330" s="16"/>
      <c r="R330" s="13" t="str">
        <f aca="false">IF(AND(B330&lt;&gt;"",L330&lt;&gt;""),L330-B330,"")</f>
        <v/>
      </c>
      <c r="S330" s="13" t="str">
        <f aca="true">IF(B330="","",IF(O330&lt;&gt;"",O330-B330,TODAY()-B330))</f>
        <v/>
      </c>
      <c r="T330" s="13" t="str">
        <f aca="false">IF(A330="","",SUMIF('Time Log'!$C$5:$C$1004,A330,'Time Log'!$E$5:$E$1004))</f>
        <v/>
      </c>
    </row>
    <row r="331" customFormat="false" ht="15" hidden="false" customHeight="false" outlineLevel="0" collapsed="false">
      <c r="A331" s="14"/>
      <c r="B331" s="15"/>
      <c r="C331" s="14"/>
      <c r="D331" s="14"/>
      <c r="E331" s="14"/>
      <c r="F331" s="14"/>
      <c r="G331" s="14"/>
      <c r="H331" s="14"/>
      <c r="I331" s="16"/>
      <c r="J331" s="17"/>
      <c r="K331" s="14"/>
      <c r="L331" s="15"/>
      <c r="M331" s="17"/>
      <c r="N331" s="14"/>
      <c r="O331" s="15"/>
      <c r="P331" s="14"/>
      <c r="Q331" s="16"/>
      <c r="R331" s="13" t="str">
        <f aca="false">IF(AND(B331&lt;&gt;"",L331&lt;&gt;""),L331-B331,"")</f>
        <v/>
      </c>
      <c r="S331" s="13" t="str">
        <f aca="true">IF(B331="","",IF(O331&lt;&gt;"",O331-B331,TODAY()-B331))</f>
        <v/>
      </c>
      <c r="T331" s="13" t="str">
        <f aca="false">IF(A331="","",SUMIF('Time Log'!$C$5:$C$1004,A331,'Time Log'!$E$5:$E$1004))</f>
        <v/>
      </c>
    </row>
    <row r="332" customFormat="false" ht="15" hidden="false" customHeight="false" outlineLevel="0" collapsed="false">
      <c r="A332" s="14"/>
      <c r="B332" s="15"/>
      <c r="C332" s="14"/>
      <c r="D332" s="14"/>
      <c r="E332" s="14"/>
      <c r="F332" s="14"/>
      <c r="G332" s="14"/>
      <c r="H332" s="14"/>
      <c r="I332" s="16"/>
      <c r="J332" s="17"/>
      <c r="K332" s="14"/>
      <c r="L332" s="15"/>
      <c r="M332" s="17"/>
      <c r="N332" s="14"/>
      <c r="O332" s="15"/>
      <c r="P332" s="14"/>
      <c r="Q332" s="16"/>
      <c r="R332" s="13" t="str">
        <f aca="false">IF(AND(B332&lt;&gt;"",L332&lt;&gt;""),L332-B332,"")</f>
        <v/>
      </c>
      <c r="S332" s="13" t="str">
        <f aca="true">IF(B332="","",IF(O332&lt;&gt;"",O332-B332,TODAY()-B332))</f>
        <v/>
      </c>
      <c r="T332" s="13" t="str">
        <f aca="false">IF(A332="","",SUMIF('Time Log'!$C$5:$C$1004,A332,'Time Log'!$E$5:$E$1004))</f>
        <v/>
      </c>
    </row>
    <row r="333" customFormat="false" ht="15" hidden="false" customHeight="false" outlineLevel="0" collapsed="false">
      <c r="A333" s="14"/>
      <c r="B333" s="15"/>
      <c r="C333" s="14"/>
      <c r="D333" s="14"/>
      <c r="E333" s="14"/>
      <c r="F333" s="14"/>
      <c r="G333" s="14"/>
      <c r="H333" s="14"/>
      <c r="I333" s="16"/>
      <c r="J333" s="17"/>
      <c r="K333" s="14"/>
      <c r="L333" s="15"/>
      <c r="M333" s="17"/>
      <c r="N333" s="14"/>
      <c r="O333" s="15"/>
      <c r="P333" s="14"/>
      <c r="Q333" s="16"/>
      <c r="R333" s="13" t="str">
        <f aca="false">IF(AND(B333&lt;&gt;"",L333&lt;&gt;""),L333-B333,"")</f>
        <v/>
      </c>
      <c r="S333" s="13" t="str">
        <f aca="true">IF(B333="","",IF(O333&lt;&gt;"",O333-B333,TODAY()-B333))</f>
        <v/>
      </c>
      <c r="T333" s="13" t="str">
        <f aca="false">IF(A333="","",SUMIF('Time Log'!$C$5:$C$1004,A333,'Time Log'!$E$5:$E$1004))</f>
        <v/>
      </c>
    </row>
    <row r="334" customFormat="false" ht="15" hidden="false" customHeight="false" outlineLevel="0" collapsed="false">
      <c r="A334" s="14"/>
      <c r="B334" s="15"/>
      <c r="C334" s="14"/>
      <c r="D334" s="14"/>
      <c r="E334" s="14"/>
      <c r="F334" s="14"/>
      <c r="G334" s="14"/>
      <c r="H334" s="14"/>
      <c r="I334" s="16"/>
      <c r="J334" s="17"/>
      <c r="K334" s="14"/>
      <c r="L334" s="15"/>
      <c r="M334" s="17"/>
      <c r="N334" s="14"/>
      <c r="O334" s="15"/>
      <c r="P334" s="14"/>
      <c r="Q334" s="16"/>
      <c r="R334" s="13" t="str">
        <f aca="false">IF(AND(B334&lt;&gt;"",L334&lt;&gt;""),L334-B334,"")</f>
        <v/>
      </c>
      <c r="S334" s="13" t="str">
        <f aca="true">IF(B334="","",IF(O334&lt;&gt;"",O334-B334,TODAY()-B334))</f>
        <v/>
      </c>
      <c r="T334" s="13" t="str">
        <f aca="false">IF(A334="","",SUMIF('Time Log'!$C$5:$C$1004,A334,'Time Log'!$E$5:$E$1004))</f>
        <v/>
      </c>
    </row>
    <row r="335" customFormat="false" ht="15" hidden="false" customHeight="false" outlineLevel="0" collapsed="false">
      <c r="A335" s="14"/>
      <c r="B335" s="15"/>
      <c r="C335" s="14"/>
      <c r="D335" s="14"/>
      <c r="E335" s="14"/>
      <c r="F335" s="14"/>
      <c r="G335" s="14"/>
      <c r="H335" s="14"/>
      <c r="I335" s="16"/>
      <c r="J335" s="17"/>
      <c r="K335" s="14"/>
      <c r="L335" s="15"/>
      <c r="M335" s="17"/>
      <c r="N335" s="14"/>
      <c r="O335" s="15"/>
      <c r="P335" s="14"/>
      <c r="Q335" s="16"/>
      <c r="R335" s="13" t="str">
        <f aca="false">IF(AND(B335&lt;&gt;"",L335&lt;&gt;""),L335-B335,"")</f>
        <v/>
      </c>
      <c r="S335" s="13" t="str">
        <f aca="true">IF(B335="","",IF(O335&lt;&gt;"",O335-B335,TODAY()-B335))</f>
        <v/>
      </c>
      <c r="T335" s="13" t="str">
        <f aca="false">IF(A335="","",SUMIF('Time Log'!$C$5:$C$1004,A335,'Time Log'!$E$5:$E$1004))</f>
        <v/>
      </c>
    </row>
    <row r="336" customFormat="false" ht="15" hidden="false" customHeight="false" outlineLevel="0" collapsed="false">
      <c r="A336" s="14"/>
      <c r="B336" s="15"/>
      <c r="C336" s="14"/>
      <c r="D336" s="14"/>
      <c r="E336" s="14"/>
      <c r="F336" s="14"/>
      <c r="G336" s="14"/>
      <c r="H336" s="14"/>
      <c r="I336" s="16"/>
      <c r="J336" s="17"/>
      <c r="K336" s="14"/>
      <c r="L336" s="15"/>
      <c r="M336" s="17"/>
      <c r="N336" s="14"/>
      <c r="O336" s="15"/>
      <c r="P336" s="14"/>
      <c r="Q336" s="16"/>
      <c r="R336" s="13" t="str">
        <f aca="false">IF(AND(B336&lt;&gt;"",L336&lt;&gt;""),L336-B336,"")</f>
        <v/>
      </c>
      <c r="S336" s="13" t="str">
        <f aca="true">IF(B336="","",IF(O336&lt;&gt;"",O336-B336,TODAY()-B336))</f>
        <v/>
      </c>
      <c r="T336" s="13" t="str">
        <f aca="false">IF(A336="","",SUMIF('Time Log'!$C$5:$C$1004,A336,'Time Log'!$E$5:$E$1004))</f>
        <v/>
      </c>
    </row>
    <row r="337" customFormat="false" ht="15" hidden="false" customHeight="false" outlineLevel="0" collapsed="false">
      <c r="A337" s="14"/>
      <c r="B337" s="15"/>
      <c r="C337" s="14"/>
      <c r="D337" s="14"/>
      <c r="E337" s="14"/>
      <c r="F337" s="14"/>
      <c r="G337" s="14"/>
      <c r="H337" s="14"/>
      <c r="I337" s="16"/>
      <c r="J337" s="17"/>
      <c r="K337" s="14"/>
      <c r="L337" s="15"/>
      <c r="M337" s="17"/>
      <c r="N337" s="14"/>
      <c r="O337" s="15"/>
      <c r="P337" s="14"/>
      <c r="Q337" s="16"/>
      <c r="R337" s="13" t="str">
        <f aca="false">IF(AND(B337&lt;&gt;"",L337&lt;&gt;""),L337-B337,"")</f>
        <v/>
      </c>
      <c r="S337" s="13" t="str">
        <f aca="true">IF(B337="","",IF(O337&lt;&gt;"",O337-B337,TODAY()-B337))</f>
        <v/>
      </c>
      <c r="T337" s="13" t="str">
        <f aca="false">IF(A337="","",SUMIF('Time Log'!$C$5:$C$1004,A337,'Time Log'!$E$5:$E$1004))</f>
        <v/>
      </c>
    </row>
    <row r="338" customFormat="false" ht="15" hidden="false" customHeight="false" outlineLevel="0" collapsed="false">
      <c r="A338" s="14"/>
      <c r="B338" s="15"/>
      <c r="C338" s="14"/>
      <c r="D338" s="14"/>
      <c r="E338" s="14"/>
      <c r="F338" s="14"/>
      <c r="G338" s="14"/>
      <c r="H338" s="14"/>
      <c r="I338" s="16"/>
      <c r="J338" s="17"/>
      <c r="K338" s="14"/>
      <c r="L338" s="15"/>
      <c r="M338" s="17"/>
      <c r="N338" s="14"/>
      <c r="O338" s="15"/>
      <c r="P338" s="14"/>
      <c r="Q338" s="16"/>
      <c r="R338" s="13" t="str">
        <f aca="false">IF(AND(B338&lt;&gt;"",L338&lt;&gt;""),L338-B338,"")</f>
        <v/>
      </c>
      <c r="S338" s="13" t="str">
        <f aca="true">IF(B338="","",IF(O338&lt;&gt;"",O338-B338,TODAY()-B338))</f>
        <v/>
      </c>
      <c r="T338" s="13" t="str">
        <f aca="false">IF(A338="","",SUMIF('Time Log'!$C$5:$C$1004,A338,'Time Log'!$E$5:$E$1004))</f>
        <v/>
      </c>
    </row>
    <row r="339" customFormat="false" ht="15" hidden="false" customHeight="false" outlineLevel="0" collapsed="false">
      <c r="A339" s="14"/>
      <c r="B339" s="15"/>
      <c r="C339" s="14"/>
      <c r="D339" s="14"/>
      <c r="E339" s="14"/>
      <c r="F339" s="14"/>
      <c r="G339" s="14"/>
      <c r="H339" s="14"/>
      <c r="I339" s="16"/>
      <c r="J339" s="17"/>
      <c r="K339" s="14"/>
      <c r="L339" s="15"/>
      <c r="M339" s="17"/>
      <c r="N339" s="14"/>
      <c r="O339" s="15"/>
      <c r="P339" s="14"/>
      <c r="Q339" s="16"/>
      <c r="R339" s="13" t="str">
        <f aca="false">IF(AND(B339&lt;&gt;"",L339&lt;&gt;""),L339-B339,"")</f>
        <v/>
      </c>
      <c r="S339" s="13" t="str">
        <f aca="true">IF(B339="","",IF(O339&lt;&gt;"",O339-B339,TODAY()-B339))</f>
        <v/>
      </c>
      <c r="T339" s="13" t="str">
        <f aca="false">IF(A339="","",SUMIF('Time Log'!$C$5:$C$1004,A339,'Time Log'!$E$5:$E$1004))</f>
        <v/>
      </c>
    </row>
    <row r="340" customFormat="false" ht="15" hidden="false" customHeight="false" outlineLevel="0" collapsed="false">
      <c r="A340" s="14"/>
      <c r="B340" s="15"/>
      <c r="C340" s="14"/>
      <c r="D340" s="14"/>
      <c r="E340" s="14"/>
      <c r="F340" s="14"/>
      <c r="G340" s="14"/>
      <c r="H340" s="14"/>
      <c r="I340" s="16"/>
      <c r="J340" s="17"/>
      <c r="K340" s="14"/>
      <c r="L340" s="15"/>
      <c r="M340" s="17"/>
      <c r="N340" s="14"/>
      <c r="O340" s="15"/>
      <c r="P340" s="14"/>
      <c r="Q340" s="16"/>
      <c r="R340" s="13" t="str">
        <f aca="false">IF(AND(B340&lt;&gt;"",L340&lt;&gt;""),L340-B340,"")</f>
        <v/>
      </c>
      <c r="S340" s="13" t="str">
        <f aca="true">IF(B340="","",IF(O340&lt;&gt;"",O340-B340,TODAY()-B340))</f>
        <v/>
      </c>
      <c r="T340" s="13" t="str">
        <f aca="false">IF(A340="","",SUMIF('Time Log'!$C$5:$C$1004,A340,'Time Log'!$E$5:$E$1004))</f>
        <v/>
      </c>
    </row>
    <row r="341" customFormat="false" ht="15" hidden="false" customHeight="false" outlineLevel="0" collapsed="false">
      <c r="A341" s="14"/>
      <c r="B341" s="15"/>
      <c r="C341" s="14"/>
      <c r="D341" s="14"/>
      <c r="E341" s="14"/>
      <c r="F341" s="14"/>
      <c r="G341" s="14"/>
      <c r="H341" s="14"/>
      <c r="I341" s="16"/>
      <c r="J341" s="17"/>
      <c r="K341" s="14"/>
      <c r="L341" s="15"/>
      <c r="M341" s="17"/>
      <c r="N341" s="14"/>
      <c r="O341" s="15"/>
      <c r="P341" s="14"/>
      <c r="Q341" s="16"/>
      <c r="R341" s="13" t="str">
        <f aca="false">IF(AND(B341&lt;&gt;"",L341&lt;&gt;""),L341-B341,"")</f>
        <v/>
      </c>
      <c r="S341" s="13" t="str">
        <f aca="true">IF(B341="","",IF(O341&lt;&gt;"",O341-B341,TODAY()-B341))</f>
        <v/>
      </c>
      <c r="T341" s="13" t="str">
        <f aca="false">IF(A341="","",SUMIF('Time Log'!$C$5:$C$1004,A341,'Time Log'!$E$5:$E$1004))</f>
        <v/>
      </c>
    </row>
    <row r="342" customFormat="false" ht="15" hidden="false" customHeight="false" outlineLevel="0" collapsed="false">
      <c r="A342" s="14"/>
      <c r="B342" s="15"/>
      <c r="C342" s="14"/>
      <c r="D342" s="14"/>
      <c r="E342" s="14"/>
      <c r="F342" s="14"/>
      <c r="G342" s="14"/>
      <c r="H342" s="14"/>
      <c r="I342" s="16"/>
      <c r="J342" s="17"/>
      <c r="K342" s="14"/>
      <c r="L342" s="15"/>
      <c r="M342" s="17"/>
      <c r="N342" s="14"/>
      <c r="O342" s="15"/>
      <c r="P342" s="14"/>
      <c r="Q342" s="16"/>
      <c r="R342" s="13" t="str">
        <f aca="false">IF(AND(B342&lt;&gt;"",L342&lt;&gt;""),L342-B342,"")</f>
        <v/>
      </c>
      <c r="S342" s="13" t="str">
        <f aca="true">IF(B342="","",IF(O342&lt;&gt;"",O342-B342,TODAY()-B342))</f>
        <v/>
      </c>
      <c r="T342" s="13" t="str">
        <f aca="false">IF(A342="","",SUMIF('Time Log'!$C$5:$C$1004,A342,'Time Log'!$E$5:$E$1004))</f>
        <v/>
      </c>
    </row>
    <row r="343" customFormat="false" ht="15" hidden="false" customHeight="false" outlineLevel="0" collapsed="false">
      <c r="A343" s="14"/>
      <c r="B343" s="15"/>
      <c r="C343" s="14"/>
      <c r="D343" s="14"/>
      <c r="E343" s="14"/>
      <c r="F343" s="14"/>
      <c r="G343" s="14"/>
      <c r="H343" s="14"/>
      <c r="I343" s="16"/>
      <c r="J343" s="17"/>
      <c r="K343" s="14"/>
      <c r="L343" s="15"/>
      <c r="M343" s="17"/>
      <c r="N343" s="14"/>
      <c r="O343" s="15"/>
      <c r="P343" s="14"/>
      <c r="Q343" s="16"/>
      <c r="R343" s="13" t="str">
        <f aca="false">IF(AND(B343&lt;&gt;"",L343&lt;&gt;""),L343-B343,"")</f>
        <v/>
      </c>
      <c r="S343" s="13" t="str">
        <f aca="true">IF(B343="","",IF(O343&lt;&gt;"",O343-B343,TODAY()-B343))</f>
        <v/>
      </c>
      <c r="T343" s="13" t="str">
        <f aca="false">IF(A343="","",SUMIF('Time Log'!$C$5:$C$1004,A343,'Time Log'!$E$5:$E$1004))</f>
        <v/>
      </c>
    </row>
    <row r="344" customFormat="false" ht="15" hidden="false" customHeight="false" outlineLevel="0" collapsed="false">
      <c r="A344" s="14"/>
      <c r="B344" s="15"/>
      <c r="C344" s="14"/>
      <c r="D344" s="14"/>
      <c r="E344" s="14"/>
      <c r="F344" s="14"/>
      <c r="G344" s="14"/>
      <c r="H344" s="14"/>
      <c r="I344" s="16"/>
      <c r="J344" s="17"/>
      <c r="K344" s="14"/>
      <c r="L344" s="15"/>
      <c r="M344" s="17"/>
      <c r="N344" s="14"/>
      <c r="O344" s="15"/>
      <c r="P344" s="14"/>
      <c r="Q344" s="16"/>
      <c r="R344" s="13" t="str">
        <f aca="false">IF(AND(B344&lt;&gt;"",L344&lt;&gt;""),L344-B344,"")</f>
        <v/>
      </c>
      <c r="S344" s="13" t="str">
        <f aca="true">IF(B344="","",IF(O344&lt;&gt;"",O344-B344,TODAY()-B344))</f>
        <v/>
      </c>
      <c r="T344" s="13" t="str">
        <f aca="false">IF(A344="","",SUMIF('Time Log'!$C$5:$C$1004,A344,'Time Log'!$E$5:$E$1004))</f>
        <v/>
      </c>
    </row>
    <row r="345" customFormat="false" ht="15" hidden="false" customHeight="false" outlineLevel="0" collapsed="false">
      <c r="A345" s="14"/>
      <c r="B345" s="15"/>
      <c r="C345" s="14"/>
      <c r="D345" s="14"/>
      <c r="E345" s="14"/>
      <c r="F345" s="14"/>
      <c r="G345" s="14"/>
      <c r="H345" s="14"/>
      <c r="I345" s="16"/>
      <c r="J345" s="17"/>
      <c r="K345" s="14"/>
      <c r="L345" s="15"/>
      <c r="M345" s="17"/>
      <c r="N345" s="14"/>
      <c r="O345" s="15"/>
      <c r="P345" s="14"/>
      <c r="Q345" s="16"/>
      <c r="R345" s="13" t="str">
        <f aca="false">IF(AND(B345&lt;&gt;"",L345&lt;&gt;""),L345-B345,"")</f>
        <v/>
      </c>
      <c r="S345" s="13" t="str">
        <f aca="true">IF(B345="","",IF(O345&lt;&gt;"",O345-B345,TODAY()-B345))</f>
        <v/>
      </c>
      <c r="T345" s="13" t="str">
        <f aca="false">IF(A345="","",SUMIF('Time Log'!$C$5:$C$1004,A345,'Time Log'!$E$5:$E$1004))</f>
        <v/>
      </c>
    </row>
    <row r="346" customFormat="false" ht="15" hidden="false" customHeight="false" outlineLevel="0" collapsed="false">
      <c r="A346" s="14"/>
      <c r="B346" s="15"/>
      <c r="C346" s="14"/>
      <c r="D346" s="14"/>
      <c r="E346" s="14"/>
      <c r="F346" s="14"/>
      <c r="G346" s="14"/>
      <c r="H346" s="14"/>
      <c r="I346" s="16"/>
      <c r="J346" s="17"/>
      <c r="K346" s="14"/>
      <c r="L346" s="15"/>
      <c r="M346" s="17"/>
      <c r="N346" s="14"/>
      <c r="O346" s="15"/>
      <c r="P346" s="14"/>
      <c r="Q346" s="16"/>
      <c r="R346" s="13" t="str">
        <f aca="false">IF(AND(B346&lt;&gt;"",L346&lt;&gt;""),L346-B346,"")</f>
        <v/>
      </c>
      <c r="S346" s="13" t="str">
        <f aca="true">IF(B346="","",IF(O346&lt;&gt;"",O346-B346,TODAY()-B346))</f>
        <v/>
      </c>
      <c r="T346" s="13" t="str">
        <f aca="false">IF(A346="","",SUMIF('Time Log'!$C$5:$C$1004,A346,'Time Log'!$E$5:$E$1004))</f>
        <v/>
      </c>
    </row>
    <row r="347" customFormat="false" ht="15" hidden="false" customHeight="false" outlineLevel="0" collapsed="false">
      <c r="A347" s="14"/>
      <c r="B347" s="15"/>
      <c r="C347" s="14"/>
      <c r="D347" s="14"/>
      <c r="E347" s="14"/>
      <c r="F347" s="14"/>
      <c r="G347" s="14"/>
      <c r="H347" s="14"/>
      <c r="I347" s="16"/>
      <c r="J347" s="17"/>
      <c r="K347" s="14"/>
      <c r="L347" s="15"/>
      <c r="M347" s="17"/>
      <c r="N347" s="14"/>
      <c r="O347" s="15"/>
      <c r="P347" s="14"/>
      <c r="Q347" s="16"/>
      <c r="R347" s="13" t="str">
        <f aca="false">IF(AND(B347&lt;&gt;"",L347&lt;&gt;""),L347-B347,"")</f>
        <v/>
      </c>
      <c r="S347" s="13" t="str">
        <f aca="true">IF(B347="","",IF(O347&lt;&gt;"",O347-B347,TODAY()-B347))</f>
        <v/>
      </c>
      <c r="T347" s="13" t="str">
        <f aca="false">IF(A347="","",SUMIF('Time Log'!$C$5:$C$1004,A347,'Time Log'!$E$5:$E$1004))</f>
        <v/>
      </c>
    </row>
    <row r="348" customFormat="false" ht="15" hidden="false" customHeight="false" outlineLevel="0" collapsed="false">
      <c r="A348" s="14"/>
      <c r="B348" s="15"/>
      <c r="C348" s="14"/>
      <c r="D348" s="14"/>
      <c r="E348" s="14"/>
      <c r="F348" s="14"/>
      <c r="G348" s="14"/>
      <c r="H348" s="14"/>
      <c r="I348" s="16"/>
      <c r="J348" s="17"/>
      <c r="K348" s="14"/>
      <c r="L348" s="15"/>
      <c r="M348" s="17"/>
      <c r="N348" s="14"/>
      <c r="O348" s="15"/>
      <c r="P348" s="14"/>
      <c r="Q348" s="16"/>
      <c r="R348" s="13" t="str">
        <f aca="false">IF(AND(B348&lt;&gt;"",L348&lt;&gt;""),L348-B348,"")</f>
        <v/>
      </c>
      <c r="S348" s="13" t="str">
        <f aca="true">IF(B348="","",IF(O348&lt;&gt;"",O348-B348,TODAY()-B348))</f>
        <v/>
      </c>
      <c r="T348" s="13" t="str">
        <f aca="false">IF(A348="","",SUMIF('Time Log'!$C$5:$C$1004,A348,'Time Log'!$E$5:$E$1004))</f>
        <v/>
      </c>
    </row>
    <row r="349" customFormat="false" ht="15" hidden="false" customHeight="false" outlineLevel="0" collapsed="false">
      <c r="A349" s="14"/>
      <c r="B349" s="15"/>
      <c r="C349" s="14"/>
      <c r="D349" s="14"/>
      <c r="E349" s="14"/>
      <c r="F349" s="14"/>
      <c r="G349" s="14"/>
      <c r="H349" s="14"/>
      <c r="I349" s="16"/>
      <c r="J349" s="17"/>
      <c r="K349" s="14"/>
      <c r="L349" s="15"/>
      <c r="M349" s="17"/>
      <c r="N349" s="14"/>
      <c r="O349" s="15"/>
      <c r="P349" s="14"/>
      <c r="Q349" s="16"/>
      <c r="R349" s="13" t="str">
        <f aca="false">IF(AND(B349&lt;&gt;"",L349&lt;&gt;""),L349-B349,"")</f>
        <v/>
      </c>
      <c r="S349" s="13" t="str">
        <f aca="true">IF(B349="","",IF(O349&lt;&gt;"",O349-B349,TODAY()-B349))</f>
        <v/>
      </c>
      <c r="T349" s="13" t="str">
        <f aca="false">IF(A349="","",SUMIF('Time Log'!$C$5:$C$1004,A349,'Time Log'!$E$5:$E$1004))</f>
        <v/>
      </c>
    </row>
    <row r="350" customFormat="false" ht="15" hidden="false" customHeight="false" outlineLevel="0" collapsed="false">
      <c r="A350" s="14"/>
      <c r="B350" s="15"/>
      <c r="C350" s="14"/>
      <c r="D350" s="14"/>
      <c r="E350" s="14"/>
      <c r="F350" s="14"/>
      <c r="G350" s="14"/>
      <c r="H350" s="14"/>
      <c r="I350" s="16"/>
      <c r="J350" s="17"/>
      <c r="K350" s="14"/>
      <c r="L350" s="15"/>
      <c r="M350" s="17"/>
      <c r="N350" s="14"/>
      <c r="O350" s="15"/>
      <c r="P350" s="14"/>
      <c r="Q350" s="16"/>
      <c r="R350" s="13" t="str">
        <f aca="false">IF(AND(B350&lt;&gt;"",L350&lt;&gt;""),L350-B350,"")</f>
        <v/>
      </c>
      <c r="S350" s="13" t="str">
        <f aca="true">IF(B350="","",IF(O350&lt;&gt;"",O350-B350,TODAY()-B350))</f>
        <v/>
      </c>
      <c r="T350" s="13" t="str">
        <f aca="false">IF(A350="","",SUMIF('Time Log'!$C$5:$C$1004,A350,'Time Log'!$E$5:$E$1004))</f>
        <v/>
      </c>
    </row>
    <row r="351" customFormat="false" ht="15" hidden="false" customHeight="false" outlineLevel="0" collapsed="false">
      <c r="A351" s="14"/>
      <c r="B351" s="15"/>
      <c r="C351" s="14"/>
      <c r="D351" s="14"/>
      <c r="E351" s="14"/>
      <c r="F351" s="14"/>
      <c r="G351" s="14"/>
      <c r="H351" s="14"/>
      <c r="I351" s="16"/>
      <c r="J351" s="17"/>
      <c r="K351" s="14"/>
      <c r="L351" s="15"/>
      <c r="M351" s="17"/>
      <c r="N351" s="14"/>
      <c r="O351" s="15"/>
      <c r="P351" s="14"/>
      <c r="Q351" s="16"/>
      <c r="R351" s="13" t="str">
        <f aca="false">IF(AND(B351&lt;&gt;"",L351&lt;&gt;""),L351-B351,"")</f>
        <v/>
      </c>
      <c r="S351" s="13" t="str">
        <f aca="true">IF(B351="","",IF(O351&lt;&gt;"",O351-B351,TODAY()-B351))</f>
        <v/>
      </c>
      <c r="T351" s="13" t="str">
        <f aca="false">IF(A351="","",SUMIF('Time Log'!$C$5:$C$1004,A351,'Time Log'!$E$5:$E$1004))</f>
        <v/>
      </c>
    </row>
    <row r="352" customFormat="false" ht="15" hidden="false" customHeight="false" outlineLevel="0" collapsed="false">
      <c r="A352" s="14"/>
      <c r="B352" s="15"/>
      <c r="C352" s="14"/>
      <c r="D352" s="14"/>
      <c r="E352" s="14"/>
      <c r="F352" s="14"/>
      <c r="G352" s="14"/>
      <c r="H352" s="14"/>
      <c r="I352" s="16"/>
      <c r="J352" s="17"/>
      <c r="K352" s="14"/>
      <c r="L352" s="15"/>
      <c r="M352" s="17"/>
      <c r="N352" s="14"/>
      <c r="O352" s="15"/>
      <c r="P352" s="14"/>
      <c r="Q352" s="16"/>
      <c r="R352" s="13" t="str">
        <f aca="false">IF(AND(B352&lt;&gt;"",L352&lt;&gt;""),L352-B352,"")</f>
        <v/>
      </c>
      <c r="S352" s="13" t="str">
        <f aca="true">IF(B352="","",IF(O352&lt;&gt;"",O352-B352,TODAY()-B352))</f>
        <v/>
      </c>
      <c r="T352" s="13" t="str">
        <f aca="false">IF(A352="","",SUMIF('Time Log'!$C$5:$C$1004,A352,'Time Log'!$E$5:$E$1004))</f>
        <v/>
      </c>
    </row>
    <row r="353" customFormat="false" ht="15" hidden="false" customHeight="false" outlineLevel="0" collapsed="false">
      <c r="A353" s="14"/>
      <c r="B353" s="15"/>
      <c r="C353" s="14"/>
      <c r="D353" s="14"/>
      <c r="E353" s="14"/>
      <c r="F353" s="14"/>
      <c r="G353" s="14"/>
      <c r="H353" s="14"/>
      <c r="I353" s="16"/>
      <c r="J353" s="17"/>
      <c r="K353" s="14"/>
      <c r="L353" s="15"/>
      <c r="M353" s="17"/>
      <c r="N353" s="14"/>
      <c r="O353" s="15"/>
      <c r="P353" s="14"/>
      <c r="Q353" s="16"/>
      <c r="R353" s="13" t="str">
        <f aca="false">IF(AND(B353&lt;&gt;"",L353&lt;&gt;""),L353-B353,"")</f>
        <v/>
      </c>
      <c r="S353" s="13" t="str">
        <f aca="true">IF(B353="","",IF(O353&lt;&gt;"",O353-B353,TODAY()-B353))</f>
        <v/>
      </c>
      <c r="T353" s="13" t="str">
        <f aca="false">IF(A353="","",SUMIF('Time Log'!$C$5:$C$1004,A353,'Time Log'!$E$5:$E$1004))</f>
        <v/>
      </c>
    </row>
    <row r="354" customFormat="false" ht="15" hidden="false" customHeight="false" outlineLevel="0" collapsed="false">
      <c r="A354" s="14"/>
      <c r="B354" s="15"/>
      <c r="C354" s="14"/>
      <c r="D354" s="14"/>
      <c r="E354" s="14"/>
      <c r="F354" s="14"/>
      <c r="G354" s="14"/>
      <c r="H354" s="14"/>
      <c r="I354" s="16"/>
      <c r="J354" s="17"/>
      <c r="K354" s="14"/>
      <c r="L354" s="15"/>
      <c r="M354" s="17"/>
      <c r="N354" s="14"/>
      <c r="O354" s="15"/>
      <c r="P354" s="14"/>
      <c r="Q354" s="16"/>
      <c r="R354" s="13" t="str">
        <f aca="false">IF(AND(B354&lt;&gt;"",L354&lt;&gt;""),L354-B354,"")</f>
        <v/>
      </c>
      <c r="S354" s="13" t="str">
        <f aca="true">IF(B354="","",IF(O354&lt;&gt;"",O354-B354,TODAY()-B354))</f>
        <v/>
      </c>
      <c r="T354" s="13" t="str">
        <f aca="false">IF(A354="","",SUMIF('Time Log'!$C$5:$C$1004,A354,'Time Log'!$E$5:$E$1004))</f>
        <v/>
      </c>
    </row>
    <row r="355" customFormat="false" ht="15" hidden="false" customHeight="false" outlineLevel="0" collapsed="false">
      <c r="A355" s="14"/>
      <c r="B355" s="15"/>
      <c r="C355" s="14"/>
      <c r="D355" s="14"/>
      <c r="E355" s="14"/>
      <c r="F355" s="14"/>
      <c r="G355" s="14"/>
      <c r="H355" s="14"/>
      <c r="I355" s="16"/>
      <c r="J355" s="17"/>
      <c r="K355" s="14"/>
      <c r="L355" s="15"/>
      <c r="M355" s="17"/>
      <c r="N355" s="14"/>
      <c r="O355" s="15"/>
      <c r="P355" s="14"/>
      <c r="Q355" s="16"/>
      <c r="R355" s="13" t="str">
        <f aca="false">IF(AND(B355&lt;&gt;"",L355&lt;&gt;""),L355-B355,"")</f>
        <v/>
      </c>
      <c r="S355" s="13" t="str">
        <f aca="true">IF(B355="","",IF(O355&lt;&gt;"",O355-B355,TODAY()-B355))</f>
        <v/>
      </c>
      <c r="T355" s="13" t="str">
        <f aca="false">IF(A355="","",SUMIF('Time Log'!$C$5:$C$1004,A355,'Time Log'!$E$5:$E$1004))</f>
        <v/>
      </c>
    </row>
    <row r="356" customFormat="false" ht="15" hidden="false" customHeight="false" outlineLevel="0" collapsed="false">
      <c r="A356" s="14"/>
      <c r="B356" s="15"/>
      <c r="C356" s="14"/>
      <c r="D356" s="14"/>
      <c r="E356" s="14"/>
      <c r="F356" s="14"/>
      <c r="G356" s="14"/>
      <c r="H356" s="14"/>
      <c r="I356" s="16"/>
      <c r="J356" s="17"/>
      <c r="K356" s="14"/>
      <c r="L356" s="15"/>
      <c r="M356" s="17"/>
      <c r="N356" s="14"/>
      <c r="O356" s="15"/>
      <c r="P356" s="14"/>
      <c r="Q356" s="16"/>
      <c r="R356" s="13" t="str">
        <f aca="false">IF(AND(B356&lt;&gt;"",L356&lt;&gt;""),L356-B356,"")</f>
        <v/>
      </c>
      <c r="S356" s="13" t="str">
        <f aca="true">IF(B356="","",IF(O356&lt;&gt;"",O356-B356,TODAY()-B356))</f>
        <v/>
      </c>
      <c r="T356" s="13" t="str">
        <f aca="false">IF(A356="","",SUMIF('Time Log'!$C$5:$C$1004,A356,'Time Log'!$E$5:$E$1004))</f>
        <v/>
      </c>
    </row>
    <row r="357" customFormat="false" ht="15" hidden="false" customHeight="false" outlineLevel="0" collapsed="false">
      <c r="A357" s="14"/>
      <c r="B357" s="15"/>
      <c r="C357" s="14"/>
      <c r="D357" s="14"/>
      <c r="E357" s="14"/>
      <c r="F357" s="14"/>
      <c r="G357" s="14"/>
      <c r="H357" s="14"/>
      <c r="I357" s="16"/>
      <c r="J357" s="17"/>
      <c r="K357" s="14"/>
      <c r="L357" s="15"/>
      <c r="M357" s="17"/>
      <c r="N357" s="14"/>
      <c r="O357" s="15"/>
      <c r="P357" s="14"/>
      <c r="Q357" s="16"/>
      <c r="R357" s="13" t="str">
        <f aca="false">IF(AND(B357&lt;&gt;"",L357&lt;&gt;""),L357-B357,"")</f>
        <v/>
      </c>
      <c r="S357" s="13" t="str">
        <f aca="true">IF(B357="","",IF(O357&lt;&gt;"",O357-B357,TODAY()-B357))</f>
        <v/>
      </c>
      <c r="T357" s="13" t="str">
        <f aca="false">IF(A357="","",SUMIF('Time Log'!$C$5:$C$1004,A357,'Time Log'!$E$5:$E$1004))</f>
        <v/>
      </c>
    </row>
    <row r="358" customFormat="false" ht="15" hidden="false" customHeight="false" outlineLevel="0" collapsed="false">
      <c r="A358" s="14"/>
      <c r="B358" s="15"/>
      <c r="C358" s="14"/>
      <c r="D358" s="14"/>
      <c r="E358" s="14"/>
      <c r="F358" s="14"/>
      <c r="G358" s="14"/>
      <c r="H358" s="14"/>
      <c r="I358" s="16"/>
      <c r="J358" s="17"/>
      <c r="K358" s="14"/>
      <c r="L358" s="15"/>
      <c r="M358" s="17"/>
      <c r="N358" s="14"/>
      <c r="O358" s="15"/>
      <c r="P358" s="14"/>
      <c r="Q358" s="16"/>
      <c r="R358" s="13" t="str">
        <f aca="false">IF(AND(B358&lt;&gt;"",L358&lt;&gt;""),L358-B358,"")</f>
        <v/>
      </c>
      <c r="S358" s="13" t="str">
        <f aca="true">IF(B358="","",IF(O358&lt;&gt;"",O358-B358,TODAY()-B358))</f>
        <v/>
      </c>
      <c r="T358" s="13" t="str">
        <f aca="false">IF(A358="","",SUMIF('Time Log'!$C$5:$C$1004,A358,'Time Log'!$E$5:$E$1004))</f>
        <v/>
      </c>
    </row>
    <row r="359" customFormat="false" ht="15" hidden="false" customHeight="false" outlineLevel="0" collapsed="false">
      <c r="A359" s="14"/>
      <c r="B359" s="15"/>
      <c r="C359" s="14"/>
      <c r="D359" s="14"/>
      <c r="E359" s="14"/>
      <c r="F359" s="14"/>
      <c r="G359" s="14"/>
      <c r="H359" s="14"/>
      <c r="I359" s="16"/>
      <c r="J359" s="17"/>
      <c r="K359" s="14"/>
      <c r="L359" s="15"/>
      <c r="M359" s="17"/>
      <c r="N359" s="14"/>
      <c r="O359" s="15"/>
      <c r="P359" s="14"/>
      <c r="Q359" s="16"/>
      <c r="R359" s="13" t="str">
        <f aca="false">IF(AND(B359&lt;&gt;"",L359&lt;&gt;""),L359-B359,"")</f>
        <v/>
      </c>
      <c r="S359" s="13" t="str">
        <f aca="true">IF(B359="","",IF(O359&lt;&gt;"",O359-B359,TODAY()-B359))</f>
        <v/>
      </c>
      <c r="T359" s="13" t="str">
        <f aca="false">IF(A359="","",SUMIF('Time Log'!$C$5:$C$1004,A359,'Time Log'!$E$5:$E$1004))</f>
        <v/>
      </c>
    </row>
    <row r="360" customFormat="false" ht="15" hidden="false" customHeight="false" outlineLevel="0" collapsed="false">
      <c r="A360" s="14"/>
      <c r="B360" s="15"/>
      <c r="C360" s="14"/>
      <c r="D360" s="14"/>
      <c r="E360" s="14"/>
      <c r="F360" s="14"/>
      <c r="G360" s="14"/>
      <c r="H360" s="14"/>
      <c r="I360" s="16"/>
      <c r="J360" s="17"/>
      <c r="K360" s="14"/>
      <c r="L360" s="15"/>
      <c r="M360" s="17"/>
      <c r="N360" s="14"/>
      <c r="O360" s="15"/>
      <c r="P360" s="14"/>
      <c r="Q360" s="16"/>
      <c r="R360" s="13" t="str">
        <f aca="false">IF(AND(B360&lt;&gt;"",L360&lt;&gt;""),L360-B360,"")</f>
        <v/>
      </c>
      <c r="S360" s="13" t="str">
        <f aca="true">IF(B360="","",IF(O360&lt;&gt;"",O360-B360,TODAY()-B360))</f>
        <v/>
      </c>
      <c r="T360" s="13" t="str">
        <f aca="false">IF(A360="","",SUMIF('Time Log'!$C$5:$C$1004,A360,'Time Log'!$E$5:$E$1004))</f>
        <v/>
      </c>
    </row>
    <row r="361" customFormat="false" ht="15" hidden="false" customHeight="false" outlineLevel="0" collapsed="false">
      <c r="A361" s="14"/>
      <c r="B361" s="15"/>
      <c r="C361" s="14"/>
      <c r="D361" s="14"/>
      <c r="E361" s="14"/>
      <c r="F361" s="14"/>
      <c r="G361" s="14"/>
      <c r="H361" s="14"/>
      <c r="I361" s="16"/>
      <c r="J361" s="17"/>
      <c r="K361" s="14"/>
      <c r="L361" s="15"/>
      <c r="M361" s="17"/>
      <c r="N361" s="14"/>
      <c r="O361" s="15"/>
      <c r="P361" s="14"/>
      <c r="Q361" s="16"/>
      <c r="R361" s="13" t="str">
        <f aca="false">IF(AND(B361&lt;&gt;"",L361&lt;&gt;""),L361-B361,"")</f>
        <v/>
      </c>
      <c r="S361" s="13" t="str">
        <f aca="true">IF(B361="","",IF(O361&lt;&gt;"",O361-B361,TODAY()-B361))</f>
        <v/>
      </c>
      <c r="T361" s="13" t="str">
        <f aca="false">IF(A361="","",SUMIF('Time Log'!$C$5:$C$1004,A361,'Time Log'!$E$5:$E$1004))</f>
        <v/>
      </c>
    </row>
    <row r="362" customFormat="false" ht="15" hidden="false" customHeight="false" outlineLevel="0" collapsed="false">
      <c r="A362" s="14"/>
      <c r="B362" s="15"/>
      <c r="C362" s="14"/>
      <c r="D362" s="14"/>
      <c r="E362" s="14"/>
      <c r="F362" s="14"/>
      <c r="G362" s="14"/>
      <c r="H362" s="14"/>
      <c r="I362" s="16"/>
      <c r="J362" s="17"/>
      <c r="K362" s="14"/>
      <c r="L362" s="15"/>
      <c r="M362" s="17"/>
      <c r="N362" s="14"/>
      <c r="O362" s="15"/>
      <c r="P362" s="14"/>
      <c r="Q362" s="16"/>
      <c r="R362" s="13" t="str">
        <f aca="false">IF(AND(B362&lt;&gt;"",L362&lt;&gt;""),L362-B362,"")</f>
        <v/>
      </c>
      <c r="S362" s="13" t="str">
        <f aca="true">IF(B362="","",IF(O362&lt;&gt;"",O362-B362,TODAY()-B362))</f>
        <v/>
      </c>
      <c r="T362" s="13" t="str">
        <f aca="false">IF(A362="","",SUMIF('Time Log'!$C$5:$C$1004,A362,'Time Log'!$E$5:$E$1004))</f>
        <v/>
      </c>
    </row>
    <row r="363" customFormat="false" ht="15" hidden="false" customHeight="false" outlineLevel="0" collapsed="false">
      <c r="A363" s="14"/>
      <c r="B363" s="15"/>
      <c r="C363" s="14"/>
      <c r="D363" s="14"/>
      <c r="E363" s="14"/>
      <c r="F363" s="14"/>
      <c r="G363" s="14"/>
      <c r="H363" s="14"/>
      <c r="I363" s="16"/>
      <c r="J363" s="17"/>
      <c r="K363" s="14"/>
      <c r="L363" s="15"/>
      <c r="M363" s="17"/>
      <c r="N363" s="14"/>
      <c r="O363" s="15"/>
      <c r="P363" s="14"/>
      <c r="Q363" s="16"/>
      <c r="R363" s="13" t="str">
        <f aca="false">IF(AND(B363&lt;&gt;"",L363&lt;&gt;""),L363-B363,"")</f>
        <v/>
      </c>
      <c r="S363" s="13" t="str">
        <f aca="true">IF(B363="","",IF(O363&lt;&gt;"",O363-B363,TODAY()-B363))</f>
        <v/>
      </c>
      <c r="T363" s="13" t="str">
        <f aca="false">IF(A363="","",SUMIF('Time Log'!$C$5:$C$1004,A363,'Time Log'!$E$5:$E$1004))</f>
        <v/>
      </c>
    </row>
    <row r="364" customFormat="false" ht="15" hidden="false" customHeight="false" outlineLevel="0" collapsed="false">
      <c r="A364" s="14"/>
      <c r="B364" s="15"/>
      <c r="C364" s="14"/>
      <c r="D364" s="14"/>
      <c r="E364" s="14"/>
      <c r="F364" s="14"/>
      <c r="G364" s="14"/>
      <c r="H364" s="14"/>
      <c r="I364" s="16"/>
      <c r="J364" s="17"/>
      <c r="K364" s="14"/>
      <c r="L364" s="15"/>
      <c r="M364" s="17"/>
      <c r="N364" s="14"/>
      <c r="O364" s="15"/>
      <c r="P364" s="14"/>
      <c r="Q364" s="16"/>
      <c r="R364" s="13" t="str">
        <f aca="false">IF(AND(B364&lt;&gt;"",L364&lt;&gt;""),L364-B364,"")</f>
        <v/>
      </c>
      <c r="S364" s="13" t="str">
        <f aca="true">IF(B364="","",IF(O364&lt;&gt;"",O364-B364,TODAY()-B364))</f>
        <v/>
      </c>
      <c r="T364" s="13" t="str">
        <f aca="false">IF(A364="","",SUMIF('Time Log'!$C$5:$C$1004,A364,'Time Log'!$E$5:$E$1004))</f>
        <v/>
      </c>
    </row>
    <row r="365" customFormat="false" ht="15" hidden="false" customHeight="false" outlineLevel="0" collapsed="false">
      <c r="A365" s="14"/>
      <c r="B365" s="15"/>
      <c r="C365" s="14"/>
      <c r="D365" s="14"/>
      <c r="E365" s="14"/>
      <c r="F365" s="14"/>
      <c r="G365" s="14"/>
      <c r="H365" s="14"/>
      <c r="I365" s="16"/>
      <c r="J365" s="17"/>
      <c r="K365" s="14"/>
      <c r="L365" s="15"/>
      <c r="M365" s="17"/>
      <c r="N365" s="14"/>
      <c r="O365" s="15"/>
      <c r="P365" s="14"/>
      <c r="Q365" s="16"/>
      <c r="R365" s="13" t="str">
        <f aca="false">IF(AND(B365&lt;&gt;"",L365&lt;&gt;""),L365-B365,"")</f>
        <v/>
      </c>
      <c r="S365" s="13" t="str">
        <f aca="true">IF(B365="","",IF(O365&lt;&gt;"",O365-B365,TODAY()-B365))</f>
        <v/>
      </c>
      <c r="T365" s="13" t="str">
        <f aca="false">IF(A365="","",SUMIF('Time Log'!$C$5:$C$1004,A365,'Time Log'!$E$5:$E$1004))</f>
        <v/>
      </c>
    </row>
    <row r="366" customFormat="false" ht="15" hidden="false" customHeight="false" outlineLevel="0" collapsed="false">
      <c r="A366" s="14"/>
      <c r="B366" s="15"/>
      <c r="C366" s="14"/>
      <c r="D366" s="14"/>
      <c r="E366" s="14"/>
      <c r="F366" s="14"/>
      <c r="G366" s="14"/>
      <c r="H366" s="14"/>
      <c r="I366" s="16"/>
      <c r="J366" s="17"/>
      <c r="K366" s="14"/>
      <c r="L366" s="15"/>
      <c r="M366" s="17"/>
      <c r="N366" s="14"/>
      <c r="O366" s="15"/>
      <c r="P366" s="14"/>
      <c r="Q366" s="16"/>
      <c r="R366" s="13" t="str">
        <f aca="false">IF(AND(B366&lt;&gt;"",L366&lt;&gt;""),L366-B366,"")</f>
        <v/>
      </c>
      <c r="S366" s="13" t="str">
        <f aca="true">IF(B366="","",IF(O366&lt;&gt;"",O366-B366,TODAY()-B366))</f>
        <v/>
      </c>
      <c r="T366" s="13" t="str">
        <f aca="false">IF(A366="","",SUMIF('Time Log'!$C$5:$C$1004,A366,'Time Log'!$E$5:$E$1004))</f>
        <v/>
      </c>
    </row>
    <row r="367" customFormat="false" ht="15" hidden="false" customHeight="false" outlineLevel="0" collapsed="false">
      <c r="A367" s="14"/>
      <c r="B367" s="15"/>
      <c r="C367" s="14"/>
      <c r="D367" s="14"/>
      <c r="E367" s="14"/>
      <c r="F367" s="14"/>
      <c r="G367" s="14"/>
      <c r="H367" s="14"/>
      <c r="I367" s="16"/>
      <c r="J367" s="17"/>
      <c r="K367" s="14"/>
      <c r="L367" s="15"/>
      <c r="M367" s="17"/>
      <c r="N367" s="14"/>
      <c r="O367" s="15"/>
      <c r="P367" s="14"/>
      <c r="Q367" s="16"/>
      <c r="R367" s="13" t="str">
        <f aca="false">IF(AND(B367&lt;&gt;"",L367&lt;&gt;""),L367-B367,"")</f>
        <v/>
      </c>
      <c r="S367" s="13" t="str">
        <f aca="true">IF(B367="","",IF(O367&lt;&gt;"",O367-B367,TODAY()-B367))</f>
        <v/>
      </c>
      <c r="T367" s="13" t="str">
        <f aca="false">IF(A367="","",SUMIF('Time Log'!$C$5:$C$1004,A367,'Time Log'!$E$5:$E$1004))</f>
        <v/>
      </c>
    </row>
    <row r="368" customFormat="false" ht="15" hidden="false" customHeight="false" outlineLevel="0" collapsed="false">
      <c r="A368" s="14"/>
      <c r="B368" s="15"/>
      <c r="C368" s="14"/>
      <c r="D368" s="14"/>
      <c r="E368" s="14"/>
      <c r="F368" s="14"/>
      <c r="G368" s="14"/>
      <c r="H368" s="14"/>
      <c r="I368" s="16"/>
      <c r="J368" s="17"/>
      <c r="K368" s="14"/>
      <c r="L368" s="15"/>
      <c r="M368" s="17"/>
      <c r="N368" s="14"/>
      <c r="O368" s="15"/>
      <c r="P368" s="14"/>
      <c r="Q368" s="16"/>
      <c r="R368" s="13" t="str">
        <f aca="false">IF(AND(B368&lt;&gt;"",L368&lt;&gt;""),L368-B368,"")</f>
        <v/>
      </c>
      <c r="S368" s="13" t="str">
        <f aca="true">IF(B368="","",IF(O368&lt;&gt;"",O368-B368,TODAY()-B368))</f>
        <v/>
      </c>
      <c r="T368" s="13" t="str">
        <f aca="false">IF(A368="","",SUMIF('Time Log'!$C$5:$C$1004,A368,'Time Log'!$E$5:$E$1004))</f>
        <v/>
      </c>
    </row>
    <row r="369" customFormat="false" ht="15" hidden="false" customHeight="false" outlineLevel="0" collapsed="false">
      <c r="A369" s="14"/>
      <c r="B369" s="15"/>
      <c r="C369" s="14"/>
      <c r="D369" s="14"/>
      <c r="E369" s="14"/>
      <c r="F369" s="14"/>
      <c r="G369" s="14"/>
      <c r="H369" s="14"/>
      <c r="I369" s="16"/>
      <c r="J369" s="17"/>
      <c r="K369" s="14"/>
      <c r="L369" s="15"/>
      <c r="M369" s="17"/>
      <c r="N369" s="14"/>
      <c r="O369" s="15"/>
      <c r="P369" s="14"/>
      <c r="Q369" s="16"/>
      <c r="R369" s="13" t="str">
        <f aca="false">IF(AND(B369&lt;&gt;"",L369&lt;&gt;""),L369-B369,"")</f>
        <v/>
      </c>
      <c r="S369" s="13" t="str">
        <f aca="true">IF(B369="","",IF(O369&lt;&gt;"",O369-B369,TODAY()-B369))</f>
        <v/>
      </c>
      <c r="T369" s="13" t="str">
        <f aca="false">IF(A369="","",SUMIF('Time Log'!$C$5:$C$1004,A369,'Time Log'!$E$5:$E$1004))</f>
        <v/>
      </c>
    </row>
    <row r="370" customFormat="false" ht="15" hidden="false" customHeight="false" outlineLevel="0" collapsed="false">
      <c r="A370" s="14"/>
      <c r="B370" s="15"/>
      <c r="C370" s="14"/>
      <c r="D370" s="14"/>
      <c r="E370" s="14"/>
      <c r="F370" s="14"/>
      <c r="G370" s="14"/>
      <c r="H370" s="14"/>
      <c r="I370" s="16"/>
      <c r="J370" s="17"/>
      <c r="K370" s="14"/>
      <c r="L370" s="15"/>
      <c r="M370" s="17"/>
      <c r="N370" s="14"/>
      <c r="O370" s="15"/>
      <c r="P370" s="14"/>
      <c r="Q370" s="16"/>
      <c r="R370" s="13" t="str">
        <f aca="false">IF(AND(B370&lt;&gt;"",L370&lt;&gt;""),L370-B370,"")</f>
        <v/>
      </c>
      <c r="S370" s="13" t="str">
        <f aca="true">IF(B370="","",IF(O370&lt;&gt;"",O370-B370,TODAY()-B370))</f>
        <v/>
      </c>
      <c r="T370" s="13" t="str">
        <f aca="false">IF(A370="","",SUMIF('Time Log'!$C$5:$C$1004,A370,'Time Log'!$E$5:$E$1004))</f>
        <v/>
      </c>
    </row>
    <row r="371" customFormat="false" ht="15" hidden="false" customHeight="false" outlineLevel="0" collapsed="false">
      <c r="A371" s="14"/>
      <c r="B371" s="15"/>
      <c r="C371" s="14"/>
      <c r="D371" s="14"/>
      <c r="E371" s="14"/>
      <c r="F371" s="14"/>
      <c r="G371" s="14"/>
      <c r="H371" s="14"/>
      <c r="I371" s="16"/>
      <c r="J371" s="17"/>
      <c r="K371" s="14"/>
      <c r="L371" s="15"/>
      <c r="M371" s="17"/>
      <c r="N371" s="14"/>
      <c r="O371" s="15"/>
      <c r="P371" s="14"/>
      <c r="Q371" s="16"/>
      <c r="R371" s="13" t="str">
        <f aca="false">IF(AND(B371&lt;&gt;"",L371&lt;&gt;""),L371-B371,"")</f>
        <v/>
      </c>
      <c r="S371" s="13" t="str">
        <f aca="true">IF(B371="","",IF(O371&lt;&gt;"",O371-B371,TODAY()-B371))</f>
        <v/>
      </c>
      <c r="T371" s="13" t="str">
        <f aca="false">IF(A371="","",SUMIF('Time Log'!$C$5:$C$1004,A371,'Time Log'!$E$5:$E$1004))</f>
        <v/>
      </c>
    </row>
    <row r="372" customFormat="false" ht="15" hidden="false" customHeight="false" outlineLevel="0" collapsed="false">
      <c r="A372" s="14"/>
      <c r="B372" s="15"/>
      <c r="C372" s="14"/>
      <c r="D372" s="14"/>
      <c r="E372" s="14"/>
      <c r="F372" s="14"/>
      <c r="G372" s="14"/>
      <c r="H372" s="14"/>
      <c r="I372" s="16"/>
      <c r="J372" s="17"/>
      <c r="K372" s="14"/>
      <c r="L372" s="15"/>
      <c r="M372" s="17"/>
      <c r="N372" s="14"/>
      <c r="O372" s="15"/>
      <c r="P372" s="14"/>
      <c r="Q372" s="16"/>
      <c r="R372" s="13" t="str">
        <f aca="false">IF(AND(B372&lt;&gt;"",L372&lt;&gt;""),L372-B372,"")</f>
        <v/>
      </c>
      <c r="S372" s="13" t="str">
        <f aca="true">IF(B372="","",IF(O372&lt;&gt;"",O372-B372,TODAY()-B372))</f>
        <v/>
      </c>
      <c r="T372" s="13" t="str">
        <f aca="false">IF(A372="","",SUMIF('Time Log'!$C$5:$C$1004,A372,'Time Log'!$E$5:$E$1004))</f>
        <v/>
      </c>
    </row>
    <row r="373" customFormat="false" ht="15" hidden="false" customHeight="false" outlineLevel="0" collapsed="false">
      <c r="A373" s="14"/>
      <c r="B373" s="15"/>
      <c r="C373" s="14"/>
      <c r="D373" s="14"/>
      <c r="E373" s="14"/>
      <c r="F373" s="14"/>
      <c r="G373" s="14"/>
      <c r="H373" s="14"/>
      <c r="I373" s="16"/>
      <c r="J373" s="17"/>
      <c r="K373" s="14"/>
      <c r="L373" s="15"/>
      <c r="M373" s="17"/>
      <c r="N373" s="14"/>
      <c r="O373" s="15"/>
      <c r="P373" s="14"/>
      <c r="Q373" s="16"/>
      <c r="R373" s="13" t="str">
        <f aca="false">IF(AND(B373&lt;&gt;"",L373&lt;&gt;""),L373-B373,"")</f>
        <v/>
      </c>
      <c r="S373" s="13" t="str">
        <f aca="true">IF(B373="","",IF(O373&lt;&gt;"",O373-B373,TODAY()-B373))</f>
        <v/>
      </c>
      <c r="T373" s="13" t="str">
        <f aca="false">IF(A373="","",SUMIF('Time Log'!$C$5:$C$1004,A373,'Time Log'!$E$5:$E$1004))</f>
        <v/>
      </c>
    </row>
    <row r="374" customFormat="false" ht="15" hidden="false" customHeight="false" outlineLevel="0" collapsed="false">
      <c r="A374" s="14"/>
      <c r="B374" s="15"/>
      <c r="C374" s="14"/>
      <c r="D374" s="14"/>
      <c r="E374" s="14"/>
      <c r="F374" s="14"/>
      <c r="G374" s="14"/>
      <c r="H374" s="14"/>
      <c r="I374" s="16"/>
      <c r="J374" s="17"/>
      <c r="K374" s="14"/>
      <c r="L374" s="15"/>
      <c r="M374" s="17"/>
      <c r="N374" s="14"/>
      <c r="O374" s="15"/>
      <c r="P374" s="14"/>
      <c r="Q374" s="16"/>
      <c r="R374" s="13" t="str">
        <f aca="false">IF(AND(B374&lt;&gt;"",L374&lt;&gt;""),L374-B374,"")</f>
        <v/>
      </c>
      <c r="S374" s="13" t="str">
        <f aca="true">IF(B374="","",IF(O374&lt;&gt;"",O374-B374,TODAY()-B374))</f>
        <v/>
      </c>
      <c r="T374" s="13" t="str">
        <f aca="false">IF(A374="","",SUMIF('Time Log'!$C$5:$C$1004,A374,'Time Log'!$E$5:$E$1004))</f>
        <v/>
      </c>
    </row>
    <row r="375" customFormat="false" ht="15" hidden="false" customHeight="false" outlineLevel="0" collapsed="false">
      <c r="A375" s="14"/>
      <c r="B375" s="15"/>
      <c r="C375" s="14"/>
      <c r="D375" s="14"/>
      <c r="E375" s="14"/>
      <c r="F375" s="14"/>
      <c r="G375" s="14"/>
      <c r="H375" s="14"/>
      <c r="I375" s="16"/>
      <c r="J375" s="17"/>
      <c r="K375" s="14"/>
      <c r="L375" s="15"/>
      <c r="M375" s="17"/>
      <c r="N375" s="14"/>
      <c r="O375" s="15"/>
      <c r="P375" s="14"/>
      <c r="Q375" s="16"/>
      <c r="R375" s="13" t="str">
        <f aca="false">IF(AND(B375&lt;&gt;"",L375&lt;&gt;""),L375-B375,"")</f>
        <v/>
      </c>
      <c r="S375" s="13" t="str">
        <f aca="true">IF(B375="","",IF(O375&lt;&gt;"",O375-B375,TODAY()-B375))</f>
        <v/>
      </c>
      <c r="T375" s="13" t="str">
        <f aca="false">IF(A375="","",SUMIF('Time Log'!$C$5:$C$1004,A375,'Time Log'!$E$5:$E$1004))</f>
        <v/>
      </c>
    </row>
    <row r="376" customFormat="false" ht="15" hidden="false" customHeight="false" outlineLevel="0" collapsed="false">
      <c r="A376" s="14"/>
      <c r="B376" s="15"/>
      <c r="C376" s="14"/>
      <c r="D376" s="14"/>
      <c r="E376" s="14"/>
      <c r="F376" s="14"/>
      <c r="G376" s="14"/>
      <c r="H376" s="14"/>
      <c r="I376" s="16"/>
      <c r="J376" s="17"/>
      <c r="K376" s="14"/>
      <c r="L376" s="15"/>
      <c r="M376" s="17"/>
      <c r="N376" s="14"/>
      <c r="O376" s="15"/>
      <c r="P376" s="14"/>
      <c r="Q376" s="16"/>
      <c r="R376" s="13" t="str">
        <f aca="false">IF(AND(B376&lt;&gt;"",L376&lt;&gt;""),L376-B376,"")</f>
        <v/>
      </c>
      <c r="S376" s="13" t="str">
        <f aca="true">IF(B376="","",IF(O376&lt;&gt;"",O376-B376,TODAY()-B376))</f>
        <v/>
      </c>
      <c r="T376" s="13" t="str">
        <f aca="false">IF(A376="","",SUMIF('Time Log'!$C$5:$C$1004,A376,'Time Log'!$E$5:$E$1004))</f>
        <v/>
      </c>
    </row>
    <row r="377" customFormat="false" ht="15" hidden="false" customHeight="false" outlineLevel="0" collapsed="false">
      <c r="A377" s="14"/>
      <c r="B377" s="15"/>
      <c r="C377" s="14"/>
      <c r="D377" s="14"/>
      <c r="E377" s="14"/>
      <c r="F377" s="14"/>
      <c r="G377" s="14"/>
      <c r="H377" s="14"/>
      <c r="I377" s="16"/>
      <c r="J377" s="17"/>
      <c r="K377" s="14"/>
      <c r="L377" s="15"/>
      <c r="M377" s="17"/>
      <c r="N377" s="14"/>
      <c r="O377" s="15"/>
      <c r="P377" s="14"/>
      <c r="Q377" s="16"/>
      <c r="R377" s="13" t="str">
        <f aca="false">IF(AND(B377&lt;&gt;"",L377&lt;&gt;""),L377-B377,"")</f>
        <v/>
      </c>
      <c r="S377" s="13" t="str">
        <f aca="true">IF(B377="","",IF(O377&lt;&gt;"",O377-B377,TODAY()-B377))</f>
        <v/>
      </c>
      <c r="T377" s="13" t="str">
        <f aca="false">IF(A377="","",SUMIF('Time Log'!$C$5:$C$1004,A377,'Time Log'!$E$5:$E$1004))</f>
        <v/>
      </c>
    </row>
    <row r="378" customFormat="false" ht="15" hidden="false" customHeight="false" outlineLevel="0" collapsed="false">
      <c r="A378" s="14"/>
      <c r="B378" s="15"/>
      <c r="C378" s="14"/>
      <c r="D378" s="14"/>
      <c r="E378" s="14"/>
      <c r="F378" s="14"/>
      <c r="G378" s="14"/>
      <c r="H378" s="14"/>
      <c r="I378" s="16"/>
      <c r="J378" s="17"/>
      <c r="K378" s="14"/>
      <c r="L378" s="15"/>
      <c r="M378" s="17"/>
      <c r="N378" s="14"/>
      <c r="O378" s="15"/>
      <c r="P378" s="14"/>
      <c r="Q378" s="16"/>
      <c r="R378" s="13" t="str">
        <f aca="false">IF(AND(B378&lt;&gt;"",L378&lt;&gt;""),L378-B378,"")</f>
        <v/>
      </c>
      <c r="S378" s="13" t="str">
        <f aca="true">IF(B378="","",IF(O378&lt;&gt;"",O378-B378,TODAY()-B378))</f>
        <v/>
      </c>
      <c r="T378" s="13" t="str">
        <f aca="false">IF(A378="","",SUMIF('Time Log'!$C$5:$C$1004,A378,'Time Log'!$E$5:$E$1004))</f>
        <v/>
      </c>
    </row>
    <row r="379" customFormat="false" ht="15" hidden="false" customHeight="false" outlineLevel="0" collapsed="false">
      <c r="A379" s="14"/>
      <c r="B379" s="15"/>
      <c r="C379" s="14"/>
      <c r="D379" s="14"/>
      <c r="E379" s="14"/>
      <c r="F379" s="14"/>
      <c r="G379" s="14"/>
      <c r="H379" s="14"/>
      <c r="I379" s="16"/>
      <c r="J379" s="17"/>
      <c r="K379" s="14"/>
      <c r="L379" s="15"/>
      <c r="M379" s="17"/>
      <c r="N379" s="14"/>
      <c r="O379" s="15"/>
      <c r="P379" s="14"/>
      <c r="Q379" s="16"/>
      <c r="R379" s="13" t="str">
        <f aca="false">IF(AND(B379&lt;&gt;"",L379&lt;&gt;""),L379-B379,"")</f>
        <v/>
      </c>
      <c r="S379" s="13" t="str">
        <f aca="true">IF(B379="","",IF(O379&lt;&gt;"",O379-B379,TODAY()-B379))</f>
        <v/>
      </c>
      <c r="T379" s="13" t="str">
        <f aca="false">IF(A379="","",SUMIF('Time Log'!$C$5:$C$1004,A379,'Time Log'!$E$5:$E$1004))</f>
        <v/>
      </c>
    </row>
    <row r="380" customFormat="false" ht="15" hidden="false" customHeight="false" outlineLevel="0" collapsed="false">
      <c r="A380" s="14"/>
      <c r="B380" s="15"/>
      <c r="C380" s="14"/>
      <c r="D380" s="14"/>
      <c r="E380" s="14"/>
      <c r="F380" s="14"/>
      <c r="G380" s="14"/>
      <c r="H380" s="14"/>
      <c r="I380" s="16"/>
      <c r="J380" s="17"/>
      <c r="K380" s="14"/>
      <c r="L380" s="15"/>
      <c r="M380" s="17"/>
      <c r="N380" s="14"/>
      <c r="O380" s="15"/>
      <c r="P380" s="14"/>
      <c r="Q380" s="16"/>
      <c r="R380" s="13" t="str">
        <f aca="false">IF(AND(B380&lt;&gt;"",L380&lt;&gt;""),L380-B380,"")</f>
        <v/>
      </c>
      <c r="S380" s="13" t="str">
        <f aca="true">IF(B380="","",IF(O380&lt;&gt;"",O380-B380,TODAY()-B380))</f>
        <v/>
      </c>
      <c r="T380" s="13" t="str">
        <f aca="false">IF(A380="","",SUMIF('Time Log'!$C$5:$C$1004,A380,'Time Log'!$E$5:$E$1004))</f>
        <v/>
      </c>
    </row>
    <row r="381" customFormat="false" ht="15" hidden="false" customHeight="false" outlineLevel="0" collapsed="false">
      <c r="A381" s="14"/>
      <c r="B381" s="15"/>
      <c r="C381" s="14"/>
      <c r="D381" s="14"/>
      <c r="E381" s="14"/>
      <c r="F381" s="14"/>
      <c r="G381" s="14"/>
      <c r="H381" s="14"/>
      <c r="I381" s="16"/>
      <c r="J381" s="17"/>
      <c r="K381" s="14"/>
      <c r="L381" s="15"/>
      <c r="M381" s="17"/>
      <c r="N381" s="14"/>
      <c r="O381" s="15"/>
      <c r="P381" s="14"/>
      <c r="Q381" s="16"/>
      <c r="R381" s="13" t="str">
        <f aca="false">IF(AND(B381&lt;&gt;"",L381&lt;&gt;""),L381-B381,"")</f>
        <v/>
      </c>
      <c r="S381" s="13" t="str">
        <f aca="true">IF(B381="","",IF(O381&lt;&gt;"",O381-B381,TODAY()-B381))</f>
        <v/>
      </c>
      <c r="T381" s="13" t="str">
        <f aca="false">IF(A381="","",SUMIF('Time Log'!$C$5:$C$1004,A381,'Time Log'!$E$5:$E$1004))</f>
        <v/>
      </c>
    </row>
    <row r="382" customFormat="false" ht="15" hidden="false" customHeight="false" outlineLevel="0" collapsed="false">
      <c r="A382" s="14"/>
      <c r="B382" s="15"/>
      <c r="C382" s="14"/>
      <c r="D382" s="14"/>
      <c r="E382" s="14"/>
      <c r="F382" s="14"/>
      <c r="G382" s="14"/>
      <c r="H382" s="14"/>
      <c r="I382" s="16"/>
      <c r="J382" s="17"/>
      <c r="K382" s="14"/>
      <c r="L382" s="15"/>
      <c r="M382" s="17"/>
      <c r="N382" s="14"/>
      <c r="O382" s="15"/>
      <c r="P382" s="14"/>
      <c r="Q382" s="16"/>
      <c r="R382" s="13" t="str">
        <f aca="false">IF(AND(B382&lt;&gt;"",L382&lt;&gt;""),L382-B382,"")</f>
        <v/>
      </c>
      <c r="S382" s="13" t="str">
        <f aca="true">IF(B382="","",IF(O382&lt;&gt;"",O382-B382,TODAY()-B382))</f>
        <v/>
      </c>
      <c r="T382" s="13" t="str">
        <f aca="false">IF(A382="","",SUMIF('Time Log'!$C$5:$C$1004,A382,'Time Log'!$E$5:$E$1004))</f>
        <v/>
      </c>
    </row>
    <row r="383" customFormat="false" ht="15" hidden="false" customHeight="false" outlineLevel="0" collapsed="false">
      <c r="A383" s="14"/>
      <c r="B383" s="15"/>
      <c r="C383" s="14"/>
      <c r="D383" s="14"/>
      <c r="E383" s="14"/>
      <c r="F383" s="14"/>
      <c r="G383" s="14"/>
      <c r="H383" s="14"/>
      <c r="I383" s="16"/>
      <c r="J383" s="17"/>
      <c r="K383" s="14"/>
      <c r="L383" s="15"/>
      <c r="M383" s="17"/>
      <c r="N383" s="14"/>
      <c r="O383" s="15"/>
      <c r="P383" s="14"/>
      <c r="Q383" s="16"/>
      <c r="R383" s="13" t="str">
        <f aca="false">IF(AND(B383&lt;&gt;"",L383&lt;&gt;""),L383-B383,"")</f>
        <v/>
      </c>
      <c r="S383" s="13" t="str">
        <f aca="true">IF(B383="","",IF(O383&lt;&gt;"",O383-B383,TODAY()-B383))</f>
        <v/>
      </c>
      <c r="T383" s="13" t="str">
        <f aca="false">IF(A383="","",SUMIF('Time Log'!$C$5:$C$1004,A383,'Time Log'!$E$5:$E$1004))</f>
        <v/>
      </c>
    </row>
    <row r="384" customFormat="false" ht="15" hidden="false" customHeight="false" outlineLevel="0" collapsed="false">
      <c r="A384" s="14"/>
      <c r="B384" s="15"/>
      <c r="C384" s="14"/>
      <c r="D384" s="14"/>
      <c r="E384" s="14"/>
      <c r="F384" s="14"/>
      <c r="G384" s="14"/>
      <c r="H384" s="14"/>
      <c r="I384" s="16"/>
      <c r="J384" s="17"/>
      <c r="K384" s="14"/>
      <c r="L384" s="15"/>
      <c r="M384" s="17"/>
      <c r="N384" s="14"/>
      <c r="O384" s="15"/>
      <c r="P384" s="14"/>
      <c r="Q384" s="16"/>
      <c r="R384" s="13" t="str">
        <f aca="false">IF(AND(B384&lt;&gt;"",L384&lt;&gt;""),L384-B384,"")</f>
        <v/>
      </c>
      <c r="S384" s="13" t="str">
        <f aca="true">IF(B384="","",IF(O384&lt;&gt;"",O384-B384,TODAY()-B384))</f>
        <v/>
      </c>
      <c r="T384" s="13" t="str">
        <f aca="false">IF(A384="","",SUMIF('Time Log'!$C$5:$C$1004,A384,'Time Log'!$E$5:$E$1004))</f>
        <v/>
      </c>
    </row>
    <row r="385" customFormat="false" ht="15" hidden="false" customHeight="false" outlineLevel="0" collapsed="false">
      <c r="A385" s="14"/>
      <c r="B385" s="15"/>
      <c r="C385" s="14"/>
      <c r="D385" s="14"/>
      <c r="E385" s="14"/>
      <c r="F385" s="14"/>
      <c r="G385" s="14"/>
      <c r="H385" s="14"/>
      <c r="I385" s="16"/>
      <c r="J385" s="17"/>
      <c r="K385" s="14"/>
      <c r="L385" s="15"/>
      <c r="M385" s="17"/>
      <c r="N385" s="14"/>
      <c r="O385" s="15"/>
      <c r="P385" s="14"/>
      <c r="Q385" s="16"/>
      <c r="R385" s="13" t="str">
        <f aca="false">IF(AND(B385&lt;&gt;"",L385&lt;&gt;""),L385-B385,"")</f>
        <v/>
      </c>
      <c r="S385" s="13" t="str">
        <f aca="true">IF(B385="","",IF(O385&lt;&gt;"",O385-B385,TODAY()-B385))</f>
        <v/>
      </c>
      <c r="T385" s="13" t="str">
        <f aca="false">IF(A385="","",SUMIF('Time Log'!$C$5:$C$1004,A385,'Time Log'!$E$5:$E$1004))</f>
        <v/>
      </c>
    </row>
    <row r="386" customFormat="false" ht="15" hidden="false" customHeight="false" outlineLevel="0" collapsed="false">
      <c r="A386" s="14"/>
      <c r="B386" s="15"/>
      <c r="C386" s="14"/>
      <c r="D386" s="14"/>
      <c r="E386" s="14"/>
      <c r="F386" s="14"/>
      <c r="G386" s="14"/>
      <c r="H386" s="14"/>
      <c r="I386" s="16"/>
      <c r="J386" s="17"/>
      <c r="K386" s="14"/>
      <c r="L386" s="15"/>
      <c r="M386" s="17"/>
      <c r="N386" s="14"/>
      <c r="O386" s="15"/>
      <c r="P386" s="14"/>
      <c r="Q386" s="16"/>
      <c r="R386" s="13" t="str">
        <f aca="false">IF(AND(B386&lt;&gt;"",L386&lt;&gt;""),L386-B386,"")</f>
        <v/>
      </c>
      <c r="S386" s="13" t="str">
        <f aca="true">IF(B386="","",IF(O386&lt;&gt;"",O386-B386,TODAY()-B386))</f>
        <v/>
      </c>
      <c r="T386" s="13" t="str">
        <f aca="false">IF(A386="","",SUMIF('Time Log'!$C$5:$C$1004,A386,'Time Log'!$E$5:$E$1004))</f>
        <v/>
      </c>
    </row>
    <row r="387" customFormat="false" ht="15" hidden="false" customHeight="false" outlineLevel="0" collapsed="false">
      <c r="A387" s="14"/>
      <c r="B387" s="15"/>
      <c r="C387" s="14"/>
      <c r="D387" s="14"/>
      <c r="E387" s="14"/>
      <c r="F387" s="14"/>
      <c r="G387" s="14"/>
      <c r="H387" s="14"/>
      <c r="I387" s="16"/>
      <c r="J387" s="17"/>
      <c r="K387" s="14"/>
      <c r="L387" s="15"/>
      <c r="M387" s="17"/>
      <c r="N387" s="14"/>
      <c r="O387" s="15"/>
      <c r="P387" s="14"/>
      <c r="Q387" s="16"/>
      <c r="R387" s="13" t="str">
        <f aca="false">IF(AND(B387&lt;&gt;"",L387&lt;&gt;""),L387-B387,"")</f>
        <v/>
      </c>
      <c r="S387" s="13" t="str">
        <f aca="true">IF(B387="","",IF(O387&lt;&gt;"",O387-B387,TODAY()-B387))</f>
        <v/>
      </c>
      <c r="T387" s="13" t="str">
        <f aca="false">IF(A387="","",SUMIF('Time Log'!$C$5:$C$1004,A387,'Time Log'!$E$5:$E$1004))</f>
        <v/>
      </c>
    </row>
    <row r="388" customFormat="false" ht="15" hidden="false" customHeight="false" outlineLevel="0" collapsed="false">
      <c r="A388" s="14"/>
      <c r="B388" s="15"/>
      <c r="C388" s="14"/>
      <c r="D388" s="14"/>
      <c r="E388" s="14"/>
      <c r="F388" s="14"/>
      <c r="G388" s="14"/>
      <c r="H388" s="14"/>
      <c r="I388" s="16"/>
      <c r="J388" s="17"/>
      <c r="K388" s="14"/>
      <c r="L388" s="15"/>
      <c r="M388" s="17"/>
      <c r="N388" s="14"/>
      <c r="O388" s="15"/>
      <c r="P388" s="14"/>
      <c r="Q388" s="16"/>
      <c r="R388" s="13" t="str">
        <f aca="false">IF(AND(B388&lt;&gt;"",L388&lt;&gt;""),L388-B388,"")</f>
        <v/>
      </c>
      <c r="S388" s="13" t="str">
        <f aca="true">IF(B388="","",IF(O388&lt;&gt;"",O388-B388,TODAY()-B388))</f>
        <v/>
      </c>
      <c r="T388" s="13" t="str">
        <f aca="false">IF(A388="","",SUMIF('Time Log'!$C$5:$C$1004,A388,'Time Log'!$E$5:$E$1004))</f>
        <v/>
      </c>
    </row>
    <row r="389" customFormat="false" ht="15" hidden="false" customHeight="false" outlineLevel="0" collapsed="false">
      <c r="A389" s="14"/>
      <c r="B389" s="15"/>
      <c r="C389" s="14"/>
      <c r="D389" s="14"/>
      <c r="E389" s="14"/>
      <c r="F389" s="14"/>
      <c r="G389" s="14"/>
      <c r="H389" s="14"/>
      <c r="I389" s="16"/>
      <c r="J389" s="17"/>
      <c r="K389" s="14"/>
      <c r="L389" s="15"/>
      <c r="M389" s="17"/>
      <c r="N389" s="14"/>
      <c r="O389" s="15"/>
      <c r="P389" s="14"/>
      <c r="Q389" s="16"/>
      <c r="R389" s="13" t="str">
        <f aca="false">IF(AND(B389&lt;&gt;"",L389&lt;&gt;""),L389-B389,"")</f>
        <v/>
      </c>
      <c r="S389" s="13" t="str">
        <f aca="true">IF(B389="","",IF(O389&lt;&gt;"",O389-B389,TODAY()-B389))</f>
        <v/>
      </c>
      <c r="T389" s="13" t="str">
        <f aca="false">IF(A389="","",SUMIF('Time Log'!$C$5:$C$1004,A389,'Time Log'!$E$5:$E$1004))</f>
        <v/>
      </c>
    </row>
    <row r="390" customFormat="false" ht="15" hidden="false" customHeight="false" outlineLevel="0" collapsed="false">
      <c r="A390" s="14"/>
      <c r="B390" s="15"/>
      <c r="C390" s="14"/>
      <c r="D390" s="14"/>
      <c r="E390" s="14"/>
      <c r="F390" s="14"/>
      <c r="G390" s="14"/>
      <c r="H390" s="14"/>
      <c r="I390" s="16"/>
      <c r="J390" s="17"/>
      <c r="K390" s="14"/>
      <c r="L390" s="15"/>
      <c r="M390" s="17"/>
      <c r="N390" s="14"/>
      <c r="O390" s="15"/>
      <c r="P390" s="14"/>
      <c r="Q390" s="16"/>
      <c r="R390" s="13" t="str">
        <f aca="false">IF(AND(B390&lt;&gt;"",L390&lt;&gt;""),L390-B390,"")</f>
        <v/>
      </c>
      <c r="S390" s="13" t="str">
        <f aca="true">IF(B390="","",IF(O390&lt;&gt;"",O390-B390,TODAY()-B390))</f>
        <v/>
      </c>
      <c r="T390" s="13" t="str">
        <f aca="false">IF(A390="","",SUMIF('Time Log'!$C$5:$C$1004,A390,'Time Log'!$E$5:$E$1004))</f>
        <v/>
      </c>
    </row>
    <row r="391" customFormat="false" ht="15" hidden="false" customHeight="false" outlineLevel="0" collapsed="false">
      <c r="A391" s="14"/>
      <c r="B391" s="15"/>
      <c r="C391" s="14"/>
      <c r="D391" s="14"/>
      <c r="E391" s="14"/>
      <c r="F391" s="14"/>
      <c r="G391" s="14"/>
      <c r="H391" s="14"/>
      <c r="I391" s="16"/>
      <c r="J391" s="17"/>
      <c r="K391" s="14"/>
      <c r="L391" s="15"/>
      <c r="M391" s="17"/>
      <c r="N391" s="14"/>
      <c r="O391" s="15"/>
      <c r="P391" s="14"/>
      <c r="Q391" s="16"/>
      <c r="R391" s="13" t="str">
        <f aca="false">IF(AND(B391&lt;&gt;"",L391&lt;&gt;""),L391-B391,"")</f>
        <v/>
      </c>
      <c r="S391" s="13" t="str">
        <f aca="true">IF(B391="","",IF(O391&lt;&gt;"",O391-B391,TODAY()-B391))</f>
        <v/>
      </c>
      <c r="T391" s="13" t="str">
        <f aca="false">IF(A391="","",SUMIF('Time Log'!$C$5:$C$1004,A391,'Time Log'!$E$5:$E$1004))</f>
        <v/>
      </c>
    </row>
    <row r="392" customFormat="false" ht="15" hidden="false" customHeight="false" outlineLevel="0" collapsed="false">
      <c r="A392" s="14"/>
      <c r="B392" s="15"/>
      <c r="C392" s="14"/>
      <c r="D392" s="14"/>
      <c r="E392" s="14"/>
      <c r="F392" s="14"/>
      <c r="G392" s="14"/>
      <c r="H392" s="14"/>
      <c r="I392" s="16"/>
      <c r="J392" s="17"/>
      <c r="K392" s="14"/>
      <c r="L392" s="15"/>
      <c r="M392" s="17"/>
      <c r="N392" s="14"/>
      <c r="O392" s="15"/>
      <c r="P392" s="14"/>
      <c r="Q392" s="16"/>
      <c r="R392" s="13" t="str">
        <f aca="false">IF(AND(B392&lt;&gt;"",L392&lt;&gt;""),L392-B392,"")</f>
        <v/>
      </c>
      <c r="S392" s="13" t="str">
        <f aca="true">IF(B392="","",IF(O392&lt;&gt;"",O392-B392,TODAY()-B392))</f>
        <v/>
      </c>
      <c r="T392" s="13" t="str">
        <f aca="false">IF(A392="","",SUMIF('Time Log'!$C$5:$C$1004,A392,'Time Log'!$E$5:$E$1004))</f>
        <v/>
      </c>
    </row>
    <row r="393" customFormat="false" ht="15" hidden="false" customHeight="false" outlineLevel="0" collapsed="false">
      <c r="A393" s="14"/>
      <c r="B393" s="15"/>
      <c r="C393" s="14"/>
      <c r="D393" s="14"/>
      <c r="E393" s="14"/>
      <c r="F393" s="14"/>
      <c r="G393" s="14"/>
      <c r="H393" s="14"/>
      <c r="I393" s="16"/>
      <c r="J393" s="17"/>
      <c r="K393" s="14"/>
      <c r="L393" s="15"/>
      <c r="M393" s="17"/>
      <c r="N393" s="14"/>
      <c r="O393" s="15"/>
      <c r="P393" s="14"/>
      <c r="Q393" s="16"/>
      <c r="R393" s="13" t="str">
        <f aca="false">IF(AND(B393&lt;&gt;"",L393&lt;&gt;""),L393-B393,"")</f>
        <v/>
      </c>
      <c r="S393" s="13" t="str">
        <f aca="true">IF(B393="","",IF(O393&lt;&gt;"",O393-B393,TODAY()-B393))</f>
        <v/>
      </c>
      <c r="T393" s="13" t="str">
        <f aca="false">IF(A393="","",SUMIF('Time Log'!$C$5:$C$1004,A393,'Time Log'!$E$5:$E$1004))</f>
        <v/>
      </c>
    </row>
    <row r="394" customFormat="false" ht="15" hidden="false" customHeight="false" outlineLevel="0" collapsed="false">
      <c r="A394" s="14"/>
      <c r="B394" s="15"/>
      <c r="C394" s="14"/>
      <c r="D394" s="14"/>
      <c r="E394" s="14"/>
      <c r="F394" s="14"/>
      <c r="G394" s="14"/>
      <c r="H394" s="14"/>
      <c r="I394" s="16"/>
      <c r="J394" s="17"/>
      <c r="K394" s="14"/>
      <c r="L394" s="15"/>
      <c r="M394" s="17"/>
      <c r="N394" s="14"/>
      <c r="O394" s="15"/>
      <c r="P394" s="14"/>
      <c r="Q394" s="16"/>
      <c r="R394" s="13" t="str">
        <f aca="false">IF(AND(B394&lt;&gt;"",L394&lt;&gt;""),L394-B394,"")</f>
        <v/>
      </c>
      <c r="S394" s="13" t="str">
        <f aca="true">IF(B394="","",IF(O394&lt;&gt;"",O394-B394,TODAY()-B394))</f>
        <v/>
      </c>
      <c r="T394" s="13" t="str">
        <f aca="false">IF(A394="","",SUMIF('Time Log'!$C$5:$C$1004,A394,'Time Log'!$E$5:$E$1004))</f>
        <v/>
      </c>
    </row>
    <row r="395" customFormat="false" ht="15" hidden="false" customHeight="false" outlineLevel="0" collapsed="false">
      <c r="A395" s="14"/>
      <c r="B395" s="15"/>
      <c r="C395" s="14"/>
      <c r="D395" s="14"/>
      <c r="E395" s="14"/>
      <c r="F395" s="14"/>
      <c r="G395" s="14"/>
      <c r="H395" s="14"/>
      <c r="I395" s="16"/>
      <c r="J395" s="17"/>
      <c r="K395" s="14"/>
      <c r="L395" s="15"/>
      <c r="M395" s="17"/>
      <c r="N395" s="14"/>
      <c r="O395" s="15"/>
      <c r="P395" s="14"/>
      <c r="Q395" s="16"/>
      <c r="R395" s="13" t="str">
        <f aca="false">IF(AND(B395&lt;&gt;"",L395&lt;&gt;""),L395-B395,"")</f>
        <v/>
      </c>
      <c r="S395" s="13" t="str">
        <f aca="true">IF(B395="","",IF(O395&lt;&gt;"",O395-B395,TODAY()-B395))</f>
        <v/>
      </c>
      <c r="T395" s="13" t="str">
        <f aca="false">IF(A395="","",SUMIF('Time Log'!$C$5:$C$1004,A395,'Time Log'!$E$5:$E$1004))</f>
        <v/>
      </c>
    </row>
    <row r="396" customFormat="false" ht="15" hidden="false" customHeight="false" outlineLevel="0" collapsed="false">
      <c r="A396" s="14"/>
      <c r="B396" s="15"/>
      <c r="C396" s="14"/>
      <c r="D396" s="14"/>
      <c r="E396" s="14"/>
      <c r="F396" s="14"/>
      <c r="G396" s="14"/>
      <c r="H396" s="14"/>
      <c r="I396" s="16"/>
      <c r="J396" s="17"/>
      <c r="K396" s="14"/>
      <c r="L396" s="15"/>
      <c r="M396" s="17"/>
      <c r="N396" s="14"/>
      <c r="O396" s="15"/>
      <c r="P396" s="14"/>
      <c r="Q396" s="16"/>
      <c r="R396" s="13" t="str">
        <f aca="false">IF(AND(B396&lt;&gt;"",L396&lt;&gt;""),L396-B396,"")</f>
        <v/>
      </c>
      <c r="S396" s="13" t="str">
        <f aca="true">IF(B396="","",IF(O396&lt;&gt;"",O396-B396,TODAY()-B396))</f>
        <v/>
      </c>
      <c r="T396" s="13" t="str">
        <f aca="false">IF(A396="","",SUMIF('Time Log'!$C$5:$C$1004,A396,'Time Log'!$E$5:$E$1004))</f>
        <v/>
      </c>
    </row>
    <row r="397" customFormat="false" ht="15" hidden="false" customHeight="false" outlineLevel="0" collapsed="false">
      <c r="A397" s="14"/>
      <c r="B397" s="15"/>
      <c r="C397" s="14"/>
      <c r="D397" s="14"/>
      <c r="E397" s="14"/>
      <c r="F397" s="14"/>
      <c r="G397" s="14"/>
      <c r="H397" s="14"/>
      <c r="I397" s="16"/>
      <c r="J397" s="17"/>
      <c r="K397" s="14"/>
      <c r="L397" s="15"/>
      <c r="M397" s="17"/>
      <c r="N397" s="14"/>
      <c r="O397" s="15"/>
      <c r="P397" s="14"/>
      <c r="Q397" s="16"/>
      <c r="R397" s="13" t="str">
        <f aca="false">IF(AND(B397&lt;&gt;"",L397&lt;&gt;""),L397-B397,"")</f>
        <v/>
      </c>
      <c r="S397" s="13" t="str">
        <f aca="true">IF(B397="","",IF(O397&lt;&gt;"",O397-B397,TODAY()-B397))</f>
        <v/>
      </c>
      <c r="T397" s="13" t="str">
        <f aca="false">IF(A397="","",SUMIF('Time Log'!$C$5:$C$1004,A397,'Time Log'!$E$5:$E$1004))</f>
        <v/>
      </c>
    </row>
    <row r="398" customFormat="false" ht="15" hidden="false" customHeight="false" outlineLevel="0" collapsed="false">
      <c r="A398" s="14"/>
      <c r="B398" s="15"/>
      <c r="C398" s="14"/>
      <c r="D398" s="14"/>
      <c r="E398" s="14"/>
      <c r="F398" s="14"/>
      <c r="G398" s="14"/>
      <c r="H398" s="14"/>
      <c r="I398" s="16"/>
      <c r="J398" s="17"/>
      <c r="K398" s="14"/>
      <c r="L398" s="15"/>
      <c r="M398" s="17"/>
      <c r="N398" s="14"/>
      <c r="O398" s="15"/>
      <c r="P398" s="14"/>
      <c r="Q398" s="16"/>
      <c r="R398" s="13" t="str">
        <f aca="false">IF(AND(B398&lt;&gt;"",L398&lt;&gt;""),L398-B398,"")</f>
        <v/>
      </c>
      <c r="S398" s="13" t="str">
        <f aca="true">IF(B398="","",IF(O398&lt;&gt;"",O398-B398,TODAY()-B398))</f>
        <v/>
      </c>
      <c r="T398" s="13" t="str">
        <f aca="false">IF(A398="","",SUMIF('Time Log'!$C$5:$C$1004,A398,'Time Log'!$E$5:$E$1004))</f>
        <v/>
      </c>
    </row>
    <row r="399" customFormat="false" ht="15" hidden="false" customHeight="false" outlineLevel="0" collapsed="false">
      <c r="A399" s="14"/>
      <c r="B399" s="15"/>
      <c r="C399" s="14"/>
      <c r="D399" s="14"/>
      <c r="E399" s="14"/>
      <c r="F399" s="14"/>
      <c r="G399" s="14"/>
      <c r="H399" s="14"/>
      <c r="I399" s="16"/>
      <c r="J399" s="17"/>
      <c r="K399" s="14"/>
      <c r="L399" s="15"/>
      <c r="M399" s="17"/>
      <c r="N399" s="14"/>
      <c r="O399" s="15"/>
      <c r="P399" s="14"/>
      <c r="Q399" s="16"/>
      <c r="R399" s="13" t="str">
        <f aca="false">IF(AND(B399&lt;&gt;"",L399&lt;&gt;""),L399-B399,"")</f>
        <v/>
      </c>
      <c r="S399" s="13" t="str">
        <f aca="true">IF(B399="","",IF(O399&lt;&gt;"",O399-B399,TODAY()-B399))</f>
        <v/>
      </c>
      <c r="T399" s="13" t="str">
        <f aca="false">IF(A399="","",SUMIF('Time Log'!$C$5:$C$1004,A399,'Time Log'!$E$5:$E$1004))</f>
        <v/>
      </c>
    </row>
    <row r="400" customFormat="false" ht="15" hidden="false" customHeight="false" outlineLevel="0" collapsed="false">
      <c r="A400" s="14"/>
      <c r="B400" s="15"/>
      <c r="C400" s="14"/>
      <c r="D400" s="14"/>
      <c r="E400" s="14"/>
      <c r="F400" s="14"/>
      <c r="G400" s="14"/>
      <c r="H400" s="14"/>
      <c r="I400" s="16"/>
      <c r="J400" s="17"/>
      <c r="K400" s="14"/>
      <c r="L400" s="15"/>
      <c r="M400" s="17"/>
      <c r="N400" s="14"/>
      <c r="O400" s="15"/>
      <c r="P400" s="14"/>
      <c r="Q400" s="16"/>
      <c r="R400" s="13" t="str">
        <f aca="false">IF(AND(B400&lt;&gt;"",L400&lt;&gt;""),L400-B400,"")</f>
        <v/>
      </c>
      <c r="S400" s="13" t="str">
        <f aca="true">IF(B400="","",IF(O400&lt;&gt;"",O400-B400,TODAY()-B400))</f>
        <v/>
      </c>
      <c r="T400" s="13" t="str">
        <f aca="false">IF(A400="","",SUMIF('Time Log'!$C$5:$C$1004,A400,'Time Log'!$E$5:$E$1004))</f>
        <v/>
      </c>
    </row>
    <row r="401" customFormat="false" ht="15" hidden="false" customHeight="false" outlineLevel="0" collapsed="false">
      <c r="A401" s="14"/>
      <c r="B401" s="15"/>
      <c r="C401" s="14"/>
      <c r="D401" s="14"/>
      <c r="E401" s="14"/>
      <c r="F401" s="14"/>
      <c r="G401" s="14"/>
      <c r="H401" s="14"/>
      <c r="I401" s="16"/>
      <c r="J401" s="17"/>
      <c r="K401" s="14"/>
      <c r="L401" s="15"/>
      <c r="M401" s="17"/>
      <c r="N401" s="14"/>
      <c r="O401" s="15"/>
      <c r="P401" s="14"/>
      <c r="Q401" s="16"/>
      <c r="R401" s="13" t="str">
        <f aca="false">IF(AND(B401&lt;&gt;"",L401&lt;&gt;""),L401-B401,"")</f>
        <v/>
      </c>
      <c r="S401" s="13" t="str">
        <f aca="true">IF(B401="","",IF(O401&lt;&gt;"",O401-B401,TODAY()-B401))</f>
        <v/>
      </c>
      <c r="T401" s="13" t="str">
        <f aca="false">IF(A401="","",SUMIF('Time Log'!$C$5:$C$1004,A401,'Time Log'!$E$5:$E$1004))</f>
        <v/>
      </c>
    </row>
    <row r="402" customFormat="false" ht="15" hidden="false" customHeight="false" outlineLevel="0" collapsed="false">
      <c r="A402" s="14"/>
      <c r="B402" s="15"/>
      <c r="C402" s="14"/>
      <c r="D402" s="14"/>
      <c r="E402" s="14"/>
      <c r="F402" s="14"/>
      <c r="G402" s="14"/>
      <c r="H402" s="14"/>
      <c r="I402" s="16"/>
      <c r="J402" s="17"/>
      <c r="K402" s="14"/>
      <c r="L402" s="15"/>
      <c r="M402" s="17"/>
      <c r="N402" s="14"/>
      <c r="O402" s="15"/>
      <c r="P402" s="14"/>
      <c r="Q402" s="16"/>
      <c r="R402" s="13" t="str">
        <f aca="false">IF(AND(B402&lt;&gt;"",L402&lt;&gt;""),L402-B402,"")</f>
        <v/>
      </c>
      <c r="S402" s="13" t="str">
        <f aca="true">IF(B402="","",IF(O402&lt;&gt;"",O402-B402,TODAY()-B402))</f>
        <v/>
      </c>
      <c r="T402" s="13" t="str">
        <f aca="false">IF(A402="","",SUMIF('Time Log'!$C$5:$C$1004,A402,'Time Log'!$E$5:$E$1004))</f>
        <v/>
      </c>
    </row>
    <row r="403" customFormat="false" ht="15" hidden="false" customHeight="false" outlineLevel="0" collapsed="false">
      <c r="A403" s="14"/>
      <c r="B403" s="15"/>
      <c r="C403" s="14"/>
      <c r="D403" s="14"/>
      <c r="E403" s="14"/>
      <c r="F403" s="14"/>
      <c r="G403" s="14"/>
      <c r="H403" s="14"/>
      <c r="I403" s="16"/>
      <c r="J403" s="17"/>
      <c r="K403" s="14"/>
      <c r="L403" s="15"/>
      <c r="M403" s="17"/>
      <c r="N403" s="14"/>
      <c r="O403" s="15"/>
      <c r="P403" s="14"/>
      <c r="Q403" s="16"/>
      <c r="R403" s="13" t="str">
        <f aca="false">IF(AND(B403&lt;&gt;"",L403&lt;&gt;""),L403-B403,"")</f>
        <v/>
      </c>
      <c r="S403" s="13" t="str">
        <f aca="true">IF(B403="","",IF(O403&lt;&gt;"",O403-B403,TODAY()-B403))</f>
        <v/>
      </c>
      <c r="T403" s="13" t="str">
        <f aca="false">IF(A403="","",SUMIF('Time Log'!$C$5:$C$1004,A403,'Time Log'!$E$5:$E$1004))</f>
        <v/>
      </c>
    </row>
    <row r="404" customFormat="false" ht="15" hidden="false" customHeight="false" outlineLevel="0" collapsed="false">
      <c r="A404" s="14"/>
      <c r="B404" s="15"/>
      <c r="C404" s="14"/>
      <c r="D404" s="14"/>
      <c r="E404" s="14"/>
      <c r="F404" s="14"/>
      <c r="G404" s="14"/>
      <c r="H404" s="14"/>
      <c r="I404" s="16"/>
      <c r="J404" s="17"/>
      <c r="K404" s="14"/>
      <c r="L404" s="15"/>
      <c r="M404" s="17"/>
      <c r="N404" s="14"/>
      <c r="O404" s="15"/>
      <c r="P404" s="14"/>
      <c r="Q404" s="16"/>
      <c r="R404" s="13" t="str">
        <f aca="false">IF(AND(B404&lt;&gt;"",L404&lt;&gt;""),L404-B404,"")</f>
        <v/>
      </c>
      <c r="S404" s="13" t="str">
        <f aca="true">IF(B404="","",IF(O404&lt;&gt;"",O404-B404,TODAY()-B404))</f>
        <v/>
      </c>
      <c r="T404" s="13" t="str">
        <f aca="false">IF(A404="","",SUMIF('Time Log'!$C$5:$C$1004,A404,'Time Log'!$E$5:$E$1004))</f>
        <v/>
      </c>
    </row>
    <row r="405" customFormat="false" ht="15" hidden="false" customHeight="false" outlineLevel="0" collapsed="false">
      <c r="A405" s="14"/>
      <c r="B405" s="15"/>
      <c r="C405" s="14"/>
      <c r="D405" s="14"/>
      <c r="E405" s="14"/>
      <c r="F405" s="14"/>
      <c r="G405" s="14"/>
      <c r="H405" s="14"/>
      <c r="I405" s="16"/>
      <c r="J405" s="17"/>
      <c r="K405" s="14"/>
      <c r="L405" s="15"/>
      <c r="M405" s="17"/>
      <c r="N405" s="14"/>
      <c r="O405" s="15"/>
      <c r="P405" s="14"/>
      <c r="Q405" s="16"/>
      <c r="R405" s="13" t="str">
        <f aca="false">IF(AND(B405&lt;&gt;"",L405&lt;&gt;""),L405-B405,"")</f>
        <v/>
      </c>
      <c r="S405" s="13" t="str">
        <f aca="true">IF(B405="","",IF(O405&lt;&gt;"",O405-B405,TODAY()-B405))</f>
        <v/>
      </c>
      <c r="T405" s="13" t="str">
        <f aca="false">IF(A405="","",SUMIF('Time Log'!$C$5:$C$1004,A405,'Time Log'!$E$5:$E$1004))</f>
        <v/>
      </c>
    </row>
    <row r="406" customFormat="false" ht="15" hidden="false" customHeight="false" outlineLevel="0" collapsed="false">
      <c r="A406" s="14"/>
      <c r="B406" s="15"/>
      <c r="C406" s="14"/>
      <c r="D406" s="14"/>
      <c r="E406" s="14"/>
      <c r="F406" s="14"/>
      <c r="G406" s="14"/>
      <c r="H406" s="14"/>
      <c r="I406" s="16"/>
      <c r="J406" s="17"/>
      <c r="K406" s="14"/>
      <c r="L406" s="15"/>
      <c r="M406" s="17"/>
      <c r="N406" s="14"/>
      <c r="O406" s="15"/>
      <c r="P406" s="14"/>
      <c r="Q406" s="16"/>
      <c r="R406" s="13" t="str">
        <f aca="false">IF(AND(B406&lt;&gt;"",L406&lt;&gt;""),L406-B406,"")</f>
        <v/>
      </c>
      <c r="S406" s="13" t="str">
        <f aca="true">IF(B406="","",IF(O406&lt;&gt;"",O406-B406,TODAY()-B406))</f>
        <v/>
      </c>
      <c r="T406" s="13" t="str">
        <f aca="false">IF(A406="","",SUMIF('Time Log'!$C$5:$C$1004,A406,'Time Log'!$E$5:$E$1004))</f>
        <v/>
      </c>
    </row>
    <row r="407" customFormat="false" ht="15" hidden="false" customHeight="false" outlineLevel="0" collapsed="false">
      <c r="A407" s="14"/>
      <c r="B407" s="15"/>
      <c r="C407" s="14"/>
      <c r="D407" s="14"/>
      <c r="E407" s="14"/>
      <c r="F407" s="14"/>
      <c r="G407" s="14"/>
      <c r="H407" s="14"/>
      <c r="I407" s="16"/>
      <c r="J407" s="17"/>
      <c r="K407" s="14"/>
      <c r="L407" s="15"/>
      <c r="M407" s="17"/>
      <c r="N407" s="14"/>
      <c r="O407" s="15"/>
      <c r="P407" s="14"/>
      <c r="Q407" s="16"/>
      <c r="R407" s="13" t="str">
        <f aca="false">IF(AND(B407&lt;&gt;"",L407&lt;&gt;""),L407-B407,"")</f>
        <v/>
      </c>
      <c r="S407" s="13" t="str">
        <f aca="true">IF(B407="","",IF(O407&lt;&gt;"",O407-B407,TODAY()-B407))</f>
        <v/>
      </c>
      <c r="T407" s="13" t="str">
        <f aca="false">IF(A407="","",SUMIF('Time Log'!$C$5:$C$1004,A407,'Time Log'!$E$5:$E$1004))</f>
        <v/>
      </c>
    </row>
    <row r="408" customFormat="false" ht="15" hidden="false" customHeight="false" outlineLevel="0" collapsed="false">
      <c r="A408" s="14"/>
      <c r="B408" s="15"/>
      <c r="C408" s="14"/>
      <c r="D408" s="14"/>
      <c r="E408" s="14"/>
      <c r="F408" s="14"/>
      <c r="G408" s="14"/>
      <c r="H408" s="14"/>
      <c r="I408" s="16"/>
      <c r="J408" s="17"/>
      <c r="K408" s="14"/>
      <c r="L408" s="15"/>
      <c r="M408" s="17"/>
      <c r="N408" s="14"/>
      <c r="O408" s="15"/>
      <c r="P408" s="14"/>
      <c r="Q408" s="16"/>
      <c r="R408" s="13" t="str">
        <f aca="false">IF(AND(B408&lt;&gt;"",L408&lt;&gt;""),L408-B408,"")</f>
        <v/>
      </c>
      <c r="S408" s="13" t="str">
        <f aca="true">IF(B408="","",IF(O408&lt;&gt;"",O408-B408,TODAY()-B408))</f>
        <v/>
      </c>
      <c r="T408" s="13" t="str">
        <f aca="false">IF(A408="","",SUMIF('Time Log'!$C$5:$C$1004,A408,'Time Log'!$E$5:$E$1004))</f>
        <v/>
      </c>
    </row>
    <row r="409" customFormat="false" ht="15" hidden="false" customHeight="false" outlineLevel="0" collapsed="false">
      <c r="A409" s="14"/>
      <c r="B409" s="15"/>
      <c r="C409" s="14"/>
      <c r="D409" s="14"/>
      <c r="E409" s="14"/>
      <c r="F409" s="14"/>
      <c r="G409" s="14"/>
      <c r="H409" s="14"/>
      <c r="I409" s="16"/>
      <c r="J409" s="17"/>
      <c r="K409" s="14"/>
      <c r="L409" s="15"/>
      <c r="M409" s="17"/>
      <c r="N409" s="14"/>
      <c r="O409" s="15"/>
      <c r="P409" s="14"/>
      <c r="Q409" s="16"/>
      <c r="R409" s="13" t="str">
        <f aca="false">IF(AND(B409&lt;&gt;"",L409&lt;&gt;""),L409-B409,"")</f>
        <v/>
      </c>
      <c r="S409" s="13" t="str">
        <f aca="true">IF(B409="","",IF(O409&lt;&gt;"",O409-B409,TODAY()-B409))</f>
        <v/>
      </c>
      <c r="T409" s="13" t="str">
        <f aca="false">IF(A409="","",SUMIF('Time Log'!$C$5:$C$1004,A409,'Time Log'!$E$5:$E$1004))</f>
        <v/>
      </c>
    </row>
    <row r="410" customFormat="false" ht="15" hidden="false" customHeight="false" outlineLevel="0" collapsed="false">
      <c r="A410" s="14"/>
      <c r="B410" s="15"/>
      <c r="C410" s="14"/>
      <c r="D410" s="14"/>
      <c r="E410" s="14"/>
      <c r="F410" s="14"/>
      <c r="G410" s="14"/>
      <c r="H410" s="14"/>
      <c r="I410" s="16"/>
      <c r="J410" s="17"/>
      <c r="K410" s="14"/>
      <c r="L410" s="15"/>
      <c r="M410" s="17"/>
      <c r="N410" s="14"/>
      <c r="O410" s="15"/>
      <c r="P410" s="14"/>
      <c r="Q410" s="16"/>
      <c r="R410" s="13" t="str">
        <f aca="false">IF(AND(B410&lt;&gt;"",L410&lt;&gt;""),L410-B410,"")</f>
        <v/>
      </c>
      <c r="S410" s="13" t="str">
        <f aca="true">IF(B410="","",IF(O410&lt;&gt;"",O410-B410,TODAY()-B410))</f>
        <v/>
      </c>
      <c r="T410" s="13" t="str">
        <f aca="false">IF(A410="","",SUMIF('Time Log'!$C$5:$C$1004,A410,'Time Log'!$E$5:$E$1004))</f>
        <v/>
      </c>
    </row>
    <row r="411" customFormat="false" ht="15" hidden="false" customHeight="false" outlineLevel="0" collapsed="false">
      <c r="A411" s="14"/>
      <c r="B411" s="15"/>
      <c r="C411" s="14"/>
      <c r="D411" s="14"/>
      <c r="E411" s="14"/>
      <c r="F411" s="14"/>
      <c r="G411" s="14"/>
      <c r="H411" s="14"/>
      <c r="I411" s="16"/>
      <c r="J411" s="17"/>
      <c r="K411" s="14"/>
      <c r="L411" s="15"/>
      <c r="M411" s="17"/>
      <c r="N411" s="14"/>
      <c r="O411" s="15"/>
      <c r="P411" s="14"/>
      <c r="Q411" s="16"/>
      <c r="R411" s="13" t="str">
        <f aca="false">IF(AND(B411&lt;&gt;"",L411&lt;&gt;""),L411-B411,"")</f>
        <v/>
      </c>
      <c r="S411" s="13" t="str">
        <f aca="true">IF(B411="","",IF(O411&lt;&gt;"",O411-B411,TODAY()-B411))</f>
        <v/>
      </c>
      <c r="T411" s="13" t="str">
        <f aca="false">IF(A411="","",SUMIF('Time Log'!$C$5:$C$1004,A411,'Time Log'!$E$5:$E$1004))</f>
        <v/>
      </c>
    </row>
    <row r="412" customFormat="false" ht="15" hidden="false" customHeight="false" outlineLevel="0" collapsed="false">
      <c r="A412" s="14"/>
      <c r="B412" s="15"/>
      <c r="C412" s="14"/>
      <c r="D412" s="14"/>
      <c r="E412" s="14"/>
      <c r="F412" s="14"/>
      <c r="G412" s="14"/>
      <c r="H412" s="14"/>
      <c r="I412" s="16"/>
      <c r="J412" s="17"/>
      <c r="K412" s="14"/>
      <c r="L412" s="15"/>
      <c r="M412" s="17"/>
      <c r="N412" s="14"/>
      <c r="O412" s="15"/>
      <c r="P412" s="14"/>
      <c r="Q412" s="16"/>
      <c r="R412" s="13" t="str">
        <f aca="false">IF(AND(B412&lt;&gt;"",L412&lt;&gt;""),L412-B412,"")</f>
        <v/>
      </c>
      <c r="S412" s="13" t="str">
        <f aca="true">IF(B412="","",IF(O412&lt;&gt;"",O412-B412,TODAY()-B412))</f>
        <v/>
      </c>
      <c r="T412" s="13" t="str">
        <f aca="false">IF(A412="","",SUMIF('Time Log'!$C$5:$C$1004,A412,'Time Log'!$E$5:$E$1004))</f>
        <v/>
      </c>
    </row>
    <row r="413" customFormat="false" ht="15" hidden="false" customHeight="false" outlineLevel="0" collapsed="false">
      <c r="A413" s="14"/>
      <c r="B413" s="15"/>
      <c r="C413" s="14"/>
      <c r="D413" s="14"/>
      <c r="E413" s="14"/>
      <c r="F413" s="14"/>
      <c r="G413" s="14"/>
      <c r="H413" s="14"/>
      <c r="I413" s="16"/>
      <c r="J413" s="17"/>
      <c r="K413" s="14"/>
      <c r="L413" s="15"/>
      <c r="M413" s="17"/>
      <c r="N413" s="14"/>
      <c r="O413" s="15"/>
      <c r="P413" s="14"/>
      <c r="Q413" s="16"/>
      <c r="R413" s="13" t="str">
        <f aca="false">IF(AND(B413&lt;&gt;"",L413&lt;&gt;""),L413-B413,"")</f>
        <v/>
      </c>
      <c r="S413" s="13" t="str">
        <f aca="true">IF(B413="","",IF(O413&lt;&gt;"",O413-B413,TODAY()-B413))</f>
        <v/>
      </c>
      <c r="T413" s="13" t="str">
        <f aca="false">IF(A413="","",SUMIF('Time Log'!$C$5:$C$1004,A413,'Time Log'!$E$5:$E$1004))</f>
        <v/>
      </c>
    </row>
    <row r="414" customFormat="false" ht="15" hidden="false" customHeight="false" outlineLevel="0" collapsed="false">
      <c r="A414" s="14"/>
      <c r="B414" s="15"/>
      <c r="C414" s="14"/>
      <c r="D414" s="14"/>
      <c r="E414" s="14"/>
      <c r="F414" s="14"/>
      <c r="G414" s="14"/>
      <c r="H414" s="14"/>
      <c r="I414" s="16"/>
      <c r="J414" s="17"/>
      <c r="K414" s="14"/>
      <c r="L414" s="15"/>
      <c r="M414" s="17"/>
      <c r="N414" s="14"/>
      <c r="O414" s="15"/>
      <c r="P414" s="14"/>
      <c r="Q414" s="16"/>
      <c r="R414" s="13" t="str">
        <f aca="false">IF(AND(B414&lt;&gt;"",L414&lt;&gt;""),L414-B414,"")</f>
        <v/>
      </c>
      <c r="S414" s="13" t="str">
        <f aca="true">IF(B414="","",IF(O414&lt;&gt;"",O414-B414,TODAY()-B414))</f>
        <v/>
      </c>
      <c r="T414" s="13" t="str">
        <f aca="false">IF(A414="","",SUMIF('Time Log'!$C$5:$C$1004,A414,'Time Log'!$E$5:$E$1004))</f>
        <v/>
      </c>
    </row>
    <row r="415" customFormat="false" ht="15" hidden="false" customHeight="false" outlineLevel="0" collapsed="false">
      <c r="A415" s="14"/>
      <c r="B415" s="15"/>
      <c r="C415" s="14"/>
      <c r="D415" s="14"/>
      <c r="E415" s="14"/>
      <c r="F415" s="14"/>
      <c r="G415" s="14"/>
      <c r="H415" s="14"/>
      <c r="I415" s="16"/>
      <c r="J415" s="17"/>
      <c r="K415" s="14"/>
      <c r="L415" s="15"/>
      <c r="M415" s="17"/>
      <c r="N415" s="14"/>
      <c r="O415" s="15"/>
      <c r="P415" s="14"/>
      <c r="Q415" s="16"/>
      <c r="R415" s="13" t="str">
        <f aca="false">IF(AND(B415&lt;&gt;"",L415&lt;&gt;""),L415-B415,"")</f>
        <v/>
      </c>
      <c r="S415" s="13" t="str">
        <f aca="true">IF(B415="","",IF(O415&lt;&gt;"",O415-B415,TODAY()-B415))</f>
        <v/>
      </c>
      <c r="T415" s="13" t="str">
        <f aca="false">IF(A415="","",SUMIF('Time Log'!$C$5:$C$1004,A415,'Time Log'!$E$5:$E$1004))</f>
        <v/>
      </c>
    </row>
    <row r="416" customFormat="false" ht="15" hidden="false" customHeight="false" outlineLevel="0" collapsed="false">
      <c r="A416" s="14"/>
      <c r="B416" s="15"/>
      <c r="C416" s="14"/>
      <c r="D416" s="14"/>
      <c r="E416" s="14"/>
      <c r="F416" s="14"/>
      <c r="G416" s="14"/>
      <c r="H416" s="14"/>
      <c r="I416" s="16"/>
      <c r="J416" s="17"/>
      <c r="K416" s="14"/>
      <c r="L416" s="15"/>
      <c r="M416" s="17"/>
      <c r="N416" s="14"/>
      <c r="O416" s="15"/>
      <c r="P416" s="14"/>
      <c r="Q416" s="16"/>
      <c r="R416" s="13" t="str">
        <f aca="false">IF(AND(B416&lt;&gt;"",L416&lt;&gt;""),L416-B416,"")</f>
        <v/>
      </c>
      <c r="S416" s="13" t="str">
        <f aca="true">IF(B416="","",IF(O416&lt;&gt;"",O416-B416,TODAY()-B416))</f>
        <v/>
      </c>
      <c r="T416" s="13" t="str">
        <f aca="false">IF(A416="","",SUMIF('Time Log'!$C$5:$C$1004,A416,'Time Log'!$E$5:$E$1004))</f>
        <v/>
      </c>
    </row>
    <row r="417" customFormat="false" ht="15" hidden="false" customHeight="false" outlineLevel="0" collapsed="false">
      <c r="A417" s="14"/>
      <c r="B417" s="15"/>
      <c r="C417" s="14"/>
      <c r="D417" s="14"/>
      <c r="E417" s="14"/>
      <c r="F417" s="14"/>
      <c r="G417" s="14"/>
      <c r="H417" s="14"/>
      <c r="I417" s="16"/>
      <c r="J417" s="17"/>
      <c r="K417" s="14"/>
      <c r="L417" s="15"/>
      <c r="M417" s="17"/>
      <c r="N417" s="14"/>
      <c r="O417" s="15"/>
      <c r="P417" s="14"/>
      <c r="Q417" s="16"/>
      <c r="R417" s="13" t="str">
        <f aca="false">IF(AND(B417&lt;&gt;"",L417&lt;&gt;""),L417-B417,"")</f>
        <v/>
      </c>
      <c r="S417" s="13" t="str">
        <f aca="true">IF(B417="","",IF(O417&lt;&gt;"",O417-B417,TODAY()-B417))</f>
        <v/>
      </c>
      <c r="T417" s="13" t="str">
        <f aca="false">IF(A417="","",SUMIF('Time Log'!$C$5:$C$1004,A417,'Time Log'!$E$5:$E$1004))</f>
        <v/>
      </c>
    </row>
    <row r="418" customFormat="false" ht="15" hidden="false" customHeight="false" outlineLevel="0" collapsed="false">
      <c r="A418" s="14"/>
      <c r="B418" s="15"/>
      <c r="C418" s="14"/>
      <c r="D418" s="14"/>
      <c r="E418" s="14"/>
      <c r="F418" s="14"/>
      <c r="G418" s="14"/>
      <c r="H418" s="14"/>
      <c r="I418" s="16"/>
      <c r="J418" s="17"/>
      <c r="K418" s="14"/>
      <c r="L418" s="15"/>
      <c r="M418" s="17"/>
      <c r="N418" s="14"/>
      <c r="O418" s="15"/>
      <c r="P418" s="14"/>
      <c r="Q418" s="16"/>
      <c r="R418" s="13" t="str">
        <f aca="false">IF(AND(B418&lt;&gt;"",L418&lt;&gt;""),L418-B418,"")</f>
        <v/>
      </c>
      <c r="S418" s="13" t="str">
        <f aca="true">IF(B418="","",IF(O418&lt;&gt;"",O418-B418,TODAY()-B418))</f>
        <v/>
      </c>
      <c r="T418" s="13" t="str">
        <f aca="false">IF(A418="","",SUMIF('Time Log'!$C$5:$C$1004,A418,'Time Log'!$E$5:$E$1004))</f>
        <v/>
      </c>
    </row>
    <row r="419" customFormat="false" ht="15" hidden="false" customHeight="false" outlineLevel="0" collapsed="false">
      <c r="A419" s="14"/>
      <c r="B419" s="15"/>
      <c r="C419" s="14"/>
      <c r="D419" s="14"/>
      <c r="E419" s="14"/>
      <c r="F419" s="14"/>
      <c r="G419" s="14"/>
      <c r="H419" s="14"/>
      <c r="I419" s="16"/>
      <c r="J419" s="17"/>
      <c r="K419" s="14"/>
      <c r="L419" s="15"/>
      <c r="M419" s="17"/>
      <c r="N419" s="14"/>
      <c r="O419" s="15"/>
      <c r="P419" s="14"/>
      <c r="Q419" s="16"/>
      <c r="R419" s="13" t="str">
        <f aca="false">IF(AND(B419&lt;&gt;"",L419&lt;&gt;""),L419-B419,"")</f>
        <v/>
      </c>
      <c r="S419" s="13" t="str">
        <f aca="true">IF(B419="","",IF(O419&lt;&gt;"",O419-B419,TODAY()-B419))</f>
        <v/>
      </c>
      <c r="T419" s="13" t="str">
        <f aca="false">IF(A419="","",SUMIF('Time Log'!$C$5:$C$1004,A419,'Time Log'!$E$5:$E$1004))</f>
        <v/>
      </c>
    </row>
    <row r="420" customFormat="false" ht="15" hidden="false" customHeight="false" outlineLevel="0" collapsed="false">
      <c r="A420" s="14"/>
      <c r="B420" s="15"/>
      <c r="C420" s="14"/>
      <c r="D420" s="14"/>
      <c r="E420" s="14"/>
      <c r="F420" s="14"/>
      <c r="G420" s="14"/>
      <c r="H420" s="14"/>
      <c r="I420" s="16"/>
      <c r="J420" s="17"/>
      <c r="K420" s="14"/>
      <c r="L420" s="15"/>
      <c r="M420" s="17"/>
      <c r="N420" s="14"/>
      <c r="O420" s="15"/>
      <c r="P420" s="14"/>
      <c r="Q420" s="16"/>
      <c r="R420" s="13" t="str">
        <f aca="false">IF(AND(B420&lt;&gt;"",L420&lt;&gt;""),L420-B420,"")</f>
        <v/>
      </c>
      <c r="S420" s="13" t="str">
        <f aca="true">IF(B420="","",IF(O420&lt;&gt;"",O420-B420,TODAY()-B420))</f>
        <v/>
      </c>
      <c r="T420" s="13" t="str">
        <f aca="false">IF(A420="","",SUMIF('Time Log'!$C$5:$C$1004,A420,'Time Log'!$E$5:$E$1004))</f>
        <v/>
      </c>
    </row>
    <row r="421" customFormat="false" ht="15" hidden="false" customHeight="false" outlineLevel="0" collapsed="false">
      <c r="A421" s="14"/>
      <c r="B421" s="15"/>
      <c r="C421" s="14"/>
      <c r="D421" s="14"/>
      <c r="E421" s="14"/>
      <c r="F421" s="14"/>
      <c r="G421" s="14"/>
      <c r="H421" s="14"/>
      <c r="I421" s="16"/>
      <c r="J421" s="17"/>
      <c r="K421" s="14"/>
      <c r="L421" s="15"/>
      <c r="M421" s="17"/>
      <c r="N421" s="14"/>
      <c r="O421" s="15"/>
      <c r="P421" s="14"/>
      <c r="Q421" s="16"/>
      <c r="R421" s="13" t="str">
        <f aca="false">IF(AND(B421&lt;&gt;"",L421&lt;&gt;""),L421-B421,"")</f>
        <v/>
      </c>
      <c r="S421" s="13" t="str">
        <f aca="true">IF(B421="","",IF(O421&lt;&gt;"",O421-B421,TODAY()-B421))</f>
        <v/>
      </c>
      <c r="T421" s="13" t="str">
        <f aca="false">IF(A421="","",SUMIF('Time Log'!$C$5:$C$1004,A421,'Time Log'!$E$5:$E$1004))</f>
        <v/>
      </c>
    </row>
    <row r="422" customFormat="false" ht="15" hidden="false" customHeight="false" outlineLevel="0" collapsed="false">
      <c r="A422" s="14"/>
      <c r="B422" s="15"/>
      <c r="C422" s="14"/>
      <c r="D422" s="14"/>
      <c r="E422" s="14"/>
      <c r="F422" s="14"/>
      <c r="G422" s="14"/>
      <c r="H422" s="14"/>
      <c r="I422" s="16"/>
      <c r="J422" s="17"/>
      <c r="K422" s="14"/>
      <c r="L422" s="15"/>
      <c r="M422" s="17"/>
      <c r="N422" s="14"/>
      <c r="O422" s="15"/>
      <c r="P422" s="14"/>
      <c r="Q422" s="16"/>
      <c r="R422" s="13" t="str">
        <f aca="false">IF(AND(B422&lt;&gt;"",L422&lt;&gt;""),L422-B422,"")</f>
        <v/>
      </c>
      <c r="S422" s="13" t="str">
        <f aca="true">IF(B422="","",IF(O422&lt;&gt;"",O422-B422,TODAY()-B422))</f>
        <v/>
      </c>
      <c r="T422" s="13" t="str">
        <f aca="false">IF(A422="","",SUMIF('Time Log'!$C$5:$C$1004,A422,'Time Log'!$E$5:$E$1004))</f>
        <v/>
      </c>
    </row>
    <row r="423" customFormat="false" ht="15" hidden="false" customHeight="false" outlineLevel="0" collapsed="false">
      <c r="A423" s="14"/>
      <c r="B423" s="15"/>
      <c r="C423" s="14"/>
      <c r="D423" s="14"/>
      <c r="E423" s="14"/>
      <c r="F423" s="14"/>
      <c r="G423" s="14"/>
      <c r="H423" s="14"/>
      <c r="I423" s="16"/>
      <c r="J423" s="17"/>
      <c r="K423" s="14"/>
      <c r="L423" s="15"/>
      <c r="M423" s="17"/>
      <c r="N423" s="14"/>
      <c r="O423" s="15"/>
      <c r="P423" s="14"/>
      <c r="Q423" s="16"/>
      <c r="R423" s="13" t="str">
        <f aca="false">IF(AND(B423&lt;&gt;"",L423&lt;&gt;""),L423-B423,"")</f>
        <v/>
      </c>
      <c r="S423" s="13" t="str">
        <f aca="true">IF(B423="","",IF(O423&lt;&gt;"",O423-B423,TODAY()-B423))</f>
        <v/>
      </c>
      <c r="T423" s="13" t="str">
        <f aca="false">IF(A423="","",SUMIF('Time Log'!$C$5:$C$1004,A423,'Time Log'!$E$5:$E$1004))</f>
        <v/>
      </c>
    </row>
    <row r="424" customFormat="false" ht="15" hidden="false" customHeight="false" outlineLevel="0" collapsed="false">
      <c r="A424" s="14"/>
      <c r="B424" s="15"/>
      <c r="C424" s="14"/>
      <c r="D424" s="14"/>
      <c r="E424" s="14"/>
      <c r="F424" s="14"/>
      <c r="G424" s="14"/>
      <c r="H424" s="14"/>
      <c r="I424" s="16"/>
      <c r="J424" s="17"/>
      <c r="K424" s="14"/>
      <c r="L424" s="15"/>
      <c r="M424" s="17"/>
      <c r="N424" s="14"/>
      <c r="O424" s="15"/>
      <c r="P424" s="14"/>
      <c r="Q424" s="16"/>
      <c r="R424" s="13" t="str">
        <f aca="false">IF(AND(B424&lt;&gt;"",L424&lt;&gt;""),L424-B424,"")</f>
        <v/>
      </c>
      <c r="S424" s="13" t="str">
        <f aca="true">IF(B424="","",IF(O424&lt;&gt;"",O424-B424,TODAY()-B424))</f>
        <v/>
      </c>
      <c r="T424" s="13" t="str">
        <f aca="false">IF(A424="","",SUMIF('Time Log'!$C$5:$C$1004,A424,'Time Log'!$E$5:$E$1004))</f>
        <v/>
      </c>
    </row>
    <row r="425" customFormat="false" ht="15" hidden="false" customHeight="false" outlineLevel="0" collapsed="false">
      <c r="A425" s="14"/>
      <c r="B425" s="15"/>
      <c r="C425" s="14"/>
      <c r="D425" s="14"/>
      <c r="E425" s="14"/>
      <c r="F425" s="14"/>
      <c r="G425" s="14"/>
      <c r="H425" s="14"/>
      <c r="I425" s="16"/>
      <c r="J425" s="17"/>
      <c r="K425" s="14"/>
      <c r="L425" s="15"/>
      <c r="M425" s="17"/>
      <c r="N425" s="14"/>
      <c r="O425" s="15"/>
      <c r="P425" s="14"/>
      <c r="Q425" s="16"/>
      <c r="R425" s="13" t="str">
        <f aca="false">IF(AND(B425&lt;&gt;"",L425&lt;&gt;""),L425-B425,"")</f>
        <v/>
      </c>
      <c r="S425" s="13" t="str">
        <f aca="true">IF(B425="","",IF(O425&lt;&gt;"",O425-B425,TODAY()-B425))</f>
        <v/>
      </c>
      <c r="T425" s="13" t="str">
        <f aca="false">IF(A425="","",SUMIF('Time Log'!$C$5:$C$1004,A425,'Time Log'!$E$5:$E$1004))</f>
        <v/>
      </c>
    </row>
    <row r="426" customFormat="false" ht="15" hidden="false" customHeight="false" outlineLevel="0" collapsed="false">
      <c r="A426" s="14"/>
      <c r="B426" s="15"/>
      <c r="C426" s="14"/>
      <c r="D426" s="14"/>
      <c r="E426" s="14"/>
      <c r="F426" s="14"/>
      <c r="G426" s="14"/>
      <c r="H426" s="14"/>
      <c r="I426" s="16"/>
      <c r="J426" s="17"/>
      <c r="K426" s="14"/>
      <c r="L426" s="15"/>
      <c r="M426" s="17"/>
      <c r="N426" s="14"/>
      <c r="O426" s="15"/>
      <c r="P426" s="14"/>
      <c r="Q426" s="16"/>
      <c r="R426" s="13" t="str">
        <f aca="false">IF(AND(B426&lt;&gt;"",L426&lt;&gt;""),L426-B426,"")</f>
        <v/>
      </c>
      <c r="S426" s="13" t="str">
        <f aca="true">IF(B426="","",IF(O426&lt;&gt;"",O426-B426,TODAY()-B426))</f>
        <v/>
      </c>
      <c r="T426" s="13" t="str">
        <f aca="false">IF(A426="","",SUMIF('Time Log'!$C$5:$C$1004,A426,'Time Log'!$E$5:$E$1004))</f>
        <v/>
      </c>
    </row>
    <row r="427" customFormat="false" ht="15" hidden="false" customHeight="false" outlineLevel="0" collapsed="false">
      <c r="A427" s="14"/>
      <c r="B427" s="15"/>
      <c r="C427" s="14"/>
      <c r="D427" s="14"/>
      <c r="E427" s="14"/>
      <c r="F427" s="14"/>
      <c r="G427" s="14"/>
      <c r="H427" s="14"/>
      <c r="I427" s="16"/>
      <c r="J427" s="17"/>
      <c r="K427" s="14"/>
      <c r="L427" s="15"/>
      <c r="M427" s="17"/>
      <c r="N427" s="14"/>
      <c r="O427" s="15"/>
      <c r="P427" s="14"/>
      <c r="Q427" s="16"/>
      <c r="R427" s="13" t="str">
        <f aca="false">IF(AND(B427&lt;&gt;"",L427&lt;&gt;""),L427-B427,"")</f>
        <v/>
      </c>
      <c r="S427" s="13" t="str">
        <f aca="true">IF(B427="","",IF(O427&lt;&gt;"",O427-B427,TODAY()-B427))</f>
        <v/>
      </c>
      <c r="T427" s="13" t="str">
        <f aca="false">IF(A427="","",SUMIF('Time Log'!$C$5:$C$1004,A427,'Time Log'!$E$5:$E$1004))</f>
        <v/>
      </c>
    </row>
    <row r="428" customFormat="false" ht="15" hidden="false" customHeight="false" outlineLevel="0" collapsed="false">
      <c r="A428" s="14"/>
      <c r="B428" s="15"/>
      <c r="C428" s="14"/>
      <c r="D428" s="14"/>
      <c r="E428" s="14"/>
      <c r="F428" s="14"/>
      <c r="G428" s="14"/>
      <c r="H428" s="14"/>
      <c r="I428" s="16"/>
      <c r="J428" s="17"/>
      <c r="K428" s="14"/>
      <c r="L428" s="15"/>
      <c r="M428" s="17"/>
      <c r="N428" s="14"/>
      <c r="O428" s="15"/>
      <c r="P428" s="14"/>
      <c r="Q428" s="16"/>
      <c r="R428" s="13" t="str">
        <f aca="false">IF(AND(B428&lt;&gt;"",L428&lt;&gt;""),L428-B428,"")</f>
        <v/>
      </c>
      <c r="S428" s="13" t="str">
        <f aca="true">IF(B428="","",IF(O428&lt;&gt;"",O428-B428,TODAY()-B428))</f>
        <v/>
      </c>
      <c r="T428" s="13" t="str">
        <f aca="false">IF(A428="","",SUMIF('Time Log'!$C$5:$C$1004,A428,'Time Log'!$E$5:$E$1004))</f>
        <v/>
      </c>
    </row>
    <row r="429" customFormat="false" ht="15" hidden="false" customHeight="false" outlineLevel="0" collapsed="false">
      <c r="A429" s="14"/>
      <c r="B429" s="15"/>
      <c r="C429" s="14"/>
      <c r="D429" s="14"/>
      <c r="E429" s="14"/>
      <c r="F429" s="14"/>
      <c r="G429" s="14"/>
      <c r="H429" s="14"/>
      <c r="I429" s="16"/>
      <c r="J429" s="17"/>
      <c r="K429" s="14"/>
      <c r="L429" s="15"/>
      <c r="M429" s="17"/>
      <c r="N429" s="14"/>
      <c r="O429" s="15"/>
      <c r="P429" s="14"/>
      <c r="Q429" s="16"/>
      <c r="R429" s="13" t="str">
        <f aca="false">IF(AND(B429&lt;&gt;"",L429&lt;&gt;""),L429-B429,"")</f>
        <v/>
      </c>
      <c r="S429" s="13" t="str">
        <f aca="true">IF(B429="","",IF(O429&lt;&gt;"",O429-B429,TODAY()-B429))</f>
        <v/>
      </c>
      <c r="T429" s="13" t="str">
        <f aca="false">IF(A429="","",SUMIF('Time Log'!$C$5:$C$1004,A429,'Time Log'!$E$5:$E$1004))</f>
        <v/>
      </c>
    </row>
    <row r="430" customFormat="false" ht="15" hidden="false" customHeight="false" outlineLevel="0" collapsed="false">
      <c r="A430" s="14"/>
      <c r="B430" s="15"/>
      <c r="C430" s="14"/>
      <c r="D430" s="14"/>
      <c r="E430" s="14"/>
      <c r="F430" s="14"/>
      <c r="G430" s="14"/>
      <c r="H430" s="14"/>
      <c r="I430" s="16"/>
      <c r="J430" s="17"/>
      <c r="K430" s="14"/>
      <c r="L430" s="15"/>
      <c r="M430" s="17"/>
      <c r="N430" s="14"/>
      <c r="O430" s="15"/>
      <c r="P430" s="14"/>
      <c r="Q430" s="16"/>
      <c r="R430" s="13" t="str">
        <f aca="false">IF(AND(B430&lt;&gt;"",L430&lt;&gt;""),L430-B430,"")</f>
        <v/>
      </c>
      <c r="S430" s="13" t="str">
        <f aca="true">IF(B430="","",IF(O430&lt;&gt;"",O430-B430,TODAY()-B430))</f>
        <v/>
      </c>
      <c r="T430" s="13" t="str">
        <f aca="false">IF(A430="","",SUMIF('Time Log'!$C$5:$C$1004,A430,'Time Log'!$E$5:$E$1004))</f>
        <v/>
      </c>
    </row>
    <row r="431" customFormat="false" ht="15" hidden="false" customHeight="false" outlineLevel="0" collapsed="false">
      <c r="A431" s="14"/>
      <c r="B431" s="15"/>
      <c r="C431" s="14"/>
      <c r="D431" s="14"/>
      <c r="E431" s="14"/>
      <c r="F431" s="14"/>
      <c r="G431" s="14"/>
      <c r="H431" s="14"/>
      <c r="I431" s="16"/>
      <c r="J431" s="17"/>
      <c r="K431" s="14"/>
      <c r="L431" s="15"/>
      <c r="M431" s="17"/>
      <c r="N431" s="14"/>
      <c r="O431" s="15"/>
      <c r="P431" s="14"/>
      <c r="Q431" s="16"/>
      <c r="R431" s="13" t="str">
        <f aca="false">IF(AND(B431&lt;&gt;"",L431&lt;&gt;""),L431-B431,"")</f>
        <v/>
      </c>
      <c r="S431" s="13" t="str">
        <f aca="true">IF(B431="","",IF(O431&lt;&gt;"",O431-B431,TODAY()-B431))</f>
        <v/>
      </c>
      <c r="T431" s="13" t="str">
        <f aca="false">IF(A431="","",SUMIF('Time Log'!$C$5:$C$1004,A431,'Time Log'!$E$5:$E$1004))</f>
        <v/>
      </c>
    </row>
    <row r="432" customFormat="false" ht="15" hidden="false" customHeight="false" outlineLevel="0" collapsed="false">
      <c r="A432" s="14"/>
      <c r="B432" s="15"/>
      <c r="C432" s="14"/>
      <c r="D432" s="14"/>
      <c r="E432" s="14"/>
      <c r="F432" s="14"/>
      <c r="G432" s="14"/>
      <c r="H432" s="14"/>
      <c r="I432" s="16"/>
      <c r="J432" s="17"/>
      <c r="K432" s="14"/>
      <c r="L432" s="15"/>
      <c r="M432" s="17"/>
      <c r="N432" s="14"/>
      <c r="O432" s="15"/>
      <c r="P432" s="14"/>
      <c r="Q432" s="16"/>
      <c r="R432" s="13" t="str">
        <f aca="false">IF(AND(B432&lt;&gt;"",L432&lt;&gt;""),L432-B432,"")</f>
        <v/>
      </c>
      <c r="S432" s="13" t="str">
        <f aca="true">IF(B432="","",IF(O432&lt;&gt;"",O432-B432,TODAY()-B432))</f>
        <v/>
      </c>
      <c r="T432" s="13" t="str">
        <f aca="false">IF(A432="","",SUMIF('Time Log'!$C$5:$C$1004,A432,'Time Log'!$E$5:$E$1004))</f>
        <v/>
      </c>
    </row>
    <row r="433" customFormat="false" ht="15" hidden="false" customHeight="false" outlineLevel="0" collapsed="false">
      <c r="A433" s="14"/>
      <c r="B433" s="15"/>
      <c r="C433" s="14"/>
      <c r="D433" s="14"/>
      <c r="E433" s="14"/>
      <c r="F433" s="14"/>
      <c r="G433" s="14"/>
      <c r="H433" s="14"/>
      <c r="I433" s="16"/>
      <c r="J433" s="17"/>
      <c r="K433" s="14"/>
      <c r="L433" s="15"/>
      <c r="M433" s="17"/>
      <c r="N433" s="14"/>
      <c r="O433" s="15"/>
      <c r="P433" s="14"/>
      <c r="Q433" s="16"/>
      <c r="R433" s="13" t="str">
        <f aca="false">IF(AND(B433&lt;&gt;"",L433&lt;&gt;""),L433-B433,"")</f>
        <v/>
      </c>
      <c r="S433" s="13" t="str">
        <f aca="true">IF(B433="","",IF(O433&lt;&gt;"",O433-B433,TODAY()-B433))</f>
        <v/>
      </c>
      <c r="T433" s="13" t="str">
        <f aca="false">IF(A433="","",SUMIF('Time Log'!$C$5:$C$1004,A433,'Time Log'!$E$5:$E$1004))</f>
        <v/>
      </c>
    </row>
    <row r="434" customFormat="false" ht="15" hidden="false" customHeight="false" outlineLevel="0" collapsed="false">
      <c r="A434" s="14"/>
      <c r="B434" s="15"/>
      <c r="C434" s="14"/>
      <c r="D434" s="14"/>
      <c r="E434" s="14"/>
      <c r="F434" s="14"/>
      <c r="G434" s="14"/>
      <c r="H434" s="14"/>
      <c r="I434" s="16"/>
      <c r="J434" s="17"/>
      <c r="K434" s="14"/>
      <c r="L434" s="15"/>
      <c r="M434" s="17"/>
      <c r="N434" s="14"/>
      <c r="O434" s="15"/>
      <c r="P434" s="14"/>
      <c r="Q434" s="16"/>
      <c r="R434" s="13" t="str">
        <f aca="false">IF(AND(B434&lt;&gt;"",L434&lt;&gt;""),L434-B434,"")</f>
        <v/>
      </c>
      <c r="S434" s="13" t="str">
        <f aca="true">IF(B434="","",IF(O434&lt;&gt;"",O434-B434,TODAY()-B434))</f>
        <v/>
      </c>
      <c r="T434" s="13" t="str">
        <f aca="false">IF(A434="","",SUMIF('Time Log'!$C$5:$C$1004,A434,'Time Log'!$E$5:$E$1004))</f>
        <v/>
      </c>
    </row>
    <row r="435" customFormat="false" ht="15" hidden="false" customHeight="false" outlineLevel="0" collapsed="false">
      <c r="A435" s="14"/>
      <c r="B435" s="15"/>
      <c r="C435" s="14"/>
      <c r="D435" s="14"/>
      <c r="E435" s="14"/>
      <c r="F435" s="14"/>
      <c r="G435" s="14"/>
      <c r="H435" s="14"/>
      <c r="I435" s="16"/>
      <c r="J435" s="17"/>
      <c r="K435" s="14"/>
      <c r="L435" s="15"/>
      <c r="M435" s="17"/>
      <c r="N435" s="14"/>
      <c r="O435" s="15"/>
      <c r="P435" s="14"/>
      <c r="Q435" s="16"/>
      <c r="R435" s="13" t="str">
        <f aca="false">IF(AND(B435&lt;&gt;"",L435&lt;&gt;""),L435-B435,"")</f>
        <v/>
      </c>
      <c r="S435" s="13" t="str">
        <f aca="true">IF(B435="","",IF(O435&lt;&gt;"",O435-B435,TODAY()-B435))</f>
        <v/>
      </c>
      <c r="T435" s="13" t="str">
        <f aca="false">IF(A435="","",SUMIF('Time Log'!$C$5:$C$1004,A435,'Time Log'!$E$5:$E$1004))</f>
        <v/>
      </c>
    </row>
    <row r="436" customFormat="false" ht="15" hidden="false" customHeight="false" outlineLevel="0" collapsed="false">
      <c r="A436" s="14"/>
      <c r="B436" s="15"/>
      <c r="C436" s="14"/>
      <c r="D436" s="14"/>
      <c r="E436" s="14"/>
      <c r="F436" s="14"/>
      <c r="G436" s="14"/>
      <c r="H436" s="14"/>
      <c r="I436" s="16"/>
      <c r="J436" s="17"/>
      <c r="K436" s="14"/>
      <c r="L436" s="15"/>
      <c r="M436" s="17"/>
      <c r="N436" s="14"/>
      <c r="O436" s="15"/>
      <c r="P436" s="14"/>
      <c r="Q436" s="16"/>
      <c r="R436" s="13" t="str">
        <f aca="false">IF(AND(B436&lt;&gt;"",L436&lt;&gt;""),L436-B436,"")</f>
        <v/>
      </c>
      <c r="S436" s="13" t="str">
        <f aca="true">IF(B436="","",IF(O436&lt;&gt;"",O436-B436,TODAY()-B436))</f>
        <v/>
      </c>
      <c r="T436" s="13" t="str">
        <f aca="false">IF(A436="","",SUMIF('Time Log'!$C$5:$C$1004,A436,'Time Log'!$E$5:$E$1004))</f>
        <v/>
      </c>
    </row>
    <row r="437" customFormat="false" ht="15" hidden="false" customHeight="false" outlineLevel="0" collapsed="false">
      <c r="A437" s="14"/>
      <c r="B437" s="15"/>
      <c r="C437" s="14"/>
      <c r="D437" s="14"/>
      <c r="E437" s="14"/>
      <c r="F437" s="14"/>
      <c r="G437" s="14"/>
      <c r="H437" s="14"/>
      <c r="I437" s="16"/>
      <c r="J437" s="17"/>
      <c r="K437" s="14"/>
      <c r="L437" s="15"/>
      <c r="M437" s="17"/>
      <c r="N437" s="14"/>
      <c r="O437" s="15"/>
      <c r="P437" s="14"/>
      <c r="Q437" s="16"/>
      <c r="R437" s="13" t="str">
        <f aca="false">IF(AND(B437&lt;&gt;"",L437&lt;&gt;""),L437-B437,"")</f>
        <v/>
      </c>
      <c r="S437" s="13" t="str">
        <f aca="true">IF(B437="","",IF(O437&lt;&gt;"",O437-B437,TODAY()-B437))</f>
        <v/>
      </c>
      <c r="T437" s="13" t="str">
        <f aca="false">IF(A437="","",SUMIF('Time Log'!$C$5:$C$1004,A437,'Time Log'!$E$5:$E$1004))</f>
        <v/>
      </c>
    </row>
    <row r="438" customFormat="false" ht="15" hidden="false" customHeight="false" outlineLevel="0" collapsed="false">
      <c r="A438" s="14"/>
      <c r="B438" s="15"/>
      <c r="C438" s="14"/>
      <c r="D438" s="14"/>
      <c r="E438" s="14"/>
      <c r="F438" s="14"/>
      <c r="G438" s="14"/>
      <c r="H438" s="14"/>
      <c r="I438" s="16"/>
      <c r="J438" s="17"/>
      <c r="K438" s="14"/>
      <c r="L438" s="15"/>
      <c r="M438" s="17"/>
      <c r="N438" s="14"/>
      <c r="O438" s="15"/>
      <c r="P438" s="14"/>
      <c r="Q438" s="16"/>
      <c r="R438" s="13" t="str">
        <f aca="false">IF(AND(B438&lt;&gt;"",L438&lt;&gt;""),L438-B438,"")</f>
        <v/>
      </c>
      <c r="S438" s="13" t="str">
        <f aca="true">IF(B438="","",IF(O438&lt;&gt;"",O438-B438,TODAY()-B438))</f>
        <v/>
      </c>
      <c r="T438" s="13" t="str">
        <f aca="false">IF(A438="","",SUMIF('Time Log'!$C$5:$C$1004,A438,'Time Log'!$E$5:$E$1004))</f>
        <v/>
      </c>
    </row>
    <row r="439" customFormat="false" ht="15" hidden="false" customHeight="false" outlineLevel="0" collapsed="false">
      <c r="A439" s="14"/>
      <c r="B439" s="15"/>
      <c r="C439" s="14"/>
      <c r="D439" s="14"/>
      <c r="E439" s="14"/>
      <c r="F439" s="14"/>
      <c r="G439" s="14"/>
      <c r="H439" s="14"/>
      <c r="I439" s="16"/>
      <c r="J439" s="17"/>
      <c r="K439" s="14"/>
      <c r="L439" s="15"/>
      <c r="M439" s="17"/>
      <c r="N439" s="14"/>
      <c r="O439" s="15"/>
      <c r="P439" s="14"/>
      <c r="Q439" s="16"/>
      <c r="R439" s="13" t="str">
        <f aca="false">IF(AND(B439&lt;&gt;"",L439&lt;&gt;""),L439-B439,"")</f>
        <v/>
      </c>
      <c r="S439" s="13" t="str">
        <f aca="true">IF(B439="","",IF(O439&lt;&gt;"",O439-B439,TODAY()-B439))</f>
        <v/>
      </c>
      <c r="T439" s="13" t="str">
        <f aca="false">IF(A439="","",SUMIF('Time Log'!$C$5:$C$1004,A439,'Time Log'!$E$5:$E$1004))</f>
        <v/>
      </c>
    </row>
    <row r="440" customFormat="false" ht="15" hidden="false" customHeight="false" outlineLevel="0" collapsed="false">
      <c r="A440" s="14"/>
      <c r="B440" s="15"/>
      <c r="C440" s="14"/>
      <c r="D440" s="14"/>
      <c r="E440" s="14"/>
      <c r="F440" s="14"/>
      <c r="G440" s="14"/>
      <c r="H440" s="14"/>
      <c r="I440" s="16"/>
      <c r="J440" s="17"/>
      <c r="K440" s="14"/>
      <c r="L440" s="15"/>
      <c r="M440" s="17"/>
      <c r="N440" s="14"/>
      <c r="O440" s="15"/>
      <c r="P440" s="14"/>
      <c r="Q440" s="16"/>
      <c r="R440" s="13" t="str">
        <f aca="false">IF(AND(B440&lt;&gt;"",L440&lt;&gt;""),L440-B440,"")</f>
        <v/>
      </c>
      <c r="S440" s="13" t="str">
        <f aca="true">IF(B440="","",IF(O440&lt;&gt;"",O440-B440,TODAY()-B440))</f>
        <v/>
      </c>
      <c r="T440" s="13" t="str">
        <f aca="false">IF(A440="","",SUMIF('Time Log'!$C$5:$C$1004,A440,'Time Log'!$E$5:$E$1004))</f>
        <v/>
      </c>
    </row>
    <row r="441" customFormat="false" ht="15" hidden="false" customHeight="false" outlineLevel="0" collapsed="false">
      <c r="A441" s="14"/>
      <c r="B441" s="15"/>
      <c r="C441" s="14"/>
      <c r="D441" s="14"/>
      <c r="E441" s="14"/>
      <c r="F441" s="14"/>
      <c r="G441" s="14"/>
      <c r="H441" s="14"/>
      <c r="I441" s="16"/>
      <c r="J441" s="17"/>
      <c r="K441" s="14"/>
      <c r="L441" s="15"/>
      <c r="M441" s="17"/>
      <c r="N441" s="14"/>
      <c r="O441" s="15"/>
      <c r="P441" s="14"/>
      <c r="Q441" s="16"/>
      <c r="R441" s="13" t="str">
        <f aca="false">IF(AND(B441&lt;&gt;"",L441&lt;&gt;""),L441-B441,"")</f>
        <v/>
      </c>
      <c r="S441" s="13" t="str">
        <f aca="true">IF(B441="","",IF(O441&lt;&gt;"",O441-B441,TODAY()-B441))</f>
        <v/>
      </c>
      <c r="T441" s="13" t="str">
        <f aca="false">IF(A441="","",SUMIF('Time Log'!$C$5:$C$1004,A441,'Time Log'!$E$5:$E$1004))</f>
        <v/>
      </c>
    </row>
    <row r="442" customFormat="false" ht="15" hidden="false" customHeight="false" outlineLevel="0" collapsed="false">
      <c r="A442" s="14"/>
      <c r="B442" s="15"/>
      <c r="C442" s="14"/>
      <c r="D442" s="14"/>
      <c r="E442" s="14"/>
      <c r="F442" s="14"/>
      <c r="G442" s="14"/>
      <c r="H442" s="14"/>
      <c r="I442" s="16"/>
      <c r="J442" s="17"/>
      <c r="K442" s="14"/>
      <c r="L442" s="15"/>
      <c r="M442" s="17"/>
      <c r="N442" s="14"/>
      <c r="O442" s="15"/>
      <c r="P442" s="14"/>
      <c r="Q442" s="16"/>
      <c r="R442" s="13" t="str">
        <f aca="false">IF(AND(B442&lt;&gt;"",L442&lt;&gt;""),L442-B442,"")</f>
        <v/>
      </c>
      <c r="S442" s="13" t="str">
        <f aca="true">IF(B442="","",IF(O442&lt;&gt;"",O442-B442,TODAY()-B442))</f>
        <v/>
      </c>
      <c r="T442" s="13" t="str">
        <f aca="false">IF(A442="","",SUMIF('Time Log'!$C$5:$C$1004,A442,'Time Log'!$E$5:$E$1004))</f>
        <v/>
      </c>
    </row>
    <row r="443" customFormat="false" ht="15" hidden="false" customHeight="false" outlineLevel="0" collapsed="false">
      <c r="A443" s="14"/>
      <c r="B443" s="15"/>
      <c r="C443" s="14"/>
      <c r="D443" s="14"/>
      <c r="E443" s="14"/>
      <c r="F443" s="14"/>
      <c r="G443" s="14"/>
      <c r="H443" s="14"/>
      <c r="I443" s="16"/>
      <c r="J443" s="17"/>
      <c r="K443" s="14"/>
      <c r="L443" s="15"/>
      <c r="M443" s="17"/>
      <c r="N443" s="14"/>
      <c r="O443" s="15"/>
      <c r="P443" s="14"/>
      <c r="Q443" s="16"/>
      <c r="R443" s="13" t="str">
        <f aca="false">IF(AND(B443&lt;&gt;"",L443&lt;&gt;""),L443-B443,"")</f>
        <v/>
      </c>
      <c r="S443" s="13" t="str">
        <f aca="true">IF(B443="","",IF(O443&lt;&gt;"",O443-B443,TODAY()-B443))</f>
        <v/>
      </c>
      <c r="T443" s="13" t="str">
        <f aca="false">IF(A443="","",SUMIF('Time Log'!$C$5:$C$1004,A443,'Time Log'!$E$5:$E$1004))</f>
        <v/>
      </c>
    </row>
    <row r="444" customFormat="false" ht="15" hidden="false" customHeight="false" outlineLevel="0" collapsed="false">
      <c r="A444" s="14"/>
      <c r="B444" s="15"/>
      <c r="C444" s="14"/>
      <c r="D444" s="14"/>
      <c r="E444" s="14"/>
      <c r="F444" s="14"/>
      <c r="G444" s="14"/>
      <c r="H444" s="14"/>
      <c r="I444" s="16"/>
      <c r="J444" s="17"/>
      <c r="K444" s="14"/>
      <c r="L444" s="15"/>
      <c r="M444" s="17"/>
      <c r="N444" s="14"/>
      <c r="O444" s="15"/>
      <c r="P444" s="14"/>
      <c r="Q444" s="16"/>
      <c r="R444" s="13" t="str">
        <f aca="false">IF(AND(B444&lt;&gt;"",L444&lt;&gt;""),L444-B444,"")</f>
        <v/>
      </c>
      <c r="S444" s="13" t="str">
        <f aca="true">IF(B444="","",IF(O444&lt;&gt;"",O444-B444,TODAY()-B444))</f>
        <v/>
      </c>
      <c r="T444" s="13" t="str">
        <f aca="false">IF(A444="","",SUMIF('Time Log'!$C$5:$C$1004,A444,'Time Log'!$E$5:$E$1004))</f>
        <v/>
      </c>
    </row>
    <row r="445" customFormat="false" ht="15" hidden="false" customHeight="false" outlineLevel="0" collapsed="false">
      <c r="A445" s="14"/>
      <c r="B445" s="15"/>
      <c r="C445" s="14"/>
      <c r="D445" s="14"/>
      <c r="E445" s="14"/>
      <c r="F445" s="14"/>
      <c r="G445" s="14"/>
      <c r="H445" s="14"/>
      <c r="I445" s="16"/>
      <c r="J445" s="17"/>
      <c r="K445" s="14"/>
      <c r="L445" s="15"/>
      <c r="M445" s="17"/>
      <c r="N445" s="14"/>
      <c r="O445" s="15"/>
      <c r="P445" s="14"/>
      <c r="Q445" s="16"/>
      <c r="R445" s="13" t="str">
        <f aca="false">IF(AND(B445&lt;&gt;"",L445&lt;&gt;""),L445-B445,"")</f>
        <v/>
      </c>
      <c r="S445" s="13" t="str">
        <f aca="true">IF(B445="","",IF(O445&lt;&gt;"",O445-B445,TODAY()-B445))</f>
        <v/>
      </c>
      <c r="T445" s="13" t="str">
        <f aca="false">IF(A445="","",SUMIF('Time Log'!$C$5:$C$1004,A445,'Time Log'!$E$5:$E$1004))</f>
        <v/>
      </c>
    </row>
    <row r="446" customFormat="false" ht="15" hidden="false" customHeight="false" outlineLevel="0" collapsed="false">
      <c r="A446" s="14"/>
      <c r="B446" s="15"/>
      <c r="C446" s="14"/>
      <c r="D446" s="14"/>
      <c r="E446" s="14"/>
      <c r="F446" s="14"/>
      <c r="G446" s="14"/>
      <c r="H446" s="14"/>
      <c r="I446" s="16"/>
      <c r="J446" s="17"/>
      <c r="K446" s="14"/>
      <c r="L446" s="15"/>
      <c r="M446" s="17"/>
      <c r="N446" s="14"/>
      <c r="O446" s="15"/>
      <c r="P446" s="14"/>
      <c r="Q446" s="16"/>
      <c r="R446" s="13" t="str">
        <f aca="false">IF(AND(B446&lt;&gt;"",L446&lt;&gt;""),L446-B446,"")</f>
        <v/>
      </c>
      <c r="S446" s="13" t="str">
        <f aca="true">IF(B446="","",IF(O446&lt;&gt;"",O446-B446,TODAY()-B446))</f>
        <v/>
      </c>
      <c r="T446" s="13" t="str">
        <f aca="false">IF(A446="","",SUMIF('Time Log'!$C$5:$C$1004,A446,'Time Log'!$E$5:$E$1004))</f>
        <v/>
      </c>
    </row>
    <row r="447" customFormat="false" ht="15" hidden="false" customHeight="false" outlineLevel="0" collapsed="false">
      <c r="A447" s="14"/>
      <c r="B447" s="15"/>
      <c r="C447" s="14"/>
      <c r="D447" s="14"/>
      <c r="E447" s="14"/>
      <c r="F447" s="14"/>
      <c r="G447" s="14"/>
      <c r="H447" s="14"/>
      <c r="I447" s="16"/>
      <c r="J447" s="17"/>
      <c r="K447" s="14"/>
      <c r="L447" s="15"/>
      <c r="M447" s="17"/>
      <c r="N447" s="14"/>
      <c r="O447" s="15"/>
      <c r="P447" s="14"/>
      <c r="Q447" s="16"/>
      <c r="R447" s="13" t="str">
        <f aca="false">IF(AND(B447&lt;&gt;"",L447&lt;&gt;""),L447-B447,"")</f>
        <v/>
      </c>
      <c r="S447" s="13" t="str">
        <f aca="true">IF(B447="","",IF(O447&lt;&gt;"",O447-B447,TODAY()-B447))</f>
        <v/>
      </c>
      <c r="T447" s="13" t="str">
        <f aca="false">IF(A447="","",SUMIF('Time Log'!$C$5:$C$1004,A447,'Time Log'!$E$5:$E$1004))</f>
        <v/>
      </c>
    </row>
    <row r="448" customFormat="false" ht="15" hidden="false" customHeight="false" outlineLevel="0" collapsed="false">
      <c r="A448" s="14"/>
      <c r="B448" s="15"/>
      <c r="C448" s="14"/>
      <c r="D448" s="14"/>
      <c r="E448" s="14"/>
      <c r="F448" s="14"/>
      <c r="G448" s="14"/>
      <c r="H448" s="14"/>
      <c r="I448" s="16"/>
      <c r="J448" s="17"/>
      <c r="K448" s="14"/>
      <c r="L448" s="15"/>
      <c r="M448" s="17"/>
      <c r="N448" s="14"/>
      <c r="O448" s="15"/>
      <c r="P448" s="14"/>
      <c r="Q448" s="16"/>
      <c r="R448" s="13" t="str">
        <f aca="false">IF(AND(B448&lt;&gt;"",L448&lt;&gt;""),L448-B448,"")</f>
        <v/>
      </c>
      <c r="S448" s="13" t="str">
        <f aca="true">IF(B448="","",IF(O448&lt;&gt;"",O448-B448,TODAY()-B448))</f>
        <v/>
      </c>
      <c r="T448" s="13" t="str">
        <f aca="false">IF(A448="","",SUMIF('Time Log'!$C$5:$C$1004,A448,'Time Log'!$E$5:$E$1004))</f>
        <v/>
      </c>
    </row>
    <row r="449" customFormat="false" ht="15" hidden="false" customHeight="false" outlineLevel="0" collapsed="false">
      <c r="A449" s="14"/>
      <c r="B449" s="15"/>
      <c r="C449" s="14"/>
      <c r="D449" s="14"/>
      <c r="E449" s="14"/>
      <c r="F449" s="14"/>
      <c r="G449" s="14"/>
      <c r="H449" s="14"/>
      <c r="I449" s="16"/>
      <c r="J449" s="17"/>
      <c r="K449" s="14"/>
      <c r="L449" s="15"/>
      <c r="M449" s="17"/>
      <c r="N449" s="14"/>
      <c r="O449" s="15"/>
      <c r="P449" s="14"/>
      <c r="Q449" s="16"/>
      <c r="R449" s="13" t="str">
        <f aca="false">IF(AND(B449&lt;&gt;"",L449&lt;&gt;""),L449-B449,"")</f>
        <v/>
      </c>
      <c r="S449" s="13" t="str">
        <f aca="true">IF(B449="","",IF(O449&lt;&gt;"",O449-B449,TODAY()-B449))</f>
        <v/>
      </c>
      <c r="T449" s="13" t="str">
        <f aca="false">IF(A449="","",SUMIF('Time Log'!$C$5:$C$1004,A449,'Time Log'!$E$5:$E$1004))</f>
        <v/>
      </c>
    </row>
    <row r="450" customFormat="false" ht="15" hidden="false" customHeight="false" outlineLevel="0" collapsed="false">
      <c r="A450" s="14"/>
      <c r="B450" s="15"/>
      <c r="C450" s="14"/>
      <c r="D450" s="14"/>
      <c r="E450" s="14"/>
      <c r="F450" s="14"/>
      <c r="G450" s="14"/>
      <c r="H450" s="14"/>
      <c r="I450" s="16"/>
      <c r="J450" s="17"/>
      <c r="K450" s="14"/>
      <c r="L450" s="15"/>
      <c r="M450" s="17"/>
      <c r="N450" s="14"/>
      <c r="O450" s="15"/>
      <c r="P450" s="14"/>
      <c r="Q450" s="16"/>
      <c r="R450" s="13" t="str">
        <f aca="false">IF(AND(B450&lt;&gt;"",L450&lt;&gt;""),L450-B450,"")</f>
        <v/>
      </c>
      <c r="S450" s="13" t="str">
        <f aca="true">IF(B450="","",IF(O450&lt;&gt;"",O450-B450,TODAY()-B450))</f>
        <v/>
      </c>
      <c r="T450" s="13" t="str">
        <f aca="false">IF(A450="","",SUMIF('Time Log'!$C$5:$C$1004,A450,'Time Log'!$E$5:$E$1004))</f>
        <v/>
      </c>
    </row>
    <row r="451" customFormat="false" ht="15" hidden="false" customHeight="false" outlineLevel="0" collapsed="false">
      <c r="A451" s="14"/>
      <c r="B451" s="15"/>
      <c r="C451" s="14"/>
      <c r="D451" s="14"/>
      <c r="E451" s="14"/>
      <c r="F451" s="14"/>
      <c r="G451" s="14"/>
      <c r="H451" s="14"/>
      <c r="I451" s="16"/>
      <c r="J451" s="17"/>
      <c r="K451" s="14"/>
      <c r="L451" s="15"/>
      <c r="M451" s="17"/>
      <c r="N451" s="14"/>
      <c r="O451" s="15"/>
      <c r="P451" s="14"/>
      <c r="Q451" s="16"/>
      <c r="R451" s="13" t="str">
        <f aca="false">IF(AND(B451&lt;&gt;"",L451&lt;&gt;""),L451-B451,"")</f>
        <v/>
      </c>
      <c r="S451" s="13" t="str">
        <f aca="true">IF(B451="","",IF(O451&lt;&gt;"",O451-B451,TODAY()-B451))</f>
        <v/>
      </c>
      <c r="T451" s="13" t="str">
        <f aca="false">IF(A451="","",SUMIF('Time Log'!$C$5:$C$1004,A451,'Time Log'!$E$5:$E$1004))</f>
        <v/>
      </c>
    </row>
    <row r="452" customFormat="false" ht="15" hidden="false" customHeight="false" outlineLevel="0" collapsed="false">
      <c r="A452" s="14"/>
      <c r="B452" s="15"/>
      <c r="C452" s="14"/>
      <c r="D452" s="14"/>
      <c r="E452" s="14"/>
      <c r="F452" s="14"/>
      <c r="G452" s="14"/>
      <c r="H452" s="14"/>
      <c r="I452" s="16"/>
      <c r="J452" s="17"/>
      <c r="K452" s="14"/>
      <c r="L452" s="15"/>
      <c r="M452" s="17"/>
      <c r="N452" s="14"/>
      <c r="O452" s="15"/>
      <c r="P452" s="14"/>
      <c r="Q452" s="16"/>
      <c r="R452" s="13" t="str">
        <f aca="false">IF(AND(B452&lt;&gt;"",L452&lt;&gt;""),L452-B452,"")</f>
        <v/>
      </c>
      <c r="S452" s="13" t="str">
        <f aca="true">IF(B452="","",IF(O452&lt;&gt;"",O452-B452,TODAY()-B452))</f>
        <v/>
      </c>
      <c r="T452" s="13" t="str">
        <f aca="false">IF(A452="","",SUMIF('Time Log'!$C$5:$C$1004,A452,'Time Log'!$E$5:$E$1004))</f>
        <v/>
      </c>
    </row>
    <row r="453" customFormat="false" ht="15" hidden="false" customHeight="false" outlineLevel="0" collapsed="false">
      <c r="A453" s="14"/>
      <c r="B453" s="15"/>
      <c r="C453" s="14"/>
      <c r="D453" s="14"/>
      <c r="E453" s="14"/>
      <c r="F453" s="14"/>
      <c r="G453" s="14"/>
      <c r="H453" s="14"/>
      <c r="I453" s="16"/>
      <c r="J453" s="17"/>
      <c r="K453" s="14"/>
      <c r="L453" s="15"/>
      <c r="M453" s="17"/>
      <c r="N453" s="14"/>
      <c r="O453" s="15"/>
      <c r="P453" s="14"/>
      <c r="Q453" s="16"/>
      <c r="R453" s="13" t="str">
        <f aca="false">IF(AND(B453&lt;&gt;"",L453&lt;&gt;""),L453-B453,"")</f>
        <v/>
      </c>
      <c r="S453" s="13" t="str">
        <f aca="true">IF(B453="","",IF(O453&lt;&gt;"",O453-B453,TODAY()-B453))</f>
        <v/>
      </c>
      <c r="T453" s="13" t="str">
        <f aca="false">IF(A453="","",SUMIF('Time Log'!$C$5:$C$1004,A453,'Time Log'!$E$5:$E$1004))</f>
        <v/>
      </c>
    </row>
    <row r="454" customFormat="false" ht="15" hidden="false" customHeight="false" outlineLevel="0" collapsed="false">
      <c r="A454" s="14"/>
      <c r="B454" s="15"/>
      <c r="C454" s="14"/>
      <c r="D454" s="14"/>
      <c r="E454" s="14"/>
      <c r="F454" s="14"/>
      <c r="G454" s="14"/>
      <c r="H454" s="14"/>
      <c r="I454" s="16"/>
      <c r="J454" s="17"/>
      <c r="K454" s="14"/>
      <c r="L454" s="15"/>
      <c r="M454" s="17"/>
      <c r="N454" s="14"/>
      <c r="O454" s="15"/>
      <c r="P454" s="14"/>
      <c r="Q454" s="16"/>
      <c r="R454" s="13" t="str">
        <f aca="false">IF(AND(B454&lt;&gt;"",L454&lt;&gt;""),L454-B454,"")</f>
        <v/>
      </c>
      <c r="S454" s="13" t="str">
        <f aca="true">IF(B454="","",IF(O454&lt;&gt;"",O454-B454,TODAY()-B454))</f>
        <v/>
      </c>
      <c r="T454" s="13" t="str">
        <f aca="false">IF(A454="","",SUMIF('Time Log'!$C$5:$C$1004,A454,'Time Log'!$E$5:$E$1004))</f>
        <v/>
      </c>
    </row>
    <row r="455" customFormat="false" ht="15" hidden="false" customHeight="false" outlineLevel="0" collapsed="false">
      <c r="A455" s="14"/>
      <c r="B455" s="15"/>
      <c r="C455" s="14"/>
      <c r="D455" s="14"/>
      <c r="E455" s="14"/>
      <c r="F455" s="14"/>
      <c r="G455" s="14"/>
      <c r="H455" s="14"/>
      <c r="I455" s="16"/>
      <c r="J455" s="17"/>
      <c r="K455" s="14"/>
      <c r="L455" s="15"/>
      <c r="M455" s="17"/>
      <c r="N455" s="14"/>
      <c r="O455" s="15"/>
      <c r="P455" s="14"/>
      <c r="Q455" s="16"/>
      <c r="R455" s="13" t="str">
        <f aca="false">IF(AND(B455&lt;&gt;"",L455&lt;&gt;""),L455-B455,"")</f>
        <v/>
      </c>
      <c r="S455" s="13" t="str">
        <f aca="true">IF(B455="","",IF(O455&lt;&gt;"",O455-B455,TODAY()-B455))</f>
        <v/>
      </c>
      <c r="T455" s="13" t="str">
        <f aca="false">IF(A455="","",SUMIF('Time Log'!$C$5:$C$1004,A455,'Time Log'!$E$5:$E$1004))</f>
        <v/>
      </c>
    </row>
    <row r="456" customFormat="false" ht="15" hidden="false" customHeight="false" outlineLevel="0" collapsed="false">
      <c r="A456" s="14"/>
      <c r="B456" s="15"/>
      <c r="C456" s="14"/>
      <c r="D456" s="14"/>
      <c r="E456" s="14"/>
      <c r="F456" s="14"/>
      <c r="G456" s="14"/>
      <c r="H456" s="14"/>
      <c r="I456" s="16"/>
      <c r="J456" s="17"/>
      <c r="K456" s="14"/>
      <c r="L456" s="15"/>
      <c r="M456" s="17"/>
      <c r="N456" s="14"/>
      <c r="O456" s="15"/>
      <c r="P456" s="14"/>
      <c r="Q456" s="16"/>
      <c r="R456" s="13" t="str">
        <f aca="false">IF(AND(B456&lt;&gt;"",L456&lt;&gt;""),L456-B456,"")</f>
        <v/>
      </c>
      <c r="S456" s="13" t="str">
        <f aca="true">IF(B456="","",IF(O456&lt;&gt;"",O456-B456,TODAY()-B456))</f>
        <v/>
      </c>
      <c r="T456" s="13" t="str">
        <f aca="false">IF(A456="","",SUMIF('Time Log'!$C$5:$C$1004,A456,'Time Log'!$E$5:$E$1004))</f>
        <v/>
      </c>
    </row>
    <row r="457" customFormat="false" ht="15" hidden="false" customHeight="false" outlineLevel="0" collapsed="false">
      <c r="A457" s="14"/>
      <c r="B457" s="15"/>
      <c r="C457" s="14"/>
      <c r="D457" s="14"/>
      <c r="E457" s="14"/>
      <c r="F457" s="14"/>
      <c r="G457" s="14"/>
      <c r="H457" s="14"/>
      <c r="I457" s="16"/>
      <c r="J457" s="17"/>
      <c r="K457" s="14"/>
      <c r="L457" s="15"/>
      <c r="M457" s="17"/>
      <c r="N457" s="14"/>
      <c r="O457" s="15"/>
      <c r="P457" s="14"/>
      <c r="Q457" s="16"/>
      <c r="R457" s="13" t="str">
        <f aca="false">IF(AND(B457&lt;&gt;"",L457&lt;&gt;""),L457-B457,"")</f>
        <v/>
      </c>
      <c r="S457" s="13" t="str">
        <f aca="true">IF(B457="","",IF(O457&lt;&gt;"",O457-B457,TODAY()-B457))</f>
        <v/>
      </c>
      <c r="T457" s="13" t="str">
        <f aca="false">IF(A457="","",SUMIF('Time Log'!$C$5:$C$1004,A457,'Time Log'!$E$5:$E$1004))</f>
        <v/>
      </c>
    </row>
    <row r="458" customFormat="false" ht="15" hidden="false" customHeight="false" outlineLevel="0" collapsed="false">
      <c r="A458" s="14"/>
      <c r="B458" s="15"/>
      <c r="C458" s="14"/>
      <c r="D458" s="14"/>
      <c r="E458" s="14"/>
      <c r="F458" s="14"/>
      <c r="G458" s="14"/>
      <c r="H458" s="14"/>
      <c r="I458" s="16"/>
      <c r="J458" s="17"/>
      <c r="K458" s="14"/>
      <c r="L458" s="15"/>
      <c r="M458" s="17"/>
      <c r="N458" s="14"/>
      <c r="O458" s="15"/>
      <c r="P458" s="14"/>
      <c r="Q458" s="16"/>
      <c r="R458" s="13" t="str">
        <f aca="false">IF(AND(B458&lt;&gt;"",L458&lt;&gt;""),L458-B458,"")</f>
        <v/>
      </c>
      <c r="S458" s="13" t="str">
        <f aca="true">IF(B458="","",IF(O458&lt;&gt;"",O458-B458,TODAY()-B458))</f>
        <v/>
      </c>
      <c r="T458" s="13" t="str">
        <f aca="false">IF(A458="","",SUMIF('Time Log'!$C$5:$C$1004,A458,'Time Log'!$E$5:$E$1004))</f>
        <v/>
      </c>
    </row>
    <row r="459" customFormat="false" ht="15" hidden="false" customHeight="false" outlineLevel="0" collapsed="false">
      <c r="A459" s="14"/>
      <c r="B459" s="15"/>
      <c r="C459" s="14"/>
      <c r="D459" s="14"/>
      <c r="E459" s="14"/>
      <c r="F459" s="14"/>
      <c r="G459" s="14"/>
      <c r="H459" s="14"/>
      <c r="I459" s="16"/>
      <c r="J459" s="17"/>
      <c r="K459" s="14"/>
      <c r="L459" s="15"/>
      <c r="M459" s="17"/>
      <c r="N459" s="14"/>
      <c r="O459" s="15"/>
      <c r="P459" s="14"/>
      <c r="Q459" s="16"/>
      <c r="R459" s="13" t="str">
        <f aca="false">IF(AND(B459&lt;&gt;"",L459&lt;&gt;""),L459-B459,"")</f>
        <v/>
      </c>
      <c r="S459" s="13" t="str">
        <f aca="true">IF(B459="","",IF(O459&lt;&gt;"",O459-B459,TODAY()-B459))</f>
        <v/>
      </c>
      <c r="T459" s="13" t="str">
        <f aca="false">IF(A459="","",SUMIF('Time Log'!$C$5:$C$1004,A459,'Time Log'!$E$5:$E$1004))</f>
        <v/>
      </c>
    </row>
    <row r="460" customFormat="false" ht="15" hidden="false" customHeight="false" outlineLevel="0" collapsed="false">
      <c r="A460" s="14"/>
      <c r="B460" s="15"/>
      <c r="C460" s="14"/>
      <c r="D460" s="14"/>
      <c r="E460" s="14"/>
      <c r="F460" s="14"/>
      <c r="G460" s="14"/>
      <c r="H460" s="14"/>
      <c r="I460" s="16"/>
      <c r="J460" s="17"/>
      <c r="K460" s="14"/>
      <c r="L460" s="15"/>
      <c r="M460" s="17"/>
      <c r="N460" s="14"/>
      <c r="O460" s="15"/>
      <c r="P460" s="14"/>
      <c r="Q460" s="16"/>
      <c r="R460" s="13" t="str">
        <f aca="false">IF(AND(B460&lt;&gt;"",L460&lt;&gt;""),L460-B460,"")</f>
        <v/>
      </c>
      <c r="S460" s="13" t="str">
        <f aca="true">IF(B460="","",IF(O460&lt;&gt;"",O460-B460,TODAY()-B460))</f>
        <v/>
      </c>
      <c r="T460" s="13" t="str">
        <f aca="false">IF(A460="","",SUMIF('Time Log'!$C$5:$C$1004,A460,'Time Log'!$E$5:$E$1004))</f>
        <v/>
      </c>
    </row>
    <row r="461" customFormat="false" ht="15" hidden="false" customHeight="false" outlineLevel="0" collapsed="false">
      <c r="A461" s="14"/>
      <c r="B461" s="15"/>
      <c r="C461" s="14"/>
      <c r="D461" s="14"/>
      <c r="E461" s="14"/>
      <c r="F461" s="14"/>
      <c r="G461" s="14"/>
      <c r="H461" s="14"/>
      <c r="I461" s="16"/>
      <c r="J461" s="17"/>
      <c r="K461" s="14"/>
      <c r="L461" s="15"/>
      <c r="M461" s="17"/>
      <c r="N461" s="14"/>
      <c r="O461" s="15"/>
      <c r="P461" s="14"/>
      <c r="Q461" s="16"/>
      <c r="R461" s="13" t="str">
        <f aca="false">IF(AND(B461&lt;&gt;"",L461&lt;&gt;""),L461-B461,"")</f>
        <v/>
      </c>
      <c r="S461" s="13" t="str">
        <f aca="true">IF(B461="","",IF(O461&lt;&gt;"",O461-B461,TODAY()-B461))</f>
        <v/>
      </c>
      <c r="T461" s="13" t="str">
        <f aca="false">IF(A461="","",SUMIF('Time Log'!$C$5:$C$1004,A461,'Time Log'!$E$5:$E$1004))</f>
        <v/>
      </c>
    </row>
    <row r="462" customFormat="false" ht="15" hidden="false" customHeight="false" outlineLevel="0" collapsed="false">
      <c r="A462" s="14"/>
      <c r="B462" s="15"/>
      <c r="C462" s="14"/>
      <c r="D462" s="14"/>
      <c r="E462" s="14"/>
      <c r="F462" s="14"/>
      <c r="G462" s="14"/>
      <c r="H462" s="14"/>
      <c r="I462" s="16"/>
      <c r="J462" s="17"/>
      <c r="K462" s="14"/>
      <c r="L462" s="15"/>
      <c r="M462" s="17"/>
      <c r="N462" s="14"/>
      <c r="O462" s="15"/>
      <c r="P462" s="14"/>
      <c r="Q462" s="16"/>
      <c r="R462" s="13" t="str">
        <f aca="false">IF(AND(B462&lt;&gt;"",L462&lt;&gt;""),L462-B462,"")</f>
        <v/>
      </c>
      <c r="S462" s="13" t="str">
        <f aca="true">IF(B462="","",IF(O462&lt;&gt;"",O462-B462,TODAY()-B462))</f>
        <v/>
      </c>
      <c r="T462" s="13" t="str">
        <f aca="false">IF(A462="","",SUMIF('Time Log'!$C$5:$C$1004,A462,'Time Log'!$E$5:$E$1004))</f>
        <v/>
      </c>
    </row>
    <row r="463" customFormat="false" ht="15" hidden="false" customHeight="false" outlineLevel="0" collapsed="false">
      <c r="A463" s="14"/>
      <c r="B463" s="15"/>
      <c r="C463" s="14"/>
      <c r="D463" s="14"/>
      <c r="E463" s="14"/>
      <c r="F463" s="14"/>
      <c r="G463" s="14"/>
      <c r="H463" s="14"/>
      <c r="I463" s="16"/>
      <c r="J463" s="17"/>
      <c r="K463" s="14"/>
      <c r="L463" s="15"/>
      <c r="M463" s="17"/>
      <c r="N463" s="14"/>
      <c r="O463" s="15"/>
      <c r="P463" s="14"/>
      <c r="Q463" s="16"/>
      <c r="R463" s="13" t="str">
        <f aca="false">IF(AND(B463&lt;&gt;"",L463&lt;&gt;""),L463-B463,"")</f>
        <v/>
      </c>
      <c r="S463" s="13" t="str">
        <f aca="true">IF(B463="","",IF(O463&lt;&gt;"",O463-B463,TODAY()-B463))</f>
        <v/>
      </c>
      <c r="T463" s="13" t="str">
        <f aca="false">IF(A463="","",SUMIF('Time Log'!$C$5:$C$1004,A463,'Time Log'!$E$5:$E$1004))</f>
        <v/>
      </c>
    </row>
    <row r="464" customFormat="false" ht="15" hidden="false" customHeight="false" outlineLevel="0" collapsed="false">
      <c r="A464" s="14"/>
      <c r="B464" s="15"/>
      <c r="C464" s="14"/>
      <c r="D464" s="14"/>
      <c r="E464" s="14"/>
      <c r="F464" s="14"/>
      <c r="G464" s="14"/>
      <c r="H464" s="14"/>
      <c r="I464" s="16"/>
      <c r="J464" s="17"/>
      <c r="K464" s="14"/>
      <c r="L464" s="15"/>
      <c r="M464" s="17"/>
      <c r="N464" s="14"/>
      <c r="O464" s="15"/>
      <c r="P464" s="14"/>
      <c r="Q464" s="16"/>
      <c r="R464" s="13" t="str">
        <f aca="false">IF(AND(B464&lt;&gt;"",L464&lt;&gt;""),L464-B464,"")</f>
        <v/>
      </c>
      <c r="S464" s="13" t="str">
        <f aca="true">IF(B464="","",IF(O464&lt;&gt;"",O464-B464,TODAY()-B464))</f>
        <v/>
      </c>
      <c r="T464" s="13" t="str">
        <f aca="false">IF(A464="","",SUMIF('Time Log'!$C$5:$C$1004,A464,'Time Log'!$E$5:$E$1004))</f>
        <v/>
      </c>
    </row>
    <row r="465" customFormat="false" ht="15" hidden="false" customHeight="false" outlineLevel="0" collapsed="false">
      <c r="A465" s="14"/>
      <c r="B465" s="15"/>
      <c r="C465" s="14"/>
      <c r="D465" s="14"/>
      <c r="E465" s="14"/>
      <c r="F465" s="14"/>
      <c r="G465" s="14"/>
      <c r="H465" s="14"/>
      <c r="I465" s="16"/>
      <c r="J465" s="17"/>
      <c r="K465" s="14"/>
      <c r="L465" s="15"/>
      <c r="M465" s="17"/>
      <c r="N465" s="14"/>
      <c r="O465" s="15"/>
      <c r="P465" s="14"/>
      <c r="Q465" s="16"/>
      <c r="R465" s="13" t="str">
        <f aca="false">IF(AND(B465&lt;&gt;"",L465&lt;&gt;""),L465-B465,"")</f>
        <v/>
      </c>
      <c r="S465" s="13" t="str">
        <f aca="true">IF(B465="","",IF(O465&lt;&gt;"",O465-B465,TODAY()-B465))</f>
        <v/>
      </c>
      <c r="T465" s="13" t="str">
        <f aca="false">IF(A465="","",SUMIF('Time Log'!$C$5:$C$1004,A465,'Time Log'!$E$5:$E$1004))</f>
        <v/>
      </c>
    </row>
    <row r="466" customFormat="false" ht="15" hidden="false" customHeight="false" outlineLevel="0" collapsed="false">
      <c r="A466" s="14"/>
      <c r="B466" s="15"/>
      <c r="C466" s="14"/>
      <c r="D466" s="14"/>
      <c r="E466" s="14"/>
      <c r="F466" s="14"/>
      <c r="G466" s="14"/>
      <c r="H466" s="14"/>
      <c r="I466" s="16"/>
      <c r="J466" s="17"/>
      <c r="K466" s="14"/>
      <c r="L466" s="15"/>
      <c r="M466" s="17"/>
      <c r="N466" s="14"/>
      <c r="O466" s="15"/>
      <c r="P466" s="14"/>
      <c r="Q466" s="16"/>
      <c r="R466" s="13" t="str">
        <f aca="false">IF(AND(B466&lt;&gt;"",L466&lt;&gt;""),L466-B466,"")</f>
        <v/>
      </c>
      <c r="S466" s="13" t="str">
        <f aca="true">IF(B466="","",IF(O466&lt;&gt;"",O466-B466,TODAY()-B466))</f>
        <v/>
      </c>
      <c r="T466" s="13" t="str">
        <f aca="false">IF(A466="","",SUMIF('Time Log'!$C$5:$C$1004,A466,'Time Log'!$E$5:$E$1004))</f>
        <v/>
      </c>
    </row>
    <row r="467" customFormat="false" ht="15" hidden="false" customHeight="false" outlineLevel="0" collapsed="false">
      <c r="A467" s="14"/>
      <c r="B467" s="15"/>
      <c r="C467" s="14"/>
      <c r="D467" s="14"/>
      <c r="E467" s="14"/>
      <c r="F467" s="14"/>
      <c r="G467" s="14"/>
      <c r="H467" s="14"/>
      <c r="I467" s="16"/>
      <c r="J467" s="17"/>
      <c r="K467" s="14"/>
      <c r="L467" s="15"/>
      <c r="M467" s="17"/>
      <c r="N467" s="14"/>
      <c r="O467" s="15"/>
      <c r="P467" s="14"/>
      <c r="Q467" s="16"/>
      <c r="R467" s="13" t="str">
        <f aca="false">IF(AND(B467&lt;&gt;"",L467&lt;&gt;""),L467-B467,"")</f>
        <v/>
      </c>
      <c r="S467" s="13" t="str">
        <f aca="true">IF(B467="","",IF(O467&lt;&gt;"",O467-B467,TODAY()-B467))</f>
        <v/>
      </c>
      <c r="T467" s="13" t="str">
        <f aca="false">IF(A467="","",SUMIF('Time Log'!$C$5:$C$1004,A467,'Time Log'!$E$5:$E$1004))</f>
        <v/>
      </c>
    </row>
    <row r="468" customFormat="false" ht="15" hidden="false" customHeight="false" outlineLevel="0" collapsed="false">
      <c r="A468" s="14"/>
      <c r="B468" s="15"/>
      <c r="C468" s="14"/>
      <c r="D468" s="14"/>
      <c r="E468" s="14"/>
      <c r="F468" s="14"/>
      <c r="G468" s="14"/>
      <c r="H468" s="14"/>
      <c r="I468" s="16"/>
      <c r="J468" s="17"/>
      <c r="K468" s="14"/>
      <c r="L468" s="15"/>
      <c r="M468" s="17"/>
      <c r="N468" s="14"/>
      <c r="O468" s="15"/>
      <c r="P468" s="14"/>
      <c r="Q468" s="16"/>
      <c r="R468" s="13" t="str">
        <f aca="false">IF(AND(B468&lt;&gt;"",L468&lt;&gt;""),L468-B468,"")</f>
        <v/>
      </c>
      <c r="S468" s="13" t="str">
        <f aca="true">IF(B468="","",IF(O468&lt;&gt;"",O468-B468,TODAY()-B468))</f>
        <v/>
      </c>
      <c r="T468" s="13" t="str">
        <f aca="false">IF(A468="","",SUMIF('Time Log'!$C$5:$C$1004,A468,'Time Log'!$E$5:$E$1004))</f>
        <v/>
      </c>
    </row>
    <row r="469" customFormat="false" ht="15" hidden="false" customHeight="false" outlineLevel="0" collapsed="false">
      <c r="A469" s="14"/>
      <c r="B469" s="15"/>
      <c r="C469" s="14"/>
      <c r="D469" s="14"/>
      <c r="E469" s="14"/>
      <c r="F469" s="14"/>
      <c r="G469" s="14"/>
      <c r="H469" s="14"/>
      <c r="I469" s="16"/>
      <c r="J469" s="17"/>
      <c r="K469" s="14"/>
      <c r="L469" s="15"/>
      <c r="M469" s="17"/>
      <c r="N469" s="14"/>
      <c r="O469" s="15"/>
      <c r="P469" s="14"/>
      <c r="Q469" s="16"/>
      <c r="R469" s="13" t="str">
        <f aca="false">IF(AND(B469&lt;&gt;"",L469&lt;&gt;""),L469-B469,"")</f>
        <v/>
      </c>
      <c r="S469" s="13" t="str">
        <f aca="true">IF(B469="","",IF(O469&lt;&gt;"",O469-B469,TODAY()-B469))</f>
        <v/>
      </c>
      <c r="T469" s="13" t="str">
        <f aca="false">IF(A469="","",SUMIF('Time Log'!$C$5:$C$1004,A469,'Time Log'!$E$5:$E$1004))</f>
        <v/>
      </c>
    </row>
    <row r="470" customFormat="false" ht="15" hidden="false" customHeight="false" outlineLevel="0" collapsed="false">
      <c r="A470" s="14"/>
      <c r="B470" s="15"/>
      <c r="C470" s="14"/>
      <c r="D470" s="14"/>
      <c r="E470" s="14"/>
      <c r="F470" s="14"/>
      <c r="G470" s="14"/>
      <c r="H470" s="14"/>
      <c r="I470" s="16"/>
      <c r="J470" s="17"/>
      <c r="K470" s="14"/>
      <c r="L470" s="15"/>
      <c r="M470" s="17"/>
      <c r="N470" s="14"/>
      <c r="O470" s="15"/>
      <c r="P470" s="14"/>
      <c r="Q470" s="16"/>
      <c r="R470" s="13" t="str">
        <f aca="false">IF(AND(B470&lt;&gt;"",L470&lt;&gt;""),L470-B470,"")</f>
        <v/>
      </c>
      <c r="S470" s="13" t="str">
        <f aca="true">IF(B470="","",IF(O470&lt;&gt;"",O470-B470,TODAY()-B470))</f>
        <v/>
      </c>
      <c r="T470" s="13" t="str">
        <f aca="false">IF(A470="","",SUMIF('Time Log'!$C$5:$C$1004,A470,'Time Log'!$E$5:$E$1004))</f>
        <v/>
      </c>
    </row>
    <row r="471" customFormat="false" ht="15" hidden="false" customHeight="false" outlineLevel="0" collapsed="false">
      <c r="A471" s="14"/>
      <c r="B471" s="15"/>
      <c r="C471" s="14"/>
      <c r="D471" s="14"/>
      <c r="E471" s="14"/>
      <c r="F471" s="14"/>
      <c r="G471" s="14"/>
      <c r="H471" s="14"/>
      <c r="I471" s="16"/>
      <c r="J471" s="17"/>
      <c r="K471" s="14"/>
      <c r="L471" s="15"/>
      <c r="M471" s="17"/>
      <c r="N471" s="14"/>
      <c r="O471" s="15"/>
      <c r="P471" s="14"/>
      <c r="Q471" s="16"/>
      <c r="R471" s="13" t="str">
        <f aca="false">IF(AND(B471&lt;&gt;"",L471&lt;&gt;""),L471-B471,"")</f>
        <v/>
      </c>
      <c r="S471" s="13" t="str">
        <f aca="true">IF(B471="","",IF(O471&lt;&gt;"",O471-B471,TODAY()-B471))</f>
        <v/>
      </c>
      <c r="T471" s="13" t="str">
        <f aca="false">IF(A471="","",SUMIF('Time Log'!$C$5:$C$1004,A471,'Time Log'!$E$5:$E$1004))</f>
        <v/>
      </c>
    </row>
    <row r="472" customFormat="false" ht="15" hidden="false" customHeight="false" outlineLevel="0" collapsed="false">
      <c r="A472" s="14"/>
      <c r="B472" s="15"/>
      <c r="C472" s="14"/>
      <c r="D472" s="14"/>
      <c r="E472" s="14"/>
      <c r="F472" s="14"/>
      <c r="G472" s="14"/>
      <c r="H472" s="14"/>
      <c r="I472" s="16"/>
      <c r="J472" s="17"/>
      <c r="K472" s="14"/>
      <c r="L472" s="15"/>
      <c r="M472" s="17"/>
      <c r="N472" s="14"/>
      <c r="O472" s="15"/>
      <c r="P472" s="14"/>
      <c r="Q472" s="16"/>
      <c r="R472" s="13" t="str">
        <f aca="false">IF(AND(B472&lt;&gt;"",L472&lt;&gt;""),L472-B472,"")</f>
        <v/>
      </c>
      <c r="S472" s="13" t="str">
        <f aca="true">IF(B472="","",IF(O472&lt;&gt;"",O472-B472,TODAY()-B472))</f>
        <v/>
      </c>
      <c r="T472" s="13" t="str">
        <f aca="false">IF(A472="","",SUMIF('Time Log'!$C$5:$C$1004,A472,'Time Log'!$E$5:$E$1004))</f>
        <v/>
      </c>
    </row>
    <row r="473" customFormat="false" ht="15" hidden="false" customHeight="false" outlineLevel="0" collapsed="false">
      <c r="A473" s="14"/>
      <c r="B473" s="15"/>
      <c r="C473" s="14"/>
      <c r="D473" s="14"/>
      <c r="E473" s="14"/>
      <c r="F473" s="14"/>
      <c r="G473" s="14"/>
      <c r="H473" s="14"/>
      <c r="I473" s="16"/>
      <c r="J473" s="17"/>
      <c r="K473" s="14"/>
      <c r="L473" s="15"/>
      <c r="M473" s="17"/>
      <c r="N473" s="14"/>
      <c r="O473" s="15"/>
      <c r="P473" s="14"/>
      <c r="Q473" s="16"/>
      <c r="R473" s="13" t="str">
        <f aca="false">IF(AND(B473&lt;&gt;"",L473&lt;&gt;""),L473-B473,"")</f>
        <v/>
      </c>
      <c r="S473" s="13" t="str">
        <f aca="true">IF(B473="","",IF(O473&lt;&gt;"",O473-B473,TODAY()-B473))</f>
        <v/>
      </c>
      <c r="T473" s="13" t="str">
        <f aca="false">IF(A473="","",SUMIF('Time Log'!$C$5:$C$1004,A473,'Time Log'!$E$5:$E$1004))</f>
        <v/>
      </c>
    </row>
    <row r="474" customFormat="false" ht="15" hidden="false" customHeight="false" outlineLevel="0" collapsed="false">
      <c r="A474" s="14"/>
      <c r="B474" s="15"/>
      <c r="C474" s="14"/>
      <c r="D474" s="14"/>
      <c r="E474" s="14"/>
      <c r="F474" s="14"/>
      <c r="G474" s="14"/>
      <c r="H474" s="14"/>
      <c r="I474" s="16"/>
      <c r="J474" s="17"/>
      <c r="K474" s="14"/>
      <c r="L474" s="15"/>
      <c r="M474" s="17"/>
      <c r="N474" s="14"/>
      <c r="O474" s="15"/>
      <c r="P474" s="14"/>
      <c r="Q474" s="16"/>
      <c r="R474" s="13" t="str">
        <f aca="false">IF(AND(B474&lt;&gt;"",L474&lt;&gt;""),L474-B474,"")</f>
        <v/>
      </c>
      <c r="S474" s="13" t="str">
        <f aca="true">IF(B474="","",IF(O474&lt;&gt;"",O474-B474,TODAY()-B474))</f>
        <v/>
      </c>
      <c r="T474" s="13" t="str">
        <f aca="false">IF(A474="","",SUMIF('Time Log'!$C$5:$C$1004,A474,'Time Log'!$E$5:$E$1004))</f>
        <v/>
      </c>
    </row>
    <row r="475" customFormat="false" ht="15" hidden="false" customHeight="false" outlineLevel="0" collapsed="false">
      <c r="A475" s="14"/>
      <c r="B475" s="15"/>
      <c r="C475" s="14"/>
      <c r="D475" s="14"/>
      <c r="E475" s="14"/>
      <c r="F475" s="14"/>
      <c r="G475" s="14"/>
      <c r="H475" s="14"/>
      <c r="I475" s="16"/>
      <c r="J475" s="17"/>
      <c r="K475" s="14"/>
      <c r="L475" s="15"/>
      <c r="M475" s="17"/>
      <c r="N475" s="14"/>
      <c r="O475" s="15"/>
      <c r="P475" s="14"/>
      <c r="Q475" s="16"/>
      <c r="R475" s="13" t="str">
        <f aca="false">IF(AND(B475&lt;&gt;"",L475&lt;&gt;""),L475-B475,"")</f>
        <v/>
      </c>
      <c r="S475" s="13" t="str">
        <f aca="true">IF(B475="","",IF(O475&lt;&gt;"",O475-B475,TODAY()-B475))</f>
        <v/>
      </c>
      <c r="T475" s="13" t="str">
        <f aca="false">IF(A475="","",SUMIF('Time Log'!$C$5:$C$1004,A475,'Time Log'!$E$5:$E$1004))</f>
        <v/>
      </c>
    </row>
    <row r="476" customFormat="false" ht="15" hidden="false" customHeight="false" outlineLevel="0" collapsed="false">
      <c r="A476" s="14"/>
      <c r="B476" s="15"/>
      <c r="C476" s="14"/>
      <c r="D476" s="14"/>
      <c r="E476" s="14"/>
      <c r="F476" s="14"/>
      <c r="G476" s="14"/>
      <c r="H476" s="14"/>
      <c r="I476" s="16"/>
      <c r="J476" s="17"/>
      <c r="K476" s="14"/>
      <c r="L476" s="15"/>
      <c r="M476" s="17"/>
      <c r="N476" s="14"/>
      <c r="O476" s="15"/>
      <c r="P476" s="14"/>
      <c r="Q476" s="16"/>
      <c r="R476" s="13" t="str">
        <f aca="false">IF(AND(B476&lt;&gt;"",L476&lt;&gt;""),L476-B476,"")</f>
        <v/>
      </c>
      <c r="S476" s="13" t="str">
        <f aca="true">IF(B476="","",IF(O476&lt;&gt;"",O476-B476,TODAY()-B476))</f>
        <v/>
      </c>
      <c r="T476" s="13" t="str">
        <f aca="false">IF(A476="","",SUMIF('Time Log'!$C$5:$C$1004,A476,'Time Log'!$E$5:$E$1004))</f>
        <v/>
      </c>
    </row>
    <row r="477" customFormat="false" ht="15" hidden="false" customHeight="false" outlineLevel="0" collapsed="false">
      <c r="A477" s="14"/>
      <c r="B477" s="15"/>
      <c r="C477" s="14"/>
      <c r="D477" s="14"/>
      <c r="E477" s="14"/>
      <c r="F477" s="14"/>
      <c r="G477" s="14"/>
      <c r="H477" s="14"/>
      <c r="I477" s="16"/>
      <c r="J477" s="17"/>
      <c r="K477" s="14"/>
      <c r="L477" s="15"/>
      <c r="M477" s="17"/>
      <c r="N477" s="14"/>
      <c r="O477" s="15"/>
      <c r="P477" s="14"/>
      <c r="Q477" s="16"/>
      <c r="R477" s="13" t="str">
        <f aca="false">IF(AND(B477&lt;&gt;"",L477&lt;&gt;""),L477-B477,"")</f>
        <v/>
      </c>
      <c r="S477" s="13" t="str">
        <f aca="true">IF(B477="","",IF(O477&lt;&gt;"",O477-B477,TODAY()-B477))</f>
        <v/>
      </c>
      <c r="T477" s="13" t="str">
        <f aca="false">IF(A477="","",SUMIF('Time Log'!$C$5:$C$1004,A477,'Time Log'!$E$5:$E$1004))</f>
        <v/>
      </c>
    </row>
    <row r="478" customFormat="false" ht="15" hidden="false" customHeight="false" outlineLevel="0" collapsed="false">
      <c r="A478" s="14"/>
      <c r="B478" s="15"/>
      <c r="C478" s="14"/>
      <c r="D478" s="14"/>
      <c r="E478" s="14"/>
      <c r="F478" s="14"/>
      <c r="G478" s="14"/>
      <c r="H478" s="14"/>
      <c r="I478" s="16"/>
      <c r="J478" s="17"/>
      <c r="K478" s="14"/>
      <c r="L478" s="15"/>
      <c r="M478" s="17"/>
      <c r="N478" s="14"/>
      <c r="O478" s="15"/>
      <c r="P478" s="14"/>
      <c r="Q478" s="16"/>
      <c r="R478" s="13" t="str">
        <f aca="false">IF(AND(B478&lt;&gt;"",L478&lt;&gt;""),L478-B478,"")</f>
        <v/>
      </c>
      <c r="S478" s="13" t="str">
        <f aca="true">IF(B478="","",IF(O478&lt;&gt;"",O478-B478,TODAY()-B478))</f>
        <v/>
      </c>
      <c r="T478" s="13" t="str">
        <f aca="false">IF(A478="","",SUMIF('Time Log'!$C$5:$C$1004,A478,'Time Log'!$E$5:$E$1004))</f>
        <v/>
      </c>
    </row>
    <row r="479" customFormat="false" ht="15" hidden="false" customHeight="false" outlineLevel="0" collapsed="false">
      <c r="A479" s="14"/>
      <c r="B479" s="15"/>
      <c r="C479" s="14"/>
      <c r="D479" s="14"/>
      <c r="E479" s="14"/>
      <c r="F479" s="14"/>
      <c r="G479" s="14"/>
      <c r="H479" s="14"/>
      <c r="I479" s="16"/>
      <c r="J479" s="17"/>
      <c r="K479" s="14"/>
      <c r="L479" s="15"/>
      <c r="M479" s="17"/>
      <c r="N479" s="14"/>
      <c r="O479" s="15"/>
      <c r="P479" s="14"/>
      <c r="Q479" s="16"/>
      <c r="R479" s="13" t="str">
        <f aca="false">IF(AND(B479&lt;&gt;"",L479&lt;&gt;""),L479-B479,"")</f>
        <v/>
      </c>
      <c r="S479" s="13" t="str">
        <f aca="true">IF(B479="","",IF(O479&lt;&gt;"",O479-B479,TODAY()-B479))</f>
        <v/>
      </c>
      <c r="T479" s="13" t="str">
        <f aca="false">IF(A479="","",SUMIF('Time Log'!$C$5:$C$1004,A479,'Time Log'!$E$5:$E$1004))</f>
        <v/>
      </c>
    </row>
    <row r="480" customFormat="false" ht="15" hidden="false" customHeight="false" outlineLevel="0" collapsed="false">
      <c r="A480" s="14"/>
      <c r="B480" s="15"/>
      <c r="C480" s="14"/>
      <c r="D480" s="14"/>
      <c r="E480" s="14"/>
      <c r="F480" s="14"/>
      <c r="G480" s="14"/>
      <c r="H480" s="14"/>
      <c r="I480" s="16"/>
      <c r="J480" s="17"/>
      <c r="K480" s="14"/>
      <c r="L480" s="15"/>
      <c r="M480" s="17"/>
      <c r="N480" s="14"/>
      <c r="O480" s="15"/>
      <c r="P480" s="14"/>
      <c r="Q480" s="16"/>
      <c r="R480" s="13" t="str">
        <f aca="false">IF(AND(B480&lt;&gt;"",L480&lt;&gt;""),L480-B480,"")</f>
        <v/>
      </c>
      <c r="S480" s="13" t="str">
        <f aca="true">IF(B480="","",IF(O480&lt;&gt;"",O480-B480,TODAY()-B480))</f>
        <v/>
      </c>
      <c r="T480" s="13" t="str">
        <f aca="false">IF(A480="","",SUMIF('Time Log'!$C$5:$C$1004,A480,'Time Log'!$E$5:$E$1004))</f>
        <v/>
      </c>
    </row>
    <row r="481" customFormat="false" ht="15" hidden="false" customHeight="false" outlineLevel="0" collapsed="false">
      <c r="A481" s="14"/>
      <c r="B481" s="15"/>
      <c r="C481" s="14"/>
      <c r="D481" s="14"/>
      <c r="E481" s="14"/>
      <c r="F481" s="14"/>
      <c r="G481" s="14"/>
      <c r="H481" s="14"/>
      <c r="I481" s="16"/>
      <c r="J481" s="17"/>
      <c r="K481" s="14"/>
      <c r="L481" s="15"/>
      <c r="M481" s="17"/>
      <c r="N481" s="14"/>
      <c r="O481" s="15"/>
      <c r="P481" s="14"/>
      <c r="Q481" s="16"/>
      <c r="R481" s="13" t="str">
        <f aca="false">IF(AND(B481&lt;&gt;"",L481&lt;&gt;""),L481-B481,"")</f>
        <v/>
      </c>
      <c r="S481" s="13" t="str">
        <f aca="true">IF(B481="","",IF(O481&lt;&gt;"",O481-B481,TODAY()-B481))</f>
        <v/>
      </c>
      <c r="T481" s="13" t="str">
        <f aca="false">IF(A481="","",SUMIF('Time Log'!$C$5:$C$1004,A481,'Time Log'!$E$5:$E$1004))</f>
        <v/>
      </c>
    </row>
    <row r="482" customFormat="false" ht="15" hidden="false" customHeight="false" outlineLevel="0" collapsed="false">
      <c r="A482" s="14"/>
      <c r="B482" s="15"/>
      <c r="C482" s="14"/>
      <c r="D482" s="14"/>
      <c r="E482" s="14"/>
      <c r="F482" s="14"/>
      <c r="G482" s="14"/>
      <c r="H482" s="14"/>
      <c r="I482" s="16"/>
      <c r="J482" s="17"/>
      <c r="K482" s="14"/>
      <c r="L482" s="15"/>
      <c r="M482" s="17"/>
      <c r="N482" s="14"/>
      <c r="O482" s="15"/>
      <c r="P482" s="14"/>
      <c r="Q482" s="16"/>
      <c r="R482" s="13" t="str">
        <f aca="false">IF(AND(B482&lt;&gt;"",L482&lt;&gt;""),L482-B482,"")</f>
        <v/>
      </c>
      <c r="S482" s="13" t="str">
        <f aca="true">IF(B482="","",IF(O482&lt;&gt;"",O482-B482,TODAY()-B482))</f>
        <v/>
      </c>
      <c r="T482" s="13" t="str">
        <f aca="false">IF(A482="","",SUMIF('Time Log'!$C$5:$C$1004,A482,'Time Log'!$E$5:$E$1004))</f>
        <v/>
      </c>
    </row>
    <row r="483" customFormat="false" ht="15" hidden="false" customHeight="false" outlineLevel="0" collapsed="false">
      <c r="A483" s="14"/>
      <c r="B483" s="15"/>
      <c r="C483" s="14"/>
      <c r="D483" s="14"/>
      <c r="E483" s="14"/>
      <c r="F483" s="14"/>
      <c r="G483" s="14"/>
      <c r="H483" s="14"/>
      <c r="I483" s="16"/>
      <c r="J483" s="17"/>
      <c r="K483" s="14"/>
      <c r="L483" s="15"/>
      <c r="M483" s="17"/>
      <c r="N483" s="14"/>
      <c r="O483" s="15"/>
      <c r="P483" s="14"/>
      <c r="Q483" s="16"/>
      <c r="R483" s="13" t="str">
        <f aca="false">IF(AND(B483&lt;&gt;"",L483&lt;&gt;""),L483-B483,"")</f>
        <v/>
      </c>
      <c r="S483" s="13" t="str">
        <f aca="true">IF(B483="","",IF(O483&lt;&gt;"",O483-B483,TODAY()-B483))</f>
        <v/>
      </c>
      <c r="T483" s="13" t="str">
        <f aca="false">IF(A483="","",SUMIF('Time Log'!$C$5:$C$1004,A483,'Time Log'!$E$5:$E$1004))</f>
        <v/>
      </c>
    </row>
    <row r="484" customFormat="false" ht="15" hidden="false" customHeight="false" outlineLevel="0" collapsed="false">
      <c r="A484" s="14"/>
      <c r="B484" s="15"/>
      <c r="C484" s="14"/>
      <c r="D484" s="14"/>
      <c r="E484" s="14"/>
      <c r="F484" s="14"/>
      <c r="G484" s="14"/>
      <c r="H484" s="14"/>
      <c r="I484" s="16"/>
      <c r="J484" s="17"/>
      <c r="K484" s="14"/>
      <c r="L484" s="15"/>
      <c r="M484" s="17"/>
      <c r="N484" s="14"/>
      <c r="O484" s="15"/>
      <c r="P484" s="14"/>
      <c r="Q484" s="16"/>
      <c r="R484" s="13" t="str">
        <f aca="false">IF(AND(B484&lt;&gt;"",L484&lt;&gt;""),L484-B484,"")</f>
        <v/>
      </c>
      <c r="S484" s="13" t="str">
        <f aca="true">IF(B484="","",IF(O484&lt;&gt;"",O484-B484,TODAY()-B484))</f>
        <v/>
      </c>
      <c r="T484" s="13" t="str">
        <f aca="false">IF(A484="","",SUMIF('Time Log'!$C$5:$C$1004,A484,'Time Log'!$E$5:$E$1004))</f>
        <v/>
      </c>
    </row>
    <row r="485" customFormat="false" ht="15" hidden="false" customHeight="false" outlineLevel="0" collapsed="false">
      <c r="A485" s="14"/>
      <c r="B485" s="15"/>
      <c r="C485" s="14"/>
      <c r="D485" s="14"/>
      <c r="E485" s="14"/>
      <c r="F485" s="14"/>
      <c r="G485" s="14"/>
      <c r="H485" s="14"/>
      <c r="I485" s="16"/>
      <c r="J485" s="17"/>
      <c r="K485" s="14"/>
      <c r="L485" s="15"/>
      <c r="M485" s="17"/>
      <c r="N485" s="14"/>
      <c r="O485" s="15"/>
      <c r="P485" s="14"/>
      <c r="Q485" s="16"/>
      <c r="R485" s="13" t="str">
        <f aca="false">IF(AND(B485&lt;&gt;"",L485&lt;&gt;""),L485-B485,"")</f>
        <v/>
      </c>
      <c r="S485" s="13" t="str">
        <f aca="true">IF(B485="","",IF(O485&lt;&gt;"",O485-B485,TODAY()-B485))</f>
        <v/>
      </c>
      <c r="T485" s="13" t="str">
        <f aca="false">IF(A485="","",SUMIF('Time Log'!$C$5:$C$1004,A485,'Time Log'!$E$5:$E$1004))</f>
        <v/>
      </c>
    </row>
    <row r="486" customFormat="false" ht="15" hidden="false" customHeight="false" outlineLevel="0" collapsed="false">
      <c r="A486" s="14"/>
      <c r="B486" s="15"/>
      <c r="C486" s="14"/>
      <c r="D486" s="14"/>
      <c r="E486" s="14"/>
      <c r="F486" s="14"/>
      <c r="G486" s="14"/>
      <c r="H486" s="14"/>
      <c r="I486" s="16"/>
      <c r="J486" s="17"/>
      <c r="K486" s="14"/>
      <c r="L486" s="15"/>
      <c r="M486" s="17"/>
      <c r="N486" s="14"/>
      <c r="O486" s="15"/>
      <c r="P486" s="14"/>
      <c r="Q486" s="16"/>
      <c r="R486" s="13" t="str">
        <f aca="false">IF(AND(B486&lt;&gt;"",L486&lt;&gt;""),L486-B486,"")</f>
        <v/>
      </c>
      <c r="S486" s="13" t="str">
        <f aca="true">IF(B486="","",IF(O486&lt;&gt;"",O486-B486,TODAY()-B486))</f>
        <v/>
      </c>
      <c r="T486" s="13" t="str">
        <f aca="false">IF(A486="","",SUMIF('Time Log'!$C$5:$C$1004,A486,'Time Log'!$E$5:$E$1004))</f>
        <v/>
      </c>
    </row>
    <row r="487" customFormat="false" ht="15" hidden="false" customHeight="false" outlineLevel="0" collapsed="false">
      <c r="A487" s="14"/>
      <c r="B487" s="15"/>
      <c r="C487" s="14"/>
      <c r="D487" s="14"/>
      <c r="E487" s="14"/>
      <c r="F487" s="14"/>
      <c r="G487" s="14"/>
      <c r="H487" s="14"/>
      <c r="I487" s="16"/>
      <c r="J487" s="17"/>
      <c r="K487" s="14"/>
      <c r="L487" s="15"/>
      <c r="M487" s="17"/>
      <c r="N487" s="14"/>
      <c r="O487" s="15"/>
      <c r="P487" s="14"/>
      <c r="Q487" s="16"/>
      <c r="R487" s="13" t="str">
        <f aca="false">IF(AND(B487&lt;&gt;"",L487&lt;&gt;""),L487-B487,"")</f>
        <v/>
      </c>
      <c r="S487" s="13" t="str">
        <f aca="true">IF(B487="","",IF(O487&lt;&gt;"",O487-B487,TODAY()-B487))</f>
        <v/>
      </c>
      <c r="T487" s="13" t="str">
        <f aca="false">IF(A487="","",SUMIF('Time Log'!$C$5:$C$1004,A487,'Time Log'!$E$5:$E$1004))</f>
        <v/>
      </c>
    </row>
    <row r="488" customFormat="false" ht="15" hidden="false" customHeight="false" outlineLevel="0" collapsed="false">
      <c r="A488" s="14"/>
      <c r="B488" s="15"/>
      <c r="C488" s="14"/>
      <c r="D488" s="14"/>
      <c r="E488" s="14"/>
      <c r="F488" s="14"/>
      <c r="G488" s="14"/>
      <c r="H488" s="14"/>
      <c r="I488" s="16"/>
      <c r="J488" s="17"/>
      <c r="K488" s="14"/>
      <c r="L488" s="15"/>
      <c r="M488" s="17"/>
      <c r="N488" s="14"/>
      <c r="O488" s="15"/>
      <c r="P488" s="14"/>
      <c r="Q488" s="16"/>
      <c r="R488" s="13" t="str">
        <f aca="false">IF(AND(B488&lt;&gt;"",L488&lt;&gt;""),L488-B488,"")</f>
        <v/>
      </c>
      <c r="S488" s="13" t="str">
        <f aca="true">IF(B488="","",IF(O488&lt;&gt;"",O488-B488,TODAY()-B488))</f>
        <v/>
      </c>
      <c r="T488" s="13" t="str">
        <f aca="false">IF(A488="","",SUMIF('Time Log'!$C$5:$C$1004,A488,'Time Log'!$E$5:$E$1004))</f>
        <v/>
      </c>
    </row>
    <row r="489" customFormat="false" ht="15" hidden="false" customHeight="false" outlineLevel="0" collapsed="false">
      <c r="A489" s="14"/>
      <c r="B489" s="15"/>
      <c r="C489" s="14"/>
      <c r="D489" s="14"/>
      <c r="E489" s="14"/>
      <c r="F489" s="14"/>
      <c r="G489" s="14"/>
      <c r="H489" s="14"/>
      <c r="I489" s="16"/>
      <c r="J489" s="17"/>
      <c r="K489" s="14"/>
      <c r="L489" s="15"/>
      <c r="M489" s="17"/>
      <c r="N489" s="14"/>
      <c r="O489" s="15"/>
      <c r="P489" s="14"/>
      <c r="Q489" s="16"/>
      <c r="R489" s="13" t="str">
        <f aca="false">IF(AND(B489&lt;&gt;"",L489&lt;&gt;""),L489-B489,"")</f>
        <v/>
      </c>
      <c r="S489" s="13" t="str">
        <f aca="true">IF(B489="","",IF(O489&lt;&gt;"",O489-B489,TODAY()-B489))</f>
        <v/>
      </c>
      <c r="T489" s="13" t="str">
        <f aca="false">IF(A489="","",SUMIF('Time Log'!$C$5:$C$1004,A489,'Time Log'!$E$5:$E$1004))</f>
        <v/>
      </c>
    </row>
    <row r="490" customFormat="false" ht="15" hidden="false" customHeight="false" outlineLevel="0" collapsed="false">
      <c r="A490" s="14"/>
      <c r="B490" s="15"/>
      <c r="C490" s="14"/>
      <c r="D490" s="14"/>
      <c r="E490" s="14"/>
      <c r="F490" s="14"/>
      <c r="G490" s="14"/>
      <c r="H490" s="14"/>
      <c r="I490" s="16"/>
      <c r="J490" s="17"/>
      <c r="K490" s="14"/>
      <c r="L490" s="15"/>
      <c r="M490" s="17"/>
      <c r="N490" s="14"/>
      <c r="O490" s="15"/>
      <c r="P490" s="14"/>
      <c r="Q490" s="16"/>
      <c r="R490" s="13" t="str">
        <f aca="false">IF(AND(B490&lt;&gt;"",L490&lt;&gt;""),L490-B490,"")</f>
        <v/>
      </c>
      <c r="S490" s="13" t="str">
        <f aca="true">IF(B490="","",IF(O490&lt;&gt;"",O490-B490,TODAY()-B490))</f>
        <v/>
      </c>
      <c r="T490" s="13" t="str">
        <f aca="false">IF(A490="","",SUMIF('Time Log'!$C$5:$C$1004,A490,'Time Log'!$E$5:$E$1004))</f>
        <v/>
      </c>
    </row>
    <row r="491" customFormat="false" ht="15" hidden="false" customHeight="false" outlineLevel="0" collapsed="false">
      <c r="A491" s="14"/>
      <c r="B491" s="15"/>
      <c r="C491" s="14"/>
      <c r="D491" s="14"/>
      <c r="E491" s="14"/>
      <c r="F491" s="14"/>
      <c r="G491" s="14"/>
      <c r="H491" s="14"/>
      <c r="I491" s="16"/>
      <c r="J491" s="17"/>
      <c r="K491" s="14"/>
      <c r="L491" s="15"/>
      <c r="M491" s="17"/>
      <c r="N491" s="14"/>
      <c r="O491" s="15"/>
      <c r="P491" s="14"/>
      <c r="Q491" s="16"/>
      <c r="R491" s="13" t="str">
        <f aca="false">IF(AND(B491&lt;&gt;"",L491&lt;&gt;""),L491-B491,"")</f>
        <v/>
      </c>
      <c r="S491" s="13" t="str">
        <f aca="true">IF(B491="","",IF(O491&lt;&gt;"",O491-B491,TODAY()-B491))</f>
        <v/>
      </c>
      <c r="T491" s="13" t="str">
        <f aca="false">IF(A491="","",SUMIF('Time Log'!$C$5:$C$1004,A491,'Time Log'!$E$5:$E$1004))</f>
        <v/>
      </c>
    </row>
    <row r="492" customFormat="false" ht="15" hidden="false" customHeight="false" outlineLevel="0" collapsed="false">
      <c r="A492" s="14"/>
      <c r="B492" s="15"/>
      <c r="C492" s="14"/>
      <c r="D492" s="14"/>
      <c r="E492" s="14"/>
      <c r="F492" s="14"/>
      <c r="G492" s="14"/>
      <c r="H492" s="14"/>
      <c r="I492" s="16"/>
      <c r="J492" s="17"/>
      <c r="K492" s="14"/>
      <c r="L492" s="15"/>
      <c r="M492" s="17"/>
      <c r="N492" s="14"/>
      <c r="O492" s="15"/>
      <c r="P492" s="14"/>
      <c r="Q492" s="16"/>
      <c r="R492" s="13" t="str">
        <f aca="false">IF(AND(B492&lt;&gt;"",L492&lt;&gt;""),L492-B492,"")</f>
        <v/>
      </c>
      <c r="S492" s="13" t="str">
        <f aca="true">IF(B492="","",IF(O492&lt;&gt;"",O492-B492,TODAY()-B492))</f>
        <v/>
      </c>
      <c r="T492" s="13" t="str">
        <f aca="false">IF(A492="","",SUMIF('Time Log'!$C$5:$C$1004,A492,'Time Log'!$E$5:$E$1004))</f>
        <v/>
      </c>
    </row>
    <row r="493" customFormat="false" ht="15" hidden="false" customHeight="false" outlineLevel="0" collapsed="false">
      <c r="A493" s="14"/>
      <c r="B493" s="15"/>
      <c r="C493" s="14"/>
      <c r="D493" s="14"/>
      <c r="E493" s="14"/>
      <c r="F493" s="14"/>
      <c r="G493" s="14"/>
      <c r="H493" s="14"/>
      <c r="I493" s="16"/>
      <c r="J493" s="17"/>
      <c r="K493" s="14"/>
      <c r="L493" s="15"/>
      <c r="M493" s="17"/>
      <c r="N493" s="14"/>
      <c r="O493" s="15"/>
      <c r="P493" s="14"/>
      <c r="Q493" s="16"/>
      <c r="R493" s="13" t="str">
        <f aca="false">IF(AND(B493&lt;&gt;"",L493&lt;&gt;""),L493-B493,"")</f>
        <v/>
      </c>
      <c r="S493" s="13" t="str">
        <f aca="true">IF(B493="","",IF(O493&lt;&gt;"",O493-B493,TODAY()-B493))</f>
        <v/>
      </c>
      <c r="T493" s="13" t="str">
        <f aca="false">IF(A493="","",SUMIF('Time Log'!$C$5:$C$1004,A493,'Time Log'!$E$5:$E$1004))</f>
        <v/>
      </c>
    </row>
    <row r="494" customFormat="false" ht="15" hidden="false" customHeight="false" outlineLevel="0" collapsed="false">
      <c r="A494" s="14"/>
      <c r="B494" s="15"/>
      <c r="C494" s="14"/>
      <c r="D494" s="14"/>
      <c r="E494" s="14"/>
      <c r="F494" s="14"/>
      <c r="G494" s="14"/>
      <c r="H494" s="14"/>
      <c r="I494" s="16"/>
      <c r="J494" s="17"/>
      <c r="K494" s="14"/>
      <c r="L494" s="15"/>
      <c r="M494" s="17"/>
      <c r="N494" s="14"/>
      <c r="O494" s="15"/>
      <c r="P494" s="14"/>
      <c r="Q494" s="16"/>
      <c r="R494" s="13" t="str">
        <f aca="false">IF(AND(B494&lt;&gt;"",L494&lt;&gt;""),L494-B494,"")</f>
        <v/>
      </c>
      <c r="S494" s="13" t="str">
        <f aca="true">IF(B494="","",IF(O494&lt;&gt;"",O494-B494,TODAY()-B494))</f>
        <v/>
      </c>
      <c r="T494" s="13" t="str">
        <f aca="false">IF(A494="","",SUMIF('Time Log'!$C$5:$C$1004,A494,'Time Log'!$E$5:$E$1004))</f>
        <v/>
      </c>
    </row>
    <row r="495" customFormat="false" ht="15" hidden="false" customHeight="false" outlineLevel="0" collapsed="false">
      <c r="A495" s="14"/>
      <c r="B495" s="15"/>
      <c r="C495" s="14"/>
      <c r="D495" s="14"/>
      <c r="E495" s="14"/>
      <c r="F495" s="14"/>
      <c r="G495" s="14"/>
      <c r="H495" s="14"/>
      <c r="I495" s="16"/>
      <c r="J495" s="17"/>
      <c r="K495" s="14"/>
      <c r="L495" s="15"/>
      <c r="M495" s="17"/>
      <c r="N495" s="14"/>
      <c r="O495" s="15"/>
      <c r="P495" s="14"/>
      <c r="Q495" s="16"/>
      <c r="R495" s="13" t="str">
        <f aca="false">IF(AND(B495&lt;&gt;"",L495&lt;&gt;""),L495-B495,"")</f>
        <v/>
      </c>
      <c r="S495" s="13" t="str">
        <f aca="true">IF(B495="","",IF(O495&lt;&gt;"",O495-B495,TODAY()-B495))</f>
        <v/>
      </c>
      <c r="T495" s="13" t="str">
        <f aca="false">IF(A495="","",SUMIF('Time Log'!$C$5:$C$1004,A495,'Time Log'!$E$5:$E$1004))</f>
        <v/>
      </c>
    </row>
    <row r="496" customFormat="false" ht="15" hidden="false" customHeight="false" outlineLevel="0" collapsed="false">
      <c r="A496" s="14"/>
      <c r="B496" s="15"/>
      <c r="C496" s="14"/>
      <c r="D496" s="14"/>
      <c r="E496" s="14"/>
      <c r="F496" s="14"/>
      <c r="G496" s="14"/>
      <c r="H496" s="14"/>
      <c r="I496" s="16"/>
      <c r="J496" s="17"/>
      <c r="K496" s="14"/>
      <c r="L496" s="15"/>
      <c r="M496" s="17"/>
      <c r="N496" s="14"/>
      <c r="O496" s="15"/>
      <c r="P496" s="14"/>
      <c r="Q496" s="16"/>
      <c r="R496" s="13" t="str">
        <f aca="false">IF(AND(B496&lt;&gt;"",L496&lt;&gt;""),L496-B496,"")</f>
        <v/>
      </c>
      <c r="S496" s="13" t="str">
        <f aca="true">IF(B496="","",IF(O496&lt;&gt;"",O496-B496,TODAY()-B496))</f>
        <v/>
      </c>
      <c r="T496" s="13" t="str">
        <f aca="false">IF(A496="","",SUMIF('Time Log'!$C$5:$C$1004,A496,'Time Log'!$E$5:$E$1004))</f>
        <v/>
      </c>
    </row>
    <row r="497" customFormat="false" ht="15" hidden="false" customHeight="false" outlineLevel="0" collapsed="false">
      <c r="A497" s="14"/>
      <c r="B497" s="15"/>
      <c r="C497" s="14"/>
      <c r="D497" s="14"/>
      <c r="E497" s="14"/>
      <c r="F497" s="14"/>
      <c r="G497" s="14"/>
      <c r="H497" s="14"/>
      <c r="I497" s="16"/>
      <c r="J497" s="17"/>
      <c r="K497" s="14"/>
      <c r="L497" s="15"/>
      <c r="M497" s="17"/>
      <c r="N497" s="14"/>
      <c r="O497" s="15"/>
      <c r="P497" s="14"/>
      <c r="Q497" s="16"/>
      <c r="R497" s="13" t="str">
        <f aca="false">IF(AND(B497&lt;&gt;"",L497&lt;&gt;""),L497-B497,"")</f>
        <v/>
      </c>
      <c r="S497" s="13" t="str">
        <f aca="true">IF(B497="","",IF(O497&lt;&gt;"",O497-B497,TODAY()-B497))</f>
        <v/>
      </c>
      <c r="T497" s="13" t="str">
        <f aca="false">IF(A497="","",SUMIF('Time Log'!$C$5:$C$1004,A497,'Time Log'!$E$5:$E$1004))</f>
        <v/>
      </c>
    </row>
    <row r="498" customFormat="false" ht="15" hidden="false" customHeight="false" outlineLevel="0" collapsed="false">
      <c r="A498" s="14"/>
      <c r="B498" s="15"/>
      <c r="C498" s="14"/>
      <c r="D498" s="14"/>
      <c r="E498" s="14"/>
      <c r="F498" s="14"/>
      <c r="G498" s="14"/>
      <c r="H498" s="14"/>
      <c r="I498" s="16"/>
      <c r="J498" s="17"/>
      <c r="K498" s="14"/>
      <c r="L498" s="15"/>
      <c r="M498" s="17"/>
      <c r="N498" s="14"/>
      <c r="O498" s="15"/>
      <c r="P498" s="14"/>
      <c r="Q498" s="16"/>
      <c r="R498" s="13" t="str">
        <f aca="false">IF(AND(B498&lt;&gt;"",L498&lt;&gt;""),L498-B498,"")</f>
        <v/>
      </c>
      <c r="S498" s="13" t="str">
        <f aca="true">IF(B498="","",IF(O498&lt;&gt;"",O498-B498,TODAY()-B498))</f>
        <v/>
      </c>
      <c r="T498" s="13" t="str">
        <f aca="false">IF(A498="","",SUMIF('Time Log'!$C$5:$C$1004,A498,'Time Log'!$E$5:$E$1004))</f>
        <v/>
      </c>
    </row>
    <row r="499" customFormat="false" ht="15" hidden="false" customHeight="false" outlineLevel="0" collapsed="false">
      <c r="A499" s="14"/>
      <c r="B499" s="15"/>
      <c r="C499" s="14"/>
      <c r="D499" s="14"/>
      <c r="E499" s="14"/>
      <c r="F499" s="14"/>
      <c r="G499" s="14"/>
      <c r="H499" s="14"/>
      <c r="I499" s="16"/>
      <c r="J499" s="17"/>
      <c r="K499" s="14"/>
      <c r="L499" s="15"/>
      <c r="M499" s="17"/>
      <c r="N499" s="14"/>
      <c r="O499" s="15"/>
      <c r="P499" s="14"/>
      <c r="Q499" s="16"/>
      <c r="R499" s="13" t="str">
        <f aca="false">IF(AND(B499&lt;&gt;"",L499&lt;&gt;""),L499-B499,"")</f>
        <v/>
      </c>
      <c r="S499" s="13" t="str">
        <f aca="true">IF(B499="","",IF(O499&lt;&gt;"",O499-B499,TODAY()-B499))</f>
        <v/>
      </c>
      <c r="T499" s="13" t="str">
        <f aca="false">IF(A499="","",SUMIF('Time Log'!$C$5:$C$1004,A499,'Time Log'!$E$5:$E$1004))</f>
        <v/>
      </c>
    </row>
    <row r="500" customFormat="false" ht="15" hidden="false" customHeight="false" outlineLevel="0" collapsed="false">
      <c r="A500" s="14"/>
      <c r="B500" s="15"/>
      <c r="C500" s="14"/>
      <c r="D500" s="14"/>
      <c r="E500" s="14"/>
      <c r="F500" s="14"/>
      <c r="G500" s="14"/>
      <c r="H500" s="14"/>
      <c r="I500" s="16"/>
      <c r="J500" s="17"/>
      <c r="K500" s="14"/>
      <c r="L500" s="15"/>
      <c r="M500" s="17"/>
      <c r="N500" s="14"/>
      <c r="O500" s="15"/>
      <c r="P500" s="14"/>
      <c r="Q500" s="16"/>
      <c r="R500" s="13" t="str">
        <f aca="false">IF(AND(B500&lt;&gt;"",L500&lt;&gt;""),L500-B500,"")</f>
        <v/>
      </c>
      <c r="S500" s="13" t="str">
        <f aca="true">IF(B500="","",IF(O500&lt;&gt;"",O500-B500,TODAY()-B500))</f>
        <v/>
      </c>
      <c r="T500" s="13" t="str">
        <f aca="false">IF(A500="","",SUMIF('Time Log'!$C$5:$C$1004,A500,'Time Log'!$E$5:$E$1004))</f>
        <v/>
      </c>
    </row>
    <row r="501" customFormat="false" ht="15" hidden="false" customHeight="false" outlineLevel="0" collapsed="false">
      <c r="A501" s="14"/>
      <c r="B501" s="15"/>
      <c r="C501" s="14"/>
      <c r="D501" s="14"/>
      <c r="E501" s="14"/>
      <c r="F501" s="14"/>
      <c r="G501" s="14"/>
      <c r="H501" s="14"/>
      <c r="I501" s="16"/>
      <c r="J501" s="17"/>
      <c r="K501" s="14"/>
      <c r="L501" s="15"/>
      <c r="M501" s="17"/>
      <c r="N501" s="14"/>
      <c r="O501" s="15"/>
      <c r="P501" s="14"/>
      <c r="Q501" s="16"/>
      <c r="R501" s="13" t="str">
        <f aca="false">IF(AND(B501&lt;&gt;"",L501&lt;&gt;""),L501-B501,"")</f>
        <v/>
      </c>
      <c r="S501" s="13" t="str">
        <f aca="true">IF(B501="","",IF(O501&lt;&gt;"",O501-B501,TODAY()-B501))</f>
        <v/>
      </c>
      <c r="T501" s="13" t="str">
        <f aca="false">IF(A501="","",SUMIF('Time Log'!$C$5:$C$1004,A501,'Time Log'!$E$5:$E$1004))</f>
        <v/>
      </c>
    </row>
    <row r="502" customFormat="false" ht="15" hidden="false" customHeight="false" outlineLevel="0" collapsed="false">
      <c r="A502" s="14"/>
      <c r="B502" s="15"/>
      <c r="C502" s="14"/>
      <c r="D502" s="14"/>
      <c r="E502" s="14"/>
      <c r="F502" s="14"/>
      <c r="G502" s="14"/>
      <c r="H502" s="14"/>
      <c r="I502" s="16"/>
      <c r="J502" s="17"/>
      <c r="K502" s="14"/>
      <c r="L502" s="15"/>
      <c r="M502" s="17"/>
      <c r="N502" s="14"/>
      <c r="O502" s="15"/>
      <c r="P502" s="14"/>
      <c r="Q502" s="16"/>
      <c r="R502" s="13" t="str">
        <f aca="false">IF(AND(B502&lt;&gt;"",L502&lt;&gt;""),L502-B502,"")</f>
        <v/>
      </c>
      <c r="S502" s="13" t="str">
        <f aca="true">IF(B502="","",IF(O502&lt;&gt;"",O502-B502,TODAY()-B502))</f>
        <v/>
      </c>
      <c r="T502" s="13" t="str">
        <f aca="false">IF(A502="","",SUMIF('Time Log'!$C$5:$C$1004,A502,'Time Log'!$E$5:$E$1004))</f>
        <v/>
      </c>
    </row>
    <row r="503" customFormat="false" ht="15" hidden="false" customHeight="false" outlineLevel="0" collapsed="false">
      <c r="A503" s="14"/>
      <c r="B503" s="15"/>
      <c r="C503" s="14"/>
      <c r="D503" s="14"/>
      <c r="E503" s="14"/>
      <c r="F503" s="14"/>
      <c r="G503" s="14"/>
      <c r="H503" s="14"/>
      <c r="I503" s="16"/>
      <c r="J503" s="17"/>
      <c r="K503" s="14"/>
      <c r="L503" s="15"/>
      <c r="M503" s="17"/>
      <c r="N503" s="14"/>
      <c r="O503" s="15"/>
      <c r="P503" s="14"/>
      <c r="Q503" s="16"/>
      <c r="R503" s="13" t="str">
        <f aca="false">IF(AND(B503&lt;&gt;"",L503&lt;&gt;""),L503-B503,"")</f>
        <v/>
      </c>
      <c r="S503" s="13" t="str">
        <f aca="true">IF(B503="","",IF(O503&lt;&gt;"",O503-B503,TODAY()-B503))</f>
        <v/>
      </c>
      <c r="T503" s="13" t="str">
        <f aca="false">IF(A503="","",SUMIF('Time Log'!$C$5:$C$1004,A503,'Time Log'!$E$5:$E$1004))</f>
        <v/>
      </c>
    </row>
    <row r="504" customFormat="false" ht="15" hidden="false" customHeight="false" outlineLevel="0" collapsed="false">
      <c r="A504" s="14"/>
      <c r="B504" s="15"/>
      <c r="C504" s="14"/>
      <c r="D504" s="14"/>
      <c r="E504" s="14"/>
      <c r="F504" s="14"/>
      <c r="G504" s="14"/>
      <c r="H504" s="14"/>
      <c r="I504" s="16"/>
      <c r="J504" s="17"/>
      <c r="K504" s="14"/>
      <c r="L504" s="15"/>
      <c r="M504" s="17"/>
      <c r="N504" s="14"/>
      <c r="O504" s="15"/>
      <c r="P504" s="14"/>
      <c r="Q504" s="16"/>
      <c r="R504" s="13" t="str">
        <f aca="false">IF(AND(B504&lt;&gt;"",L504&lt;&gt;""),L504-B504,"")</f>
        <v/>
      </c>
      <c r="S504" s="13" t="str">
        <f aca="true">IF(B504="","",IF(O504&lt;&gt;"",O504-B504,TODAY()-B504))</f>
        <v/>
      </c>
      <c r="T504" s="13" t="str">
        <f aca="false">IF(A504="","",SUMIF('Time Log'!$C$5:$C$1004,A504,'Time Log'!$E$5:$E$1004))</f>
        <v/>
      </c>
    </row>
    <row r="505" customFormat="false" ht="15" hidden="false" customHeight="false" outlineLevel="0" collapsed="false">
      <c r="A505" s="14"/>
      <c r="B505" s="15"/>
      <c r="C505" s="14"/>
      <c r="D505" s="14"/>
      <c r="E505" s="14"/>
      <c r="F505" s="14"/>
      <c r="G505" s="14"/>
      <c r="H505" s="14"/>
      <c r="I505" s="16"/>
      <c r="J505" s="17"/>
      <c r="K505" s="14"/>
      <c r="L505" s="15"/>
      <c r="M505" s="17"/>
      <c r="N505" s="14"/>
      <c r="O505" s="15"/>
      <c r="P505" s="14"/>
      <c r="Q505" s="16"/>
      <c r="R505" s="13" t="str">
        <f aca="false">IF(AND(B505&lt;&gt;"",L505&lt;&gt;""),L505-B505,"")</f>
        <v/>
      </c>
      <c r="S505" s="13" t="str">
        <f aca="true">IF(B505="","",IF(O505&lt;&gt;"",O505-B505,TODAY()-B505))</f>
        <v/>
      </c>
      <c r="T505" s="13" t="str">
        <f aca="false">IF(A505="","",SUMIF('Time Log'!$C$5:$C$1004,A505,'Time Log'!$E$5:$E$1004))</f>
        <v/>
      </c>
    </row>
    <row r="506" customFormat="false" ht="15" hidden="false" customHeight="false" outlineLevel="0" collapsed="false">
      <c r="A506" s="14"/>
      <c r="B506" s="15"/>
      <c r="C506" s="14"/>
      <c r="D506" s="14"/>
      <c r="E506" s="14"/>
      <c r="F506" s="14"/>
      <c r="G506" s="14"/>
      <c r="H506" s="14"/>
      <c r="I506" s="16"/>
      <c r="J506" s="17"/>
      <c r="K506" s="14"/>
      <c r="L506" s="15"/>
      <c r="M506" s="17"/>
      <c r="N506" s="14"/>
      <c r="O506" s="15"/>
      <c r="P506" s="14"/>
      <c r="Q506" s="16"/>
      <c r="R506" s="13" t="str">
        <f aca="false">IF(AND(B506&lt;&gt;"",L506&lt;&gt;""),L506-B506,"")</f>
        <v/>
      </c>
      <c r="S506" s="13" t="str">
        <f aca="true">IF(B506="","",IF(O506&lt;&gt;"",O506-B506,TODAY()-B506))</f>
        <v/>
      </c>
      <c r="T506" s="13" t="str">
        <f aca="false">IF(A506="","",SUMIF('Time Log'!$C$5:$C$1004,A506,'Time Log'!$E$5:$E$1004))</f>
        <v/>
      </c>
    </row>
    <row r="507" customFormat="false" ht="15" hidden="false" customHeight="false" outlineLevel="0" collapsed="false">
      <c r="A507" s="14"/>
      <c r="B507" s="15"/>
      <c r="C507" s="14"/>
      <c r="D507" s="14"/>
      <c r="E507" s="14"/>
      <c r="F507" s="14"/>
      <c r="G507" s="14"/>
      <c r="H507" s="14"/>
      <c r="I507" s="16"/>
      <c r="J507" s="17"/>
      <c r="K507" s="14"/>
      <c r="L507" s="15"/>
      <c r="M507" s="17"/>
      <c r="N507" s="14"/>
      <c r="O507" s="15"/>
      <c r="P507" s="14"/>
      <c r="Q507" s="16"/>
      <c r="R507" s="13" t="str">
        <f aca="false">IF(AND(B507&lt;&gt;"",L507&lt;&gt;""),L507-B507,"")</f>
        <v/>
      </c>
      <c r="S507" s="13" t="str">
        <f aca="true">IF(B507="","",IF(O507&lt;&gt;"",O507-B507,TODAY()-B507))</f>
        <v/>
      </c>
      <c r="T507" s="13" t="str">
        <f aca="false">IF(A507="","",SUMIF('Time Log'!$C$5:$C$1004,A507,'Time Log'!$E$5:$E$1004))</f>
        <v/>
      </c>
    </row>
    <row r="508" customFormat="false" ht="15" hidden="false" customHeight="false" outlineLevel="0" collapsed="false">
      <c r="A508" s="14"/>
      <c r="B508" s="15"/>
      <c r="C508" s="14"/>
      <c r="D508" s="14"/>
      <c r="E508" s="14"/>
      <c r="F508" s="14"/>
      <c r="G508" s="14"/>
      <c r="H508" s="14"/>
      <c r="I508" s="16"/>
      <c r="J508" s="17"/>
      <c r="K508" s="14"/>
      <c r="L508" s="15"/>
      <c r="M508" s="17"/>
      <c r="N508" s="14"/>
      <c r="O508" s="15"/>
      <c r="P508" s="14"/>
      <c r="Q508" s="16"/>
      <c r="R508" s="13" t="str">
        <f aca="false">IF(AND(B508&lt;&gt;"",L508&lt;&gt;""),L508-B508,"")</f>
        <v/>
      </c>
      <c r="S508" s="13" t="str">
        <f aca="true">IF(B508="","",IF(O508&lt;&gt;"",O508-B508,TODAY()-B508))</f>
        <v/>
      </c>
      <c r="T508" s="13" t="str">
        <f aca="false">IF(A508="","",SUMIF('Time Log'!$C$5:$C$1004,A508,'Time Log'!$E$5:$E$1004))</f>
        <v/>
      </c>
    </row>
    <row r="509" customFormat="false" ht="15" hidden="false" customHeight="false" outlineLevel="0" collapsed="false">
      <c r="A509" s="14"/>
      <c r="B509" s="15"/>
      <c r="C509" s="14"/>
      <c r="D509" s="14"/>
      <c r="E509" s="14"/>
      <c r="F509" s="14"/>
      <c r="G509" s="14"/>
      <c r="H509" s="14"/>
      <c r="I509" s="16"/>
      <c r="J509" s="17"/>
      <c r="K509" s="14"/>
      <c r="L509" s="15"/>
      <c r="M509" s="17"/>
      <c r="N509" s="14"/>
      <c r="O509" s="15"/>
      <c r="P509" s="14"/>
      <c r="Q509" s="16"/>
      <c r="R509" s="13" t="str">
        <f aca="false">IF(AND(B509&lt;&gt;"",L509&lt;&gt;""),L509-B509,"")</f>
        <v/>
      </c>
      <c r="S509" s="13" t="str">
        <f aca="true">IF(B509="","",IF(O509&lt;&gt;"",O509-B509,TODAY()-B509))</f>
        <v/>
      </c>
      <c r="T509" s="13" t="str">
        <f aca="false">IF(A509="","",SUMIF('Time Log'!$C$5:$C$1004,A509,'Time Log'!$E$5:$E$1004))</f>
        <v/>
      </c>
    </row>
    <row r="510" customFormat="false" ht="15" hidden="false" customHeight="false" outlineLevel="0" collapsed="false">
      <c r="A510" s="14"/>
      <c r="B510" s="15"/>
      <c r="C510" s="14"/>
      <c r="D510" s="14"/>
      <c r="E510" s="14"/>
      <c r="F510" s="14"/>
      <c r="G510" s="14"/>
      <c r="H510" s="14"/>
      <c r="I510" s="16"/>
      <c r="J510" s="17"/>
      <c r="K510" s="14"/>
      <c r="L510" s="15"/>
      <c r="M510" s="17"/>
      <c r="N510" s="14"/>
      <c r="O510" s="15"/>
      <c r="P510" s="14"/>
      <c r="Q510" s="16"/>
      <c r="R510" s="13" t="str">
        <f aca="false">IF(AND(B510&lt;&gt;"",L510&lt;&gt;""),L510-B510,"")</f>
        <v/>
      </c>
      <c r="S510" s="13" t="str">
        <f aca="true">IF(B510="","",IF(O510&lt;&gt;"",O510-B510,TODAY()-B510))</f>
        <v/>
      </c>
      <c r="T510" s="13" t="str">
        <f aca="false">IF(A510="","",SUMIF('Time Log'!$C$5:$C$1004,A510,'Time Log'!$E$5:$E$1004))</f>
        <v/>
      </c>
    </row>
    <row r="511" customFormat="false" ht="15" hidden="false" customHeight="false" outlineLevel="0" collapsed="false">
      <c r="A511" s="14"/>
      <c r="B511" s="15"/>
      <c r="C511" s="14"/>
      <c r="D511" s="14"/>
      <c r="E511" s="14"/>
      <c r="F511" s="14"/>
      <c r="G511" s="14"/>
      <c r="H511" s="14"/>
      <c r="I511" s="16"/>
      <c r="J511" s="17"/>
      <c r="K511" s="14"/>
      <c r="L511" s="15"/>
      <c r="M511" s="17"/>
      <c r="N511" s="14"/>
      <c r="O511" s="15"/>
      <c r="P511" s="14"/>
      <c r="Q511" s="16"/>
      <c r="R511" s="13" t="str">
        <f aca="false">IF(AND(B511&lt;&gt;"",L511&lt;&gt;""),L511-B511,"")</f>
        <v/>
      </c>
      <c r="S511" s="13" t="str">
        <f aca="true">IF(B511="","",IF(O511&lt;&gt;"",O511-B511,TODAY()-B511))</f>
        <v/>
      </c>
      <c r="T511" s="13" t="str">
        <f aca="false">IF(A511="","",SUMIF('Time Log'!$C$5:$C$1004,A511,'Time Log'!$E$5:$E$1004))</f>
        <v/>
      </c>
    </row>
    <row r="512" customFormat="false" ht="15" hidden="false" customHeight="false" outlineLevel="0" collapsed="false">
      <c r="A512" s="14"/>
      <c r="B512" s="15"/>
      <c r="C512" s="14"/>
      <c r="D512" s="14"/>
      <c r="E512" s="14"/>
      <c r="F512" s="14"/>
      <c r="G512" s="14"/>
      <c r="H512" s="14"/>
      <c r="I512" s="16"/>
      <c r="J512" s="17"/>
      <c r="K512" s="14"/>
      <c r="L512" s="15"/>
      <c r="M512" s="17"/>
      <c r="N512" s="14"/>
      <c r="O512" s="15"/>
      <c r="P512" s="14"/>
      <c r="Q512" s="16"/>
      <c r="R512" s="13" t="str">
        <f aca="false">IF(AND(B512&lt;&gt;"",L512&lt;&gt;""),L512-B512,"")</f>
        <v/>
      </c>
      <c r="S512" s="13" t="str">
        <f aca="true">IF(B512="","",IF(O512&lt;&gt;"",O512-B512,TODAY()-B512))</f>
        <v/>
      </c>
      <c r="T512" s="13" t="str">
        <f aca="false">IF(A512="","",SUMIF('Time Log'!$C$5:$C$1004,A512,'Time Log'!$E$5:$E$1004))</f>
        <v/>
      </c>
    </row>
    <row r="513" customFormat="false" ht="15" hidden="false" customHeight="false" outlineLevel="0" collapsed="false">
      <c r="A513" s="14"/>
      <c r="B513" s="15"/>
      <c r="C513" s="14"/>
      <c r="D513" s="14"/>
      <c r="E513" s="14"/>
      <c r="F513" s="14"/>
      <c r="G513" s="14"/>
      <c r="H513" s="14"/>
      <c r="I513" s="16"/>
      <c r="J513" s="17"/>
      <c r="K513" s="14"/>
      <c r="L513" s="15"/>
      <c r="M513" s="17"/>
      <c r="N513" s="14"/>
      <c r="O513" s="15"/>
      <c r="P513" s="14"/>
      <c r="Q513" s="16"/>
      <c r="R513" s="13" t="str">
        <f aca="false">IF(AND(B513&lt;&gt;"",L513&lt;&gt;""),L513-B513,"")</f>
        <v/>
      </c>
      <c r="S513" s="13" t="str">
        <f aca="true">IF(B513="","",IF(O513&lt;&gt;"",O513-B513,TODAY()-B513))</f>
        <v/>
      </c>
      <c r="T513" s="13" t="str">
        <f aca="false">IF(A513="","",SUMIF('Time Log'!$C$5:$C$1004,A513,'Time Log'!$E$5:$E$1004))</f>
        <v/>
      </c>
    </row>
    <row r="514" customFormat="false" ht="15" hidden="false" customHeight="false" outlineLevel="0" collapsed="false">
      <c r="A514" s="14"/>
      <c r="B514" s="15"/>
      <c r="C514" s="14"/>
      <c r="D514" s="14"/>
      <c r="E514" s="14"/>
      <c r="F514" s="14"/>
      <c r="G514" s="14"/>
      <c r="H514" s="14"/>
      <c r="I514" s="16"/>
      <c r="J514" s="17"/>
      <c r="K514" s="14"/>
      <c r="L514" s="15"/>
      <c r="M514" s="17"/>
      <c r="N514" s="14"/>
      <c r="O514" s="15"/>
      <c r="P514" s="14"/>
      <c r="Q514" s="16"/>
      <c r="R514" s="13" t="str">
        <f aca="false">IF(AND(B514&lt;&gt;"",L514&lt;&gt;""),L514-B514,"")</f>
        <v/>
      </c>
      <c r="S514" s="13" t="str">
        <f aca="true">IF(B514="","",IF(O514&lt;&gt;"",O514-B514,TODAY()-B514))</f>
        <v/>
      </c>
      <c r="T514" s="13" t="str">
        <f aca="false">IF(A514="","",SUMIF('Time Log'!$C$5:$C$1004,A514,'Time Log'!$E$5:$E$1004))</f>
        <v/>
      </c>
    </row>
    <row r="515" customFormat="false" ht="15" hidden="false" customHeight="false" outlineLevel="0" collapsed="false">
      <c r="A515" s="14"/>
      <c r="B515" s="15"/>
      <c r="C515" s="14"/>
      <c r="D515" s="14"/>
      <c r="E515" s="14"/>
      <c r="F515" s="14"/>
      <c r="G515" s="14"/>
      <c r="H515" s="14"/>
      <c r="I515" s="16"/>
      <c r="J515" s="17"/>
      <c r="K515" s="14"/>
      <c r="L515" s="15"/>
      <c r="M515" s="17"/>
      <c r="N515" s="14"/>
      <c r="O515" s="15"/>
      <c r="P515" s="14"/>
      <c r="Q515" s="16"/>
      <c r="R515" s="13" t="str">
        <f aca="false">IF(AND(B515&lt;&gt;"",L515&lt;&gt;""),L515-B515,"")</f>
        <v/>
      </c>
      <c r="S515" s="13" t="str">
        <f aca="true">IF(B515="","",IF(O515&lt;&gt;"",O515-B515,TODAY()-B515))</f>
        <v/>
      </c>
      <c r="T515" s="13" t="str">
        <f aca="false">IF(A515="","",SUMIF('Time Log'!$C$5:$C$1004,A515,'Time Log'!$E$5:$E$1004))</f>
        <v/>
      </c>
    </row>
    <row r="516" customFormat="false" ht="15" hidden="false" customHeight="false" outlineLevel="0" collapsed="false">
      <c r="A516" s="14"/>
      <c r="B516" s="15"/>
      <c r="C516" s="14"/>
      <c r="D516" s="14"/>
      <c r="E516" s="14"/>
      <c r="F516" s="14"/>
      <c r="G516" s="14"/>
      <c r="H516" s="14"/>
      <c r="I516" s="16"/>
      <c r="J516" s="17"/>
      <c r="K516" s="14"/>
      <c r="L516" s="15"/>
      <c r="M516" s="17"/>
      <c r="N516" s="14"/>
      <c r="O516" s="15"/>
      <c r="P516" s="14"/>
      <c r="Q516" s="16"/>
      <c r="R516" s="13" t="str">
        <f aca="false">IF(AND(B516&lt;&gt;"",L516&lt;&gt;""),L516-B516,"")</f>
        <v/>
      </c>
      <c r="S516" s="13" t="str">
        <f aca="true">IF(B516="","",IF(O516&lt;&gt;"",O516-B516,TODAY()-B516))</f>
        <v/>
      </c>
      <c r="T516" s="13" t="str">
        <f aca="false">IF(A516="","",SUMIF('Time Log'!$C$5:$C$1004,A516,'Time Log'!$E$5:$E$1004))</f>
        <v/>
      </c>
    </row>
    <row r="517" customFormat="false" ht="15" hidden="false" customHeight="false" outlineLevel="0" collapsed="false">
      <c r="A517" s="14"/>
      <c r="B517" s="15"/>
      <c r="C517" s="14"/>
      <c r="D517" s="14"/>
      <c r="E517" s="14"/>
      <c r="F517" s="14"/>
      <c r="G517" s="14"/>
      <c r="H517" s="14"/>
      <c r="I517" s="16"/>
      <c r="J517" s="17"/>
      <c r="K517" s="14"/>
      <c r="L517" s="15"/>
      <c r="M517" s="17"/>
      <c r="N517" s="14"/>
      <c r="O517" s="15"/>
      <c r="P517" s="14"/>
      <c r="Q517" s="16"/>
      <c r="R517" s="13" t="str">
        <f aca="false">IF(AND(B517&lt;&gt;"",L517&lt;&gt;""),L517-B517,"")</f>
        <v/>
      </c>
      <c r="S517" s="13" t="str">
        <f aca="true">IF(B517="","",IF(O517&lt;&gt;"",O517-B517,TODAY()-B517))</f>
        <v/>
      </c>
      <c r="T517" s="13" t="str">
        <f aca="false">IF(A517="","",SUMIF('Time Log'!$C$5:$C$1004,A517,'Time Log'!$E$5:$E$1004))</f>
        <v/>
      </c>
    </row>
    <row r="518" customFormat="false" ht="15" hidden="false" customHeight="false" outlineLevel="0" collapsed="false">
      <c r="A518" s="14"/>
      <c r="B518" s="15"/>
      <c r="C518" s="14"/>
      <c r="D518" s="14"/>
      <c r="E518" s="14"/>
      <c r="F518" s="14"/>
      <c r="G518" s="14"/>
      <c r="H518" s="14"/>
      <c r="I518" s="16"/>
      <c r="J518" s="17"/>
      <c r="K518" s="14"/>
      <c r="L518" s="15"/>
      <c r="M518" s="17"/>
      <c r="N518" s="14"/>
      <c r="O518" s="15"/>
      <c r="P518" s="14"/>
      <c r="Q518" s="16"/>
      <c r="R518" s="13" t="str">
        <f aca="false">IF(AND(B518&lt;&gt;"",L518&lt;&gt;""),L518-B518,"")</f>
        <v/>
      </c>
      <c r="S518" s="13" t="str">
        <f aca="true">IF(B518="","",IF(O518&lt;&gt;"",O518-B518,TODAY()-B518))</f>
        <v/>
      </c>
      <c r="T518" s="13" t="str">
        <f aca="false">IF(A518="","",SUMIF('Time Log'!$C$5:$C$1004,A518,'Time Log'!$E$5:$E$1004))</f>
        <v/>
      </c>
    </row>
    <row r="519" customFormat="false" ht="15" hidden="false" customHeight="false" outlineLevel="0" collapsed="false">
      <c r="A519" s="14"/>
      <c r="B519" s="15"/>
      <c r="C519" s="14"/>
      <c r="D519" s="14"/>
      <c r="E519" s="14"/>
      <c r="F519" s="14"/>
      <c r="G519" s="14"/>
      <c r="H519" s="14"/>
      <c r="I519" s="16"/>
      <c r="J519" s="17"/>
      <c r="K519" s="14"/>
      <c r="L519" s="15"/>
      <c r="M519" s="17"/>
      <c r="N519" s="14"/>
      <c r="O519" s="15"/>
      <c r="P519" s="14"/>
      <c r="Q519" s="16"/>
      <c r="R519" s="13" t="str">
        <f aca="false">IF(AND(B519&lt;&gt;"",L519&lt;&gt;""),L519-B519,"")</f>
        <v/>
      </c>
      <c r="S519" s="13" t="str">
        <f aca="true">IF(B519="","",IF(O519&lt;&gt;"",O519-B519,TODAY()-B519))</f>
        <v/>
      </c>
      <c r="T519" s="13" t="str">
        <f aca="false">IF(A519="","",SUMIF('Time Log'!$C$5:$C$1004,A519,'Time Log'!$E$5:$E$1004))</f>
        <v/>
      </c>
    </row>
    <row r="520" customFormat="false" ht="15" hidden="false" customHeight="false" outlineLevel="0" collapsed="false">
      <c r="A520" s="14"/>
      <c r="B520" s="15"/>
      <c r="C520" s="14"/>
      <c r="D520" s="14"/>
      <c r="E520" s="14"/>
      <c r="F520" s="14"/>
      <c r="G520" s="14"/>
      <c r="H520" s="14"/>
      <c r="I520" s="16"/>
      <c r="J520" s="17"/>
      <c r="K520" s="14"/>
      <c r="L520" s="15"/>
      <c r="M520" s="17"/>
      <c r="N520" s="14"/>
      <c r="O520" s="15"/>
      <c r="P520" s="14"/>
      <c r="Q520" s="16"/>
      <c r="R520" s="13" t="str">
        <f aca="false">IF(AND(B520&lt;&gt;"",L520&lt;&gt;""),L520-B520,"")</f>
        <v/>
      </c>
      <c r="S520" s="13" t="str">
        <f aca="true">IF(B520="","",IF(O520&lt;&gt;"",O520-B520,TODAY()-B520))</f>
        <v/>
      </c>
      <c r="T520" s="13" t="str">
        <f aca="false">IF(A520="","",SUMIF('Time Log'!$C$5:$C$1004,A520,'Time Log'!$E$5:$E$1004))</f>
        <v/>
      </c>
    </row>
    <row r="521" customFormat="false" ht="15" hidden="false" customHeight="false" outlineLevel="0" collapsed="false">
      <c r="A521" s="14"/>
      <c r="B521" s="15"/>
      <c r="C521" s="14"/>
      <c r="D521" s="14"/>
      <c r="E521" s="14"/>
      <c r="F521" s="14"/>
      <c r="G521" s="14"/>
      <c r="H521" s="14"/>
      <c r="I521" s="16"/>
      <c r="J521" s="17"/>
      <c r="K521" s="14"/>
      <c r="L521" s="15"/>
      <c r="M521" s="17"/>
      <c r="N521" s="14"/>
      <c r="O521" s="15"/>
      <c r="P521" s="14"/>
      <c r="Q521" s="16"/>
      <c r="R521" s="13" t="str">
        <f aca="false">IF(AND(B521&lt;&gt;"",L521&lt;&gt;""),L521-B521,"")</f>
        <v/>
      </c>
      <c r="S521" s="13" t="str">
        <f aca="true">IF(B521="","",IF(O521&lt;&gt;"",O521-B521,TODAY()-B521))</f>
        <v/>
      </c>
      <c r="T521" s="13" t="str">
        <f aca="false">IF(A521="","",SUMIF('Time Log'!$C$5:$C$1004,A521,'Time Log'!$E$5:$E$1004))</f>
        <v/>
      </c>
    </row>
    <row r="522" customFormat="false" ht="15" hidden="false" customHeight="false" outlineLevel="0" collapsed="false">
      <c r="A522" s="14"/>
      <c r="B522" s="15"/>
      <c r="C522" s="14"/>
      <c r="D522" s="14"/>
      <c r="E522" s="14"/>
      <c r="F522" s="14"/>
      <c r="G522" s="14"/>
      <c r="H522" s="14"/>
      <c r="I522" s="16"/>
      <c r="J522" s="17"/>
      <c r="K522" s="14"/>
      <c r="L522" s="15"/>
      <c r="M522" s="17"/>
      <c r="N522" s="14"/>
      <c r="O522" s="15"/>
      <c r="P522" s="14"/>
      <c r="Q522" s="16"/>
      <c r="R522" s="13" t="str">
        <f aca="false">IF(AND(B522&lt;&gt;"",L522&lt;&gt;""),L522-B522,"")</f>
        <v/>
      </c>
      <c r="S522" s="13" t="str">
        <f aca="true">IF(B522="","",IF(O522&lt;&gt;"",O522-B522,TODAY()-B522))</f>
        <v/>
      </c>
      <c r="T522" s="13" t="str">
        <f aca="false">IF(A522="","",SUMIF('Time Log'!$C$5:$C$1004,A522,'Time Log'!$E$5:$E$1004))</f>
        <v/>
      </c>
    </row>
    <row r="523" customFormat="false" ht="15" hidden="false" customHeight="false" outlineLevel="0" collapsed="false">
      <c r="A523" s="14"/>
      <c r="B523" s="15"/>
      <c r="C523" s="14"/>
      <c r="D523" s="14"/>
      <c r="E523" s="14"/>
      <c r="F523" s="14"/>
      <c r="G523" s="14"/>
      <c r="H523" s="14"/>
      <c r="I523" s="16"/>
      <c r="J523" s="17"/>
      <c r="K523" s="14"/>
      <c r="L523" s="15"/>
      <c r="M523" s="17"/>
      <c r="N523" s="14"/>
      <c r="O523" s="15"/>
      <c r="P523" s="14"/>
      <c r="Q523" s="16"/>
      <c r="R523" s="13" t="str">
        <f aca="false">IF(AND(B523&lt;&gt;"",L523&lt;&gt;""),L523-B523,"")</f>
        <v/>
      </c>
      <c r="S523" s="13" t="str">
        <f aca="true">IF(B523="","",IF(O523&lt;&gt;"",O523-B523,TODAY()-B523))</f>
        <v/>
      </c>
      <c r="T523" s="13" t="str">
        <f aca="false">IF(A523="","",SUMIF('Time Log'!$C$5:$C$1004,A523,'Time Log'!$E$5:$E$1004))</f>
        <v/>
      </c>
    </row>
    <row r="524" customFormat="false" ht="15" hidden="false" customHeight="false" outlineLevel="0" collapsed="false">
      <c r="A524" s="14"/>
      <c r="B524" s="15"/>
      <c r="C524" s="14"/>
      <c r="D524" s="14"/>
      <c r="E524" s="14"/>
      <c r="F524" s="14"/>
      <c r="G524" s="14"/>
      <c r="H524" s="14"/>
      <c r="I524" s="16"/>
      <c r="J524" s="17"/>
      <c r="K524" s="14"/>
      <c r="L524" s="15"/>
      <c r="M524" s="17"/>
      <c r="N524" s="14"/>
      <c r="O524" s="15"/>
      <c r="P524" s="14"/>
      <c r="Q524" s="16"/>
      <c r="R524" s="13" t="str">
        <f aca="false">IF(AND(B524&lt;&gt;"",L524&lt;&gt;""),L524-B524,"")</f>
        <v/>
      </c>
      <c r="S524" s="13" t="str">
        <f aca="true">IF(B524="","",IF(O524&lt;&gt;"",O524-B524,TODAY()-B524))</f>
        <v/>
      </c>
      <c r="T524" s="13" t="str">
        <f aca="false">IF(A524="","",SUMIF('Time Log'!$C$5:$C$1004,A524,'Time Log'!$E$5:$E$1004))</f>
        <v/>
      </c>
    </row>
    <row r="525" customFormat="false" ht="15" hidden="false" customHeight="false" outlineLevel="0" collapsed="false">
      <c r="A525" s="14"/>
      <c r="B525" s="15"/>
      <c r="C525" s="14"/>
      <c r="D525" s="14"/>
      <c r="E525" s="14"/>
      <c r="F525" s="14"/>
      <c r="G525" s="14"/>
      <c r="H525" s="14"/>
      <c r="I525" s="16"/>
      <c r="J525" s="17"/>
      <c r="K525" s="14"/>
      <c r="L525" s="15"/>
      <c r="M525" s="17"/>
      <c r="N525" s="14"/>
      <c r="O525" s="15"/>
      <c r="P525" s="14"/>
      <c r="Q525" s="16"/>
      <c r="R525" s="13" t="str">
        <f aca="false">IF(AND(B525&lt;&gt;"",L525&lt;&gt;""),L525-B525,"")</f>
        <v/>
      </c>
      <c r="S525" s="13" t="str">
        <f aca="true">IF(B525="","",IF(O525&lt;&gt;"",O525-B525,TODAY()-B525))</f>
        <v/>
      </c>
      <c r="T525" s="13" t="str">
        <f aca="false">IF(A525="","",SUMIF('Time Log'!$C$5:$C$1004,A525,'Time Log'!$E$5:$E$1004))</f>
        <v/>
      </c>
    </row>
    <row r="526" customFormat="false" ht="15" hidden="false" customHeight="false" outlineLevel="0" collapsed="false">
      <c r="A526" s="14"/>
      <c r="B526" s="15"/>
      <c r="C526" s="14"/>
      <c r="D526" s="14"/>
      <c r="E526" s="14"/>
      <c r="F526" s="14"/>
      <c r="G526" s="14"/>
      <c r="H526" s="14"/>
      <c r="I526" s="16"/>
      <c r="J526" s="17"/>
      <c r="K526" s="14"/>
      <c r="L526" s="15"/>
      <c r="M526" s="17"/>
      <c r="N526" s="14"/>
      <c r="O526" s="15"/>
      <c r="P526" s="14"/>
      <c r="Q526" s="16"/>
      <c r="R526" s="13" t="str">
        <f aca="false">IF(AND(B526&lt;&gt;"",L526&lt;&gt;""),L526-B526,"")</f>
        <v/>
      </c>
      <c r="S526" s="13" t="str">
        <f aca="true">IF(B526="","",IF(O526&lt;&gt;"",O526-B526,TODAY()-B526))</f>
        <v/>
      </c>
      <c r="T526" s="13" t="str">
        <f aca="false">IF(A526="","",SUMIF('Time Log'!$C$5:$C$1004,A526,'Time Log'!$E$5:$E$1004))</f>
        <v/>
      </c>
    </row>
    <row r="527" customFormat="false" ht="15" hidden="false" customHeight="false" outlineLevel="0" collapsed="false">
      <c r="A527" s="14"/>
      <c r="B527" s="15"/>
      <c r="C527" s="14"/>
      <c r="D527" s="14"/>
      <c r="E527" s="14"/>
      <c r="F527" s="14"/>
      <c r="G527" s="14"/>
      <c r="H527" s="14"/>
      <c r="I527" s="16"/>
      <c r="J527" s="17"/>
      <c r="K527" s="14"/>
      <c r="L527" s="15"/>
      <c r="M527" s="17"/>
      <c r="N527" s="14"/>
      <c r="O527" s="15"/>
      <c r="P527" s="14"/>
      <c r="Q527" s="16"/>
      <c r="R527" s="13" t="str">
        <f aca="false">IF(AND(B527&lt;&gt;"",L527&lt;&gt;""),L527-B527,"")</f>
        <v/>
      </c>
      <c r="S527" s="13" t="str">
        <f aca="true">IF(B527="","",IF(O527&lt;&gt;"",O527-B527,TODAY()-B527))</f>
        <v/>
      </c>
      <c r="T527" s="13" t="str">
        <f aca="false">IF(A527="","",SUMIF('Time Log'!$C$5:$C$1004,A527,'Time Log'!$E$5:$E$1004))</f>
        <v/>
      </c>
    </row>
    <row r="528" customFormat="false" ht="15" hidden="false" customHeight="false" outlineLevel="0" collapsed="false">
      <c r="A528" s="14"/>
      <c r="B528" s="15"/>
      <c r="C528" s="14"/>
      <c r="D528" s="14"/>
      <c r="E528" s="14"/>
      <c r="F528" s="14"/>
      <c r="G528" s="14"/>
      <c r="H528" s="14"/>
      <c r="I528" s="16"/>
      <c r="J528" s="17"/>
      <c r="K528" s="14"/>
      <c r="L528" s="15"/>
      <c r="M528" s="17"/>
      <c r="N528" s="14"/>
      <c r="O528" s="15"/>
      <c r="P528" s="14"/>
      <c r="Q528" s="16"/>
      <c r="R528" s="13" t="str">
        <f aca="false">IF(AND(B528&lt;&gt;"",L528&lt;&gt;""),L528-B528,"")</f>
        <v/>
      </c>
      <c r="S528" s="13" t="str">
        <f aca="true">IF(B528="","",IF(O528&lt;&gt;"",O528-B528,TODAY()-B528))</f>
        <v/>
      </c>
      <c r="T528" s="13" t="str">
        <f aca="false">IF(A528="","",SUMIF('Time Log'!$C$5:$C$1004,A528,'Time Log'!$E$5:$E$1004))</f>
        <v/>
      </c>
    </row>
    <row r="529" customFormat="false" ht="15" hidden="false" customHeight="false" outlineLevel="0" collapsed="false">
      <c r="A529" s="14"/>
      <c r="B529" s="15"/>
      <c r="C529" s="14"/>
      <c r="D529" s="14"/>
      <c r="E529" s="14"/>
      <c r="F529" s="14"/>
      <c r="G529" s="14"/>
      <c r="H529" s="14"/>
      <c r="I529" s="16"/>
      <c r="J529" s="17"/>
      <c r="K529" s="14"/>
      <c r="L529" s="15"/>
      <c r="M529" s="17"/>
      <c r="N529" s="14"/>
      <c r="O529" s="15"/>
      <c r="P529" s="14"/>
      <c r="Q529" s="16"/>
      <c r="R529" s="13" t="str">
        <f aca="false">IF(AND(B529&lt;&gt;"",L529&lt;&gt;""),L529-B529,"")</f>
        <v/>
      </c>
      <c r="S529" s="13" t="str">
        <f aca="true">IF(B529="","",IF(O529&lt;&gt;"",O529-B529,TODAY()-B529))</f>
        <v/>
      </c>
      <c r="T529" s="13" t="str">
        <f aca="false">IF(A529="","",SUMIF('Time Log'!$C$5:$C$1004,A529,'Time Log'!$E$5:$E$1004))</f>
        <v/>
      </c>
    </row>
    <row r="530" customFormat="false" ht="15" hidden="false" customHeight="false" outlineLevel="0" collapsed="false">
      <c r="A530" s="14"/>
      <c r="B530" s="15"/>
      <c r="C530" s="14"/>
      <c r="D530" s="14"/>
      <c r="E530" s="14"/>
      <c r="F530" s="14"/>
      <c r="G530" s="14"/>
      <c r="H530" s="14"/>
      <c r="I530" s="16"/>
      <c r="J530" s="17"/>
      <c r="K530" s="14"/>
      <c r="L530" s="15"/>
      <c r="M530" s="17"/>
      <c r="N530" s="14"/>
      <c r="O530" s="15"/>
      <c r="P530" s="14"/>
      <c r="Q530" s="16"/>
      <c r="R530" s="13" t="str">
        <f aca="false">IF(AND(B530&lt;&gt;"",L530&lt;&gt;""),L530-B530,"")</f>
        <v/>
      </c>
      <c r="S530" s="13" t="str">
        <f aca="true">IF(B530="","",IF(O530&lt;&gt;"",O530-B530,TODAY()-B530))</f>
        <v/>
      </c>
      <c r="T530" s="13" t="str">
        <f aca="false">IF(A530="","",SUMIF('Time Log'!$C$5:$C$1004,A530,'Time Log'!$E$5:$E$1004))</f>
        <v/>
      </c>
    </row>
    <row r="531" customFormat="false" ht="15" hidden="false" customHeight="false" outlineLevel="0" collapsed="false">
      <c r="A531" s="14"/>
      <c r="B531" s="15"/>
      <c r="C531" s="14"/>
      <c r="D531" s="14"/>
      <c r="E531" s="14"/>
      <c r="F531" s="14"/>
      <c r="G531" s="14"/>
      <c r="H531" s="14"/>
      <c r="I531" s="16"/>
      <c r="J531" s="17"/>
      <c r="K531" s="14"/>
      <c r="L531" s="15"/>
      <c r="M531" s="17"/>
      <c r="N531" s="14"/>
      <c r="O531" s="15"/>
      <c r="P531" s="14"/>
      <c r="Q531" s="16"/>
      <c r="R531" s="13" t="str">
        <f aca="false">IF(AND(B531&lt;&gt;"",L531&lt;&gt;""),L531-B531,"")</f>
        <v/>
      </c>
      <c r="S531" s="13" t="str">
        <f aca="true">IF(B531="","",IF(O531&lt;&gt;"",O531-B531,TODAY()-B531))</f>
        <v/>
      </c>
      <c r="T531" s="13" t="str">
        <f aca="false">IF(A531="","",SUMIF('Time Log'!$C$5:$C$1004,A531,'Time Log'!$E$5:$E$1004))</f>
        <v/>
      </c>
    </row>
    <row r="532" customFormat="false" ht="15" hidden="false" customHeight="false" outlineLevel="0" collapsed="false">
      <c r="A532" s="14"/>
      <c r="B532" s="15"/>
      <c r="C532" s="14"/>
      <c r="D532" s="14"/>
      <c r="E532" s="14"/>
      <c r="F532" s="14"/>
      <c r="G532" s="14"/>
      <c r="H532" s="14"/>
      <c r="I532" s="16"/>
      <c r="J532" s="17"/>
      <c r="K532" s="14"/>
      <c r="L532" s="15"/>
      <c r="M532" s="17"/>
      <c r="N532" s="14"/>
      <c r="O532" s="15"/>
      <c r="P532" s="14"/>
      <c r="Q532" s="16"/>
      <c r="R532" s="13" t="str">
        <f aca="false">IF(AND(B532&lt;&gt;"",L532&lt;&gt;""),L532-B532,"")</f>
        <v/>
      </c>
      <c r="S532" s="13" t="str">
        <f aca="true">IF(B532="","",IF(O532&lt;&gt;"",O532-B532,TODAY()-B532))</f>
        <v/>
      </c>
      <c r="T532" s="13" t="str">
        <f aca="false">IF(A532="","",SUMIF('Time Log'!$C$5:$C$1004,A532,'Time Log'!$E$5:$E$1004))</f>
        <v/>
      </c>
    </row>
    <row r="533" customFormat="false" ht="15" hidden="false" customHeight="false" outlineLevel="0" collapsed="false">
      <c r="A533" s="14"/>
      <c r="B533" s="15"/>
      <c r="C533" s="14"/>
      <c r="D533" s="14"/>
      <c r="E533" s="14"/>
      <c r="F533" s="14"/>
      <c r="G533" s="14"/>
      <c r="H533" s="14"/>
      <c r="I533" s="16"/>
      <c r="J533" s="17"/>
      <c r="K533" s="14"/>
      <c r="L533" s="15"/>
      <c r="M533" s="17"/>
      <c r="N533" s="14"/>
      <c r="O533" s="15"/>
      <c r="P533" s="14"/>
      <c r="Q533" s="16"/>
      <c r="R533" s="13" t="str">
        <f aca="false">IF(AND(B533&lt;&gt;"",L533&lt;&gt;""),L533-B533,"")</f>
        <v/>
      </c>
      <c r="S533" s="13" t="str">
        <f aca="true">IF(B533="","",IF(O533&lt;&gt;"",O533-B533,TODAY()-B533))</f>
        <v/>
      </c>
      <c r="T533" s="13" t="str">
        <f aca="false">IF(A533="","",SUMIF('Time Log'!$C$5:$C$1004,A533,'Time Log'!$E$5:$E$1004))</f>
        <v/>
      </c>
    </row>
    <row r="534" customFormat="false" ht="15" hidden="false" customHeight="false" outlineLevel="0" collapsed="false">
      <c r="A534" s="14"/>
      <c r="B534" s="15"/>
      <c r="C534" s="14"/>
      <c r="D534" s="14"/>
      <c r="E534" s="14"/>
      <c r="F534" s="14"/>
      <c r="G534" s="14"/>
      <c r="H534" s="14"/>
      <c r="I534" s="16"/>
      <c r="J534" s="17"/>
      <c r="K534" s="14"/>
      <c r="L534" s="15"/>
      <c r="M534" s="17"/>
      <c r="N534" s="14"/>
      <c r="O534" s="15"/>
      <c r="P534" s="14"/>
      <c r="Q534" s="16"/>
      <c r="R534" s="13" t="str">
        <f aca="false">IF(AND(B534&lt;&gt;"",L534&lt;&gt;""),L534-B534,"")</f>
        <v/>
      </c>
      <c r="S534" s="13" t="str">
        <f aca="true">IF(B534="","",IF(O534&lt;&gt;"",O534-B534,TODAY()-B534))</f>
        <v/>
      </c>
      <c r="T534" s="13" t="str">
        <f aca="false">IF(A534="","",SUMIF('Time Log'!$C$5:$C$1004,A534,'Time Log'!$E$5:$E$1004))</f>
        <v/>
      </c>
    </row>
    <row r="535" customFormat="false" ht="15" hidden="false" customHeight="false" outlineLevel="0" collapsed="false">
      <c r="A535" s="14"/>
      <c r="B535" s="15"/>
      <c r="C535" s="14"/>
      <c r="D535" s="14"/>
      <c r="E535" s="14"/>
      <c r="F535" s="14"/>
      <c r="G535" s="14"/>
      <c r="H535" s="14"/>
      <c r="I535" s="16"/>
      <c r="J535" s="17"/>
      <c r="K535" s="14"/>
      <c r="L535" s="15"/>
      <c r="M535" s="17"/>
      <c r="N535" s="14"/>
      <c r="O535" s="15"/>
      <c r="P535" s="14"/>
      <c r="Q535" s="16"/>
      <c r="R535" s="13" t="str">
        <f aca="false">IF(AND(B535&lt;&gt;"",L535&lt;&gt;""),L535-B535,"")</f>
        <v/>
      </c>
      <c r="S535" s="13" t="str">
        <f aca="true">IF(B535="","",IF(O535&lt;&gt;"",O535-B535,TODAY()-B535))</f>
        <v/>
      </c>
      <c r="T535" s="13" t="str">
        <f aca="false">IF(A535="","",SUMIF('Time Log'!$C$5:$C$1004,A535,'Time Log'!$E$5:$E$1004))</f>
        <v/>
      </c>
    </row>
    <row r="536" customFormat="false" ht="15" hidden="false" customHeight="false" outlineLevel="0" collapsed="false">
      <c r="A536" s="14"/>
      <c r="B536" s="15"/>
      <c r="C536" s="14"/>
      <c r="D536" s="14"/>
      <c r="E536" s="14"/>
      <c r="F536" s="14"/>
      <c r="G536" s="14"/>
      <c r="H536" s="14"/>
      <c r="I536" s="16"/>
      <c r="J536" s="17"/>
      <c r="K536" s="14"/>
      <c r="L536" s="15"/>
      <c r="M536" s="17"/>
      <c r="N536" s="14"/>
      <c r="O536" s="15"/>
      <c r="P536" s="14"/>
      <c r="Q536" s="16"/>
      <c r="R536" s="13" t="str">
        <f aca="false">IF(AND(B536&lt;&gt;"",L536&lt;&gt;""),L536-B536,"")</f>
        <v/>
      </c>
      <c r="S536" s="13" t="str">
        <f aca="true">IF(B536="","",IF(O536&lt;&gt;"",O536-B536,TODAY()-B536))</f>
        <v/>
      </c>
      <c r="T536" s="13" t="str">
        <f aca="false">IF(A536="","",SUMIF('Time Log'!$C$5:$C$1004,A536,'Time Log'!$E$5:$E$1004))</f>
        <v/>
      </c>
    </row>
    <row r="537" customFormat="false" ht="15" hidden="false" customHeight="false" outlineLevel="0" collapsed="false">
      <c r="A537" s="14"/>
      <c r="B537" s="15"/>
      <c r="C537" s="14"/>
      <c r="D537" s="14"/>
      <c r="E537" s="14"/>
      <c r="F537" s="14"/>
      <c r="G537" s="14"/>
      <c r="H537" s="14"/>
      <c r="I537" s="16"/>
      <c r="J537" s="17"/>
      <c r="K537" s="14"/>
      <c r="L537" s="15"/>
      <c r="M537" s="17"/>
      <c r="N537" s="14"/>
      <c r="O537" s="15"/>
      <c r="P537" s="14"/>
      <c r="Q537" s="16"/>
      <c r="R537" s="13" t="str">
        <f aca="false">IF(AND(B537&lt;&gt;"",L537&lt;&gt;""),L537-B537,"")</f>
        <v/>
      </c>
      <c r="S537" s="13" t="str">
        <f aca="true">IF(B537="","",IF(O537&lt;&gt;"",O537-B537,TODAY()-B537))</f>
        <v/>
      </c>
      <c r="T537" s="13" t="str">
        <f aca="false">IF(A537="","",SUMIF('Time Log'!$C$5:$C$1004,A537,'Time Log'!$E$5:$E$1004))</f>
        <v/>
      </c>
    </row>
    <row r="538" customFormat="false" ht="15" hidden="false" customHeight="false" outlineLevel="0" collapsed="false">
      <c r="A538" s="14"/>
      <c r="B538" s="15"/>
      <c r="C538" s="14"/>
      <c r="D538" s="14"/>
      <c r="E538" s="14"/>
      <c r="F538" s="14"/>
      <c r="G538" s="14"/>
      <c r="H538" s="14"/>
      <c r="I538" s="16"/>
      <c r="J538" s="17"/>
      <c r="K538" s="14"/>
      <c r="L538" s="15"/>
      <c r="M538" s="17"/>
      <c r="N538" s="14"/>
      <c r="O538" s="15"/>
      <c r="P538" s="14"/>
      <c r="Q538" s="16"/>
      <c r="R538" s="13" t="str">
        <f aca="false">IF(AND(B538&lt;&gt;"",L538&lt;&gt;""),L538-B538,"")</f>
        <v/>
      </c>
      <c r="S538" s="13" t="str">
        <f aca="true">IF(B538="","",IF(O538&lt;&gt;"",O538-B538,TODAY()-B538))</f>
        <v/>
      </c>
      <c r="T538" s="13" t="str">
        <f aca="false">IF(A538="","",SUMIF('Time Log'!$C$5:$C$1004,A538,'Time Log'!$E$5:$E$1004))</f>
        <v/>
      </c>
    </row>
    <row r="539" customFormat="false" ht="15" hidden="false" customHeight="false" outlineLevel="0" collapsed="false">
      <c r="A539" s="14"/>
      <c r="B539" s="15"/>
      <c r="C539" s="14"/>
      <c r="D539" s="14"/>
      <c r="E539" s="14"/>
      <c r="F539" s="14"/>
      <c r="G539" s="14"/>
      <c r="H539" s="14"/>
      <c r="I539" s="16"/>
      <c r="J539" s="17"/>
      <c r="K539" s="14"/>
      <c r="L539" s="15"/>
      <c r="M539" s="17"/>
      <c r="N539" s="14"/>
      <c r="O539" s="15"/>
      <c r="P539" s="14"/>
      <c r="Q539" s="16"/>
      <c r="R539" s="13" t="str">
        <f aca="false">IF(AND(B539&lt;&gt;"",L539&lt;&gt;""),L539-B539,"")</f>
        <v/>
      </c>
      <c r="S539" s="13" t="str">
        <f aca="true">IF(B539="","",IF(O539&lt;&gt;"",O539-B539,TODAY()-B539))</f>
        <v/>
      </c>
      <c r="T539" s="13" t="str">
        <f aca="false">IF(A539="","",SUMIF('Time Log'!$C$5:$C$1004,A539,'Time Log'!$E$5:$E$1004))</f>
        <v/>
      </c>
    </row>
    <row r="540" customFormat="false" ht="15" hidden="false" customHeight="false" outlineLevel="0" collapsed="false">
      <c r="A540" s="14"/>
      <c r="B540" s="15"/>
      <c r="C540" s="14"/>
      <c r="D540" s="14"/>
      <c r="E540" s="14"/>
      <c r="F540" s="14"/>
      <c r="G540" s="14"/>
      <c r="H540" s="14"/>
      <c r="I540" s="16"/>
      <c r="J540" s="17"/>
      <c r="K540" s="14"/>
      <c r="L540" s="15"/>
      <c r="M540" s="17"/>
      <c r="N540" s="14"/>
      <c r="O540" s="15"/>
      <c r="P540" s="14"/>
      <c r="Q540" s="16"/>
      <c r="R540" s="13" t="str">
        <f aca="false">IF(AND(B540&lt;&gt;"",L540&lt;&gt;""),L540-B540,"")</f>
        <v/>
      </c>
      <c r="S540" s="13" t="str">
        <f aca="true">IF(B540="","",IF(O540&lt;&gt;"",O540-B540,TODAY()-B540))</f>
        <v/>
      </c>
      <c r="T540" s="13" t="str">
        <f aca="false">IF(A540="","",SUMIF('Time Log'!$C$5:$C$1004,A540,'Time Log'!$E$5:$E$1004))</f>
        <v/>
      </c>
    </row>
    <row r="541" customFormat="false" ht="15" hidden="false" customHeight="false" outlineLevel="0" collapsed="false">
      <c r="A541" s="14"/>
      <c r="B541" s="15"/>
      <c r="C541" s="14"/>
      <c r="D541" s="14"/>
      <c r="E541" s="14"/>
      <c r="F541" s="14"/>
      <c r="G541" s="14"/>
      <c r="H541" s="14"/>
      <c r="I541" s="16"/>
      <c r="J541" s="17"/>
      <c r="K541" s="14"/>
      <c r="L541" s="15"/>
      <c r="M541" s="17"/>
      <c r="N541" s="14"/>
      <c r="O541" s="15"/>
      <c r="P541" s="14"/>
      <c r="Q541" s="16"/>
      <c r="R541" s="13" t="str">
        <f aca="false">IF(AND(B541&lt;&gt;"",L541&lt;&gt;""),L541-B541,"")</f>
        <v/>
      </c>
      <c r="S541" s="13" t="str">
        <f aca="true">IF(B541="","",IF(O541&lt;&gt;"",O541-B541,TODAY()-B541))</f>
        <v/>
      </c>
      <c r="T541" s="13" t="str">
        <f aca="false">IF(A541="","",SUMIF('Time Log'!$C$5:$C$1004,A541,'Time Log'!$E$5:$E$1004))</f>
        <v/>
      </c>
    </row>
    <row r="542" customFormat="false" ht="15" hidden="false" customHeight="false" outlineLevel="0" collapsed="false">
      <c r="A542" s="14"/>
      <c r="B542" s="15"/>
      <c r="C542" s="14"/>
      <c r="D542" s="14"/>
      <c r="E542" s="14"/>
      <c r="F542" s="14"/>
      <c r="G542" s="14"/>
      <c r="H542" s="14"/>
      <c r="I542" s="16"/>
      <c r="J542" s="17"/>
      <c r="K542" s="14"/>
      <c r="L542" s="15"/>
      <c r="M542" s="17"/>
      <c r="N542" s="14"/>
      <c r="O542" s="15"/>
      <c r="P542" s="14"/>
      <c r="Q542" s="16"/>
      <c r="R542" s="13" t="str">
        <f aca="false">IF(AND(B542&lt;&gt;"",L542&lt;&gt;""),L542-B542,"")</f>
        <v/>
      </c>
      <c r="S542" s="13" t="str">
        <f aca="true">IF(B542="","",IF(O542&lt;&gt;"",O542-B542,TODAY()-B542))</f>
        <v/>
      </c>
      <c r="T542" s="13" t="str">
        <f aca="false">IF(A542="","",SUMIF('Time Log'!$C$5:$C$1004,A542,'Time Log'!$E$5:$E$1004))</f>
        <v/>
      </c>
    </row>
    <row r="543" customFormat="false" ht="15" hidden="false" customHeight="false" outlineLevel="0" collapsed="false">
      <c r="A543" s="14"/>
      <c r="B543" s="15"/>
      <c r="C543" s="14"/>
      <c r="D543" s="14"/>
      <c r="E543" s="14"/>
      <c r="F543" s="14"/>
      <c r="G543" s="14"/>
      <c r="H543" s="14"/>
      <c r="I543" s="16"/>
      <c r="J543" s="17"/>
      <c r="K543" s="14"/>
      <c r="L543" s="15"/>
      <c r="M543" s="17"/>
      <c r="N543" s="14"/>
      <c r="O543" s="15"/>
      <c r="P543" s="14"/>
      <c r="Q543" s="16"/>
      <c r="R543" s="13" t="str">
        <f aca="false">IF(AND(B543&lt;&gt;"",L543&lt;&gt;""),L543-B543,"")</f>
        <v/>
      </c>
      <c r="S543" s="13" t="str">
        <f aca="true">IF(B543="","",IF(O543&lt;&gt;"",O543-B543,TODAY()-B543))</f>
        <v/>
      </c>
      <c r="T543" s="13" t="str">
        <f aca="false">IF(A543="","",SUMIF('Time Log'!$C$5:$C$1004,A543,'Time Log'!$E$5:$E$1004))</f>
        <v/>
      </c>
    </row>
    <row r="544" customFormat="false" ht="15" hidden="false" customHeight="false" outlineLevel="0" collapsed="false">
      <c r="A544" s="14"/>
      <c r="B544" s="15"/>
      <c r="C544" s="14"/>
      <c r="D544" s="14"/>
      <c r="E544" s="14"/>
      <c r="F544" s="14"/>
      <c r="G544" s="14"/>
      <c r="H544" s="14"/>
      <c r="I544" s="16"/>
      <c r="J544" s="17"/>
      <c r="K544" s="14"/>
      <c r="L544" s="15"/>
      <c r="M544" s="17"/>
      <c r="N544" s="14"/>
      <c r="O544" s="15"/>
      <c r="P544" s="14"/>
      <c r="Q544" s="16"/>
      <c r="R544" s="13" t="str">
        <f aca="false">IF(AND(B544&lt;&gt;"",L544&lt;&gt;""),L544-B544,"")</f>
        <v/>
      </c>
      <c r="S544" s="13" t="str">
        <f aca="true">IF(B544="","",IF(O544&lt;&gt;"",O544-B544,TODAY()-B544))</f>
        <v/>
      </c>
      <c r="T544" s="13" t="str">
        <f aca="false">IF(A544="","",SUMIF('Time Log'!$C$5:$C$1004,A544,'Time Log'!$E$5:$E$1004))</f>
        <v/>
      </c>
    </row>
    <row r="545" customFormat="false" ht="15" hidden="false" customHeight="false" outlineLevel="0" collapsed="false">
      <c r="A545" s="14"/>
      <c r="B545" s="15"/>
      <c r="C545" s="14"/>
      <c r="D545" s="14"/>
      <c r="E545" s="14"/>
      <c r="F545" s="14"/>
      <c r="G545" s="14"/>
      <c r="H545" s="14"/>
      <c r="I545" s="16"/>
      <c r="J545" s="17"/>
      <c r="K545" s="14"/>
      <c r="L545" s="15"/>
      <c r="M545" s="17"/>
      <c r="N545" s="14"/>
      <c r="O545" s="15"/>
      <c r="P545" s="14"/>
      <c r="Q545" s="16"/>
      <c r="R545" s="13" t="str">
        <f aca="false">IF(AND(B545&lt;&gt;"",L545&lt;&gt;""),L545-B545,"")</f>
        <v/>
      </c>
      <c r="S545" s="13" t="str">
        <f aca="true">IF(B545="","",IF(O545&lt;&gt;"",O545-B545,TODAY()-B545))</f>
        <v/>
      </c>
      <c r="T545" s="13" t="str">
        <f aca="false">IF(A545="","",SUMIF('Time Log'!$C$5:$C$1004,A545,'Time Log'!$E$5:$E$1004))</f>
        <v/>
      </c>
    </row>
    <row r="546" customFormat="false" ht="15" hidden="false" customHeight="false" outlineLevel="0" collapsed="false">
      <c r="A546" s="14"/>
      <c r="B546" s="15"/>
      <c r="C546" s="14"/>
      <c r="D546" s="14"/>
      <c r="E546" s="14"/>
      <c r="F546" s="14"/>
      <c r="G546" s="14"/>
      <c r="H546" s="14"/>
      <c r="I546" s="16"/>
      <c r="J546" s="17"/>
      <c r="K546" s="14"/>
      <c r="L546" s="15"/>
      <c r="M546" s="17"/>
      <c r="N546" s="14"/>
      <c r="O546" s="15"/>
      <c r="P546" s="14"/>
      <c r="Q546" s="16"/>
      <c r="R546" s="13" t="str">
        <f aca="false">IF(AND(B546&lt;&gt;"",L546&lt;&gt;""),L546-B546,"")</f>
        <v/>
      </c>
      <c r="S546" s="13" t="str">
        <f aca="true">IF(B546="","",IF(O546&lt;&gt;"",O546-B546,TODAY()-B546))</f>
        <v/>
      </c>
      <c r="T546" s="13" t="str">
        <f aca="false">IF(A546="","",SUMIF('Time Log'!$C$5:$C$1004,A546,'Time Log'!$E$5:$E$1004))</f>
        <v/>
      </c>
    </row>
    <row r="547" customFormat="false" ht="15" hidden="false" customHeight="false" outlineLevel="0" collapsed="false">
      <c r="A547" s="14"/>
      <c r="B547" s="15"/>
      <c r="C547" s="14"/>
      <c r="D547" s="14"/>
      <c r="E547" s="14"/>
      <c r="F547" s="14"/>
      <c r="G547" s="14"/>
      <c r="H547" s="14"/>
      <c r="I547" s="16"/>
      <c r="J547" s="17"/>
      <c r="K547" s="14"/>
      <c r="L547" s="15"/>
      <c r="M547" s="17"/>
      <c r="N547" s="14"/>
      <c r="O547" s="15"/>
      <c r="P547" s="14"/>
      <c r="Q547" s="16"/>
      <c r="R547" s="13" t="str">
        <f aca="false">IF(AND(B547&lt;&gt;"",L547&lt;&gt;""),L547-B547,"")</f>
        <v/>
      </c>
      <c r="S547" s="13" t="str">
        <f aca="true">IF(B547="","",IF(O547&lt;&gt;"",O547-B547,TODAY()-B547))</f>
        <v/>
      </c>
      <c r="T547" s="13" t="str">
        <f aca="false">IF(A547="","",SUMIF('Time Log'!$C$5:$C$1004,A547,'Time Log'!$E$5:$E$1004))</f>
        <v/>
      </c>
    </row>
    <row r="548" customFormat="false" ht="15" hidden="false" customHeight="false" outlineLevel="0" collapsed="false">
      <c r="A548" s="14"/>
      <c r="B548" s="15"/>
      <c r="C548" s="14"/>
      <c r="D548" s="14"/>
      <c r="E548" s="14"/>
      <c r="F548" s="14"/>
      <c r="G548" s="14"/>
      <c r="H548" s="14"/>
      <c r="I548" s="16"/>
      <c r="J548" s="17"/>
      <c r="K548" s="14"/>
      <c r="L548" s="15"/>
      <c r="M548" s="17"/>
      <c r="N548" s="14"/>
      <c r="O548" s="15"/>
      <c r="P548" s="14"/>
      <c r="Q548" s="16"/>
      <c r="R548" s="13" t="str">
        <f aca="false">IF(AND(B548&lt;&gt;"",L548&lt;&gt;""),L548-B548,"")</f>
        <v/>
      </c>
      <c r="S548" s="13" t="str">
        <f aca="true">IF(B548="","",IF(O548&lt;&gt;"",O548-B548,TODAY()-B548))</f>
        <v/>
      </c>
      <c r="T548" s="13" t="str">
        <f aca="false">IF(A548="","",SUMIF('Time Log'!$C$5:$C$1004,A548,'Time Log'!$E$5:$E$1004))</f>
        <v/>
      </c>
    </row>
    <row r="549" customFormat="false" ht="15" hidden="false" customHeight="false" outlineLevel="0" collapsed="false">
      <c r="A549" s="14"/>
      <c r="B549" s="15"/>
      <c r="C549" s="14"/>
      <c r="D549" s="14"/>
      <c r="E549" s="14"/>
      <c r="F549" s="14"/>
      <c r="G549" s="14"/>
      <c r="H549" s="14"/>
      <c r="I549" s="16"/>
      <c r="J549" s="17"/>
      <c r="K549" s="14"/>
      <c r="L549" s="15"/>
      <c r="M549" s="17"/>
      <c r="N549" s="14"/>
      <c r="O549" s="15"/>
      <c r="P549" s="14"/>
      <c r="Q549" s="16"/>
      <c r="R549" s="13" t="str">
        <f aca="false">IF(AND(B549&lt;&gt;"",L549&lt;&gt;""),L549-B549,"")</f>
        <v/>
      </c>
      <c r="S549" s="13" t="str">
        <f aca="true">IF(B549="","",IF(O549&lt;&gt;"",O549-B549,TODAY()-B549))</f>
        <v/>
      </c>
      <c r="T549" s="13" t="str">
        <f aca="false">IF(A549="","",SUMIF('Time Log'!$C$5:$C$1004,A549,'Time Log'!$E$5:$E$1004))</f>
        <v/>
      </c>
    </row>
    <row r="550" customFormat="false" ht="15" hidden="false" customHeight="false" outlineLevel="0" collapsed="false">
      <c r="A550" s="14"/>
      <c r="B550" s="15"/>
      <c r="C550" s="14"/>
      <c r="D550" s="14"/>
      <c r="E550" s="14"/>
      <c r="F550" s="14"/>
      <c r="G550" s="14"/>
      <c r="H550" s="14"/>
      <c r="I550" s="16"/>
      <c r="J550" s="17"/>
      <c r="K550" s="14"/>
      <c r="L550" s="15"/>
      <c r="M550" s="17"/>
      <c r="N550" s="14"/>
      <c r="O550" s="15"/>
      <c r="P550" s="14"/>
      <c r="Q550" s="16"/>
      <c r="R550" s="13" t="str">
        <f aca="false">IF(AND(B550&lt;&gt;"",L550&lt;&gt;""),L550-B550,"")</f>
        <v/>
      </c>
      <c r="S550" s="13" t="str">
        <f aca="true">IF(B550="","",IF(O550&lt;&gt;"",O550-B550,TODAY()-B550))</f>
        <v/>
      </c>
      <c r="T550" s="13" t="str">
        <f aca="false">IF(A550="","",SUMIF('Time Log'!$C$5:$C$1004,A550,'Time Log'!$E$5:$E$1004))</f>
        <v/>
      </c>
    </row>
    <row r="551" customFormat="false" ht="15" hidden="false" customHeight="false" outlineLevel="0" collapsed="false">
      <c r="A551" s="14"/>
      <c r="B551" s="15"/>
      <c r="C551" s="14"/>
      <c r="D551" s="14"/>
      <c r="E551" s="14"/>
      <c r="F551" s="14"/>
      <c r="G551" s="14"/>
      <c r="H551" s="14"/>
      <c r="I551" s="16"/>
      <c r="J551" s="17"/>
      <c r="K551" s="14"/>
      <c r="L551" s="15"/>
      <c r="M551" s="17"/>
      <c r="N551" s="14"/>
      <c r="O551" s="15"/>
      <c r="P551" s="14"/>
      <c r="Q551" s="16"/>
      <c r="R551" s="13" t="str">
        <f aca="false">IF(AND(B551&lt;&gt;"",L551&lt;&gt;""),L551-B551,"")</f>
        <v/>
      </c>
      <c r="S551" s="13" t="str">
        <f aca="true">IF(B551="","",IF(O551&lt;&gt;"",O551-B551,TODAY()-B551))</f>
        <v/>
      </c>
      <c r="T551" s="13" t="str">
        <f aca="false">IF(A551="","",SUMIF('Time Log'!$C$5:$C$1004,A551,'Time Log'!$E$5:$E$1004))</f>
        <v/>
      </c>
    </row>
    <row r="552" customFormat="false" ht="15" hidden="false" customHeight="false" outlineLevel="0" collapsed="false">
      <c r="A552" s="14"/>
      <c r="B552" s="15"/>
      <c r="C552" s="14"/>
      <c r="D552" s="14"/>
      <c r="E552" s="14"/>
      <c r="F552" s="14"/>
      <c r="G552" s="14"/>
      <c r="H552" s="14"/>
      <c r="I552" s="16"/>
      <c r="J552" s="17"/>
      <c r="K552" s="14"/>
      <c r="L552" s="15"/>
      <c r="M552" s="17"/>
      <c r="N552" s="14"/>
      <c r="O552" s="15"/>
      <c r="P552" s="14"/>
      <c r="Q552" s="16"/>
      <c r="R552" s="13" t="str">
        <f aca="false">IF(AND(B552&lt;&gt;"",L552&lt;&gt;""),L552-B552,"")</f>
        <v/>
      </c>
      <c r="S552" s="13" t="str">
        <f aca="true">IF(B552="","",IF(O552&lt;&gt;"",O552-B552,TODAY()-B552))</f>
        <v/>
      </c>
      <c r="T552" s="13" t="str">
        <f aca="false">IF(A552="","",SUMIF('Time Log'!$C$5:$C$1004,A552,'Time Log'!$E$5:$E$1004))</f>
        <v/>
      </c>
    </row>
    <row r="553" customFormat="false" ht="15" hidden="false" customHeight="false" outlineLevel="0" collapsed="false">
      <c r="A553" s="14"/>
      <c r="B553" s="15"/>
      <c r="C553" s="14"/>
      <c r="D553" s="14"/>
      <c r="E553" s="14"/>
      <c r="F553" s="14"/>
      <c r="G553" s="14"/>
      <c r="H553" s="14"/>
      <c r="I553" s="16"/>
      <c r="J553" s="17"/>
      <c r="K553" s="14"/>
      <c r="L553" s="15"/>
      <c r="M553" s="17"/>
      <c r="N553" s="14"/>
      <c r="O553" s="15"/>
      <c r="P553" s="14"/>
      <c r="Q553" s="16"/>
      <c r="R553" s="13" t="str">
        <f aca="false">IF(AND(B553&lt;&gt;"",L553&lt;&gt;""),L553-B553,"")</f>
        <v/>
      </c>
      <c r="S553" s="13" t="str">
        <f aca="true">IF(B553="","",IF(O553&lt;&gt;"",O553-B553,TODAY()-B553))</f>
        <v/>
      </c>
      <c r="T553" s="13" t="str">
        <f aca="false">IF(A553="","",SUMIF('Time Log'!$C$5:$C$1004,A553,'Time Log'!$E$5:$E$1004))</f>
        <v/>
      </c>
    </row>
    <row r="554" customFormat="false" ht="15" hidden="false" customHeight="false" outlineLevel="0" collapsed="false">
      <c r="A554" s="14"/>
      <c r="B554" s="15"/>
      <c r="C554" s="14"/>
      <c r="D554" s="14"/>
      <c r="E554" s="14"/>
      <c r="F554" s="14"/>
      <c r="G554" s="14"/>
      <c r="H554" s="14"/>
      <c r="I554" s="16"/>
      <c r="J554" s="17"/>
      <c r="K554" s="14"/>
      <c r="L554" s="15"/>
      <c r="M554" s="17"/>
      <c r="N554" s="14"/>
      <c r="O554" s="15"/>
      <c r="P554" s="14"/>
      <c r="Q554" s="16"/>
      <c r="R554" s="13" t="str">
        <f aca="false">IF(AND(B554&lt;&gt;"",L554&lt;&gt;""),L554-B554,"")</f>
        <v/>
      </c>
      <c r="S554" s="13" t="str">
        <f aca="true">IF(B554="","",IF(O554&lt;&gt;"",O554-B554,TODAY()-B554))</f>
        <v/>
      </c>
      <c r="T554" s="13" t="str">
        <f aca="false">IF(A554="","",SUMIF('Time Log'!$C$5:$C$1004,A554,'Time Log'!$E$5:$E$1004))</f>
        <v/>
      </c>
    </row>
    <row r="555" customFormat="false" ht="15" hidden="false" customHeight="false" outlineLevel="0" collapsed="false">
      <c r="A555" s="14"/>
      <c r="B555" s="15"/>
      <c r="C555" s="14"/>
      <c r="D555" s="14"/>
      <c r="E555" s="14"/>
      <c r="F555" s="14"/>
      <c r="G555" s="14"/>
      <c r="H555" s="14"/>
      <c r="I555" s="16"/>
      <c r="J555" s="17"/>
      <c r="K555" s="14"/>
      <c r="L555" s="15"/>
      <c r="M555" s="17"/>
      <c r="N555" s="14"/>
      <c r="O555" s="15"/>
      <c r="P555" s="14"/>
      <c r="Q555" s="16"/>
      <c r="R555" s="13" t="str">
        <f aca="false">IF(AND(B555&lt;&gt;"",L555&lt;&gt;""),L555-B555,"")</f>
        <v/>
      </c>
      <c r="S555" s="13" t="str">
        <f aca="true">IF(B555="","",IF(O555&lt;&gt;"",O555-B555,TODAY()-B555))</f>
        <v/>
      </c>
      <c r="T555" s="13" t="str">
        <f aca="false">IF(A555="","",SUMIF('Time Log'!$C$5:$C$1004,A555,'Time Log'!$E$5:$E$1004))</f>
        <v/>
      </c>
    </row>
    <row r="556" customFormat="false" ht="15" hidden="false" customHeight="false" outlineLevel="0" collapsed="false">
      <c r="A556" s="14"/>
      <c r="B556" s="15"/>
      <c r="C556" s="14"/>
      <c r="D556" s="14"/>
      <c r="E556" s="14"/>
      <c r="F556" s="14"/>
      <c r="G556" s="14"/>
      <c r="H556" s="14"/>
      <c r="I556" s="16"/>
      <c r="J556" s="17"/>
      <c r="K556" s="14"/>
      <c r="L556" s="15"/>
      <c r="M556" s="17"/>
      <c r="N556" s="14"/>
      <c r="O556" s="15"/>
      <c r="P556" s="14"/>
      <c r="Q556" s="16"/>
      <c r="R556" s="13" t="str">
        <f aca="false">IF(AND(B556&lt;&gt;"",L556&lt;&gt;""),L556-B556,"")</f>
        <v/>
      </c>
      <c r="S556" s="13" t="str">
        <f aca="true">IF(B556="","",IF(O556&lt;&gt;"",O556-B556,TODAY()-B556))</f>
        <v/>
      </c>
      <c r="T556" s="13" t="str">
        <f aca="false">IF(A556="","",SUMIF('Time Log'!$C$5:$C$1004,A556,'Time Log'!$E$5:$E$1004))</f>
        <v/>
      </c>
    </row>
    <row r="557" customFormat="false" ht="15" hidden="false" customHeight="false" outlineLevel="0" collapsed="false">
      <c r="A557" s="14"/>
      <c r="B557" s="15"/>
      <c r="C557" s="14"/>
      <c r="D557" s="14"/>
      <c r="E557" s="14"/>
      <c r="F557" s="14"/>
      <c r="G557" s="14"/>
      <c r="H557" s="14"/>
      <c r="I557" s="16"/>
      <c r="J557" s="17"/>
      <c r="K557" s="14"/>
      <c r="L557" s="15"/>
      <c r="M557" s="17"/>
      <c r="N557" s="14"/>
      <c r="O557" s="15"/>
      <c r="P557" s="14"/>
      <c r="Q557" s="16"/>
      <c r="R557" s="13" t="str">
        <f aca="false">IF(AND(B557&lt;&gt;"",L557&lt;&gt;""),L557-B557,"")</f>
        <v/>
      </c>
      <c r="S557" s="13" t="str">
        <f aca="true">IF(B557="","",IF(O557&lt;&gt;"",O557-B557,TODAY()-B557))</f>
        <v/>
      </c>
      <c r="T557" s="13" t="str">
        <f aca="false">IF(A557="","",SUMIF('Time Log'!$C$5:$C$1004,A557,'Time Log'!$E$5:$E$1004))</f>
        <v/>
      </c>
    </row>
    <row r="558" customFormat="false" ht="15" hidden="false" customHeight="false" outlineLevel="0" collapsed="false">
      <c r="A558" s="14"/>
      <c r="B558" s="15"/>
      <c r="C558" s="14"/>
      <c r="D558" s="14"/>
      <c r="E558" s="14"/>
      <c r="F558" s="14"/>
      <c r="G558" s="14"/>
      <c r="H558" s="14"/>
      <c r="I558" s="16"/>
      <c r="J558" s="17"/>
      <c r="K558" s="14"/>
      <c r="L558" s="15"/>
      <c r="M558" s="17"/>
      <c r="N558" s="14"/>
      <c r="O558" s="15"/>
      <c r="P558" s="14"/>
      <c r="Q558" s="16"/>
      <c r="R558" s="13" t="str">
        <f aca="false">IF(AND(B558&lt;&gt;"",L558&lt;&gt;""),L558-B558,"")</f>
        <v/>
      </c>
      <c r="S558" s="13" t="str">
        <f aca="true">IF(B558="","",IF(O558&lt;&gt;"",O558-B558,TODAY()-B558))</f>
        <v/>
      </c>
      <c r="T558" s="13" t="str">
        <f aca="false">IF(A558="","",SUMIF('Time Log'!$C$5:$C$1004,A558,'Time Log'!$E$5:$E$1004))</f>
        <v/>
      </c>
    </row>
    <row r="559" customFormat="false" ht="15" hidden="false" customHeight="false" outlineLevel="0" collapsed="false">
      <c r="A559" s="14"/>
      <c r="B559" s="15"/>
      <c r="C559" s="14"/>
      <c r="D559" s="14"/>
      <c r="E559" s="14"/>
      <c r="F559" s="14"/>
      <c r="G559" s="14"/>
      <c r="H559" s="14"/>
      <c r="I559" s="16"/>
      <c r="J559" s="17"/>
      <c r="K559" s="14"/>
      <c r="L559" s="15"/>
      <c r="M559" s="17"/>
      <c r="N559" s="14"/>
      <c r="O559" s="15"/>
      <c r="P559" s="14"/>
      <c r="Q559" s="16"/>
      <c r="R559" s="13" t="str">
        <f aca="false">IF(AND(B559&lt;&gt;"",L559&lt;&gt;""),L559-B559,"")</f>
        <v/>
      </c>
      <c r="S559" s="13" t="str">
        <f aca="true">IF(B559="","",IF(O559&lt;&gt;"",O559-B559,TODAY()-B559))</f>
        <v/>
      </c>
      <c r="T559" s="13" t="str">
        <f aca="false">IF(A559="","",SUMIF('Time Log'!$C$5:$C$1004,A559,'Time Log'!$E$5:$E$1004))</f>
        <v/>
      </c>
    </row>
    <row r="560" customFormat="false" ht="15" hidden="false" customHeight="false" outlineLevel="0" collapsed="false">
      <c r="A560" s="14"/>
      <c r="B560" s="15"/>
      <c r="C560" s="14"/>
      <c r="D560" s="14"/>
      <c r="E560" s="14"/>
      <c r="F560" s="14"/>
      <c r="G560" s="14"/>
      <c r="H560" s="14"/>
      <c r="I560" s="16"/>
      <c r="J560" s="17"/>
      <c r="K560" s="14"/>
      <c r="L560" s="15"/>
      <c r="M560" s="17"/>
      <c r="N560" s="14"/>
      <c r="O560" s="15"/>
      <c r="P560" s="14"/>
      <c r="Q560" s="16"/>
      <c r="R560" s="13" t="str">
        <f aca="false">IF(AND(B560&lt;&gt;"",L560&lt;&gt;""),L560-B560,"")</f>
        <v/>
      </c>
      <c r="S560" s="13" t="str">
        <f aca="true">IF(B560="","",IF(O560&lt;&gt;"",O560-B560,TODAY()-B560))</f>
        <v/>
      </c>
      <c r="T560" s="13" t="str">
        <f aca="false">IF(A560="","",SUMIF('Time Log'!$C$5:$C$1004,A560,'Time Log'!$E$5:$E$1004))</f>
        <v/>
      </c>
    </row>
    <row r="561" customFormat="false" ht="15" hidden="false" customHeight="false" outlineLevel="0" collapsed="false">
      <c r="A561" s="14"/>
      <c r="B561" s="15"/>
      <c r="C561" s="14"/>
      <c r="D561" s="14"/>
      <c r="E561" s="14"/>
      <c r="F561" s="14"/>
      <c r="G561" s="14"/>
      <c r="H561" s="14"/>
      <c r="I561" s="16"/>
      <c r="J561" s="17"/>
      <c r="K561" s="14"/>
      <c r="L561" s="15"/>
      <c r="M561" s="17"/>
      <c r="N561" s="14"/>
      <c r="O561" s="15"/>
      <c r="P561" s="14"/>
      <c r="Q561" s="16"/>
      <c r="R561" s="13" t="str">
        <f aca="false">IF(AND(B561&lt;&gt;"",L561&lt;&gt;""),L561-B561,"")</f>
        <v/>
      </c>
      <c r="S561" s="13" t="str">
        <f aca="true">IF(B561="","",IF(O561&lt;&gt;"",O561-B561,TODAY()-B561))</f>
        <v/>
      </c>
      <c r="T561" s="13" t="str">
        <f aca="false">IF(A561="","",SUMIF('Time Log'!$C$5:$C$1004,A561,'Time Log'!$E$5:$E$1004))</f>
        <v/>
      </c>
    </row>
    <row r="562" customFormat="false" ht="15" hidden="false" customHeight="false" outlineLevel="0" collapsed="false">
      <c r="A562" s="14"/>
      <c r="B562" s="15"/>
      <c r="C562" s="14"/>
      <c r="D562" s="14"/>
      <c r="E562" s="14"/>
      <c r="F562" s="14"/>
      <c r="G562" s="14"/>
      <c r="H562" s="14"/>
      <c r="I562" s="16"/>
      <c r="J562" s="17"/>
      <c r="K562" s="14"/>
      <c r="L562" s="15"/>
      <c r="M562" s="17"/>
      <c r="N562" s="14"/>
      <c r="O562" s="15"/>
      <c r="P562" s="14"/>
      <c r="Q562" s="16"/>
      <c r="R562" s="13" t="str">
        <f aca="false">IF(AND(B562&lt;&gt;"",L562&lt;&gt;""),L562-B562,"")</f>
        <v/>
      </c>
      <c r="S562" s="13" t="str">
        <f aca="true">IF(B562="","",IF(O562&lt;&gt;"",O562-B562,TODAY()-B562))</f>
        <v/>
      </c>
      <c r="T562" s="13" t="str">
        <f aca="false">IF(A562="","",SUMIF('Time Log'!$C$5:$C$1004,A562,'Time Log'!$E$5:$E$1004))</f>
        <v/>
      </c>
    </row>
    <row r="563" customFormat="false" ht="15" hidden="false" customHeight="false" outlineLevel="0" collapsed="false">
      <c r="A563" s="14"/>
      <c r="B563" s="15"/>
      <c r="C563" s="14"/>
      <c r="D563" s="14"/>
      <c r="E563" s="14"/>
      <c r="F563" s="14"/>
      <c r="G563" s="14"/>
      <c r="H563" s="14"/>
      <c r="I563" s="16"/>
      <c r="J563" s="17"/>
      <c r="K563" s="14"/>
      <c r="L563" s="15"/>
      <c r="M563" s="17"/>
      <c r="N563" s="14"/>
      <c r="O563" s="15"/>
      <c r="P563" s="14"/>
      <c r="Q563" s="16"/>
      <c r="R563" s="13" t="str">
        <f aca="false">IF(AND(B563&lt;&gt;"",L563&lt;&gt;""),L563-B563,"")</f>
        <v/>
      </c>
      <c r="S563" s="13" t="str">
        <f aca="true">IF(B563="","",IF(O563&lt;&gt;"",O563-B563,TODAY()-B563))</f>
        <v/>
      </c>
      <c r="T563" s="13" t="str">
        <f aca="false">IF(A563="","",SUMIF('Time Log'!$C$5:$C$1004,A563,'Time Log'!$E$5:$E$1004))</f>
        <v/>
      </c>
    </row>
    <row r="564" customFormat="false" ht="15" hidden="false" customHeight="false" outlineLevel="0" collapsed="false">
      <c r="A564" s="14"/>
      <c r="B564" s="15"/>
      <c r="C564" s="14"/>
      <c r="D564" s="14"/>
      <c r="E564" s="14"/>
      <c r="F564" s="14"/>
      <c r="G564" s="14"/>
      <c r="H564" s="14"/>
      <c r="I564" s="16"/>
      <c r="J564" s="17"/>
      <c r="K564" s="14"/>
      <c r="L564" s="15"/>
      <c r="M564" s="17"/>
      <c r="N564" s="14"/>
      <c r="O564" s="15"/>
      <c r="P564" s="14"/>
      <c r="Q564" s="16"/>
      <c r="R564" s="13" t="str">
        <f aca="false">IF(AND(B564&lt;&gt;"",L564&lt;&gt;""),L564-B564,"")</f>
        <v/>
      </c>
      <c r="S564" s="13" t="str">
        <f aca="true">IF(B564="","",IF(O564&lt;&gt;"",O564-B564,TODAY()-B564))</f>
        <v/>
      </c>
      <c r="T564" s="13" t="str">
        <f aca="false">IF(A564="","",SUMIF('Time Log'!$C$5:$C$1004,A564,'Time Log'!$E$5:$E$1004))</f>
        <v/>
      </c>
    </row>
    <row r="565" customFormat="false" ht="15" hidden="false" customHeight="false" outlineLevel="0" collapsed="false">
      <c r="A565" s="14"/>
      <c r="B565" s="15"/>
      <c r="C565" s="14"/>
      <c r="D565" s="14"/>
      <c r="E565" s="14"/>
      <c r="F565" s="14"/>
      <c r="G565" s="14"/>
      <c r="H565" s="14"/>
      <c r="I565" s="16"/>
      <c r="J565" s="17"/>
      <c r="K565" s="14"/>
      <c r="L565" s="15"/>
      <c r="M565" s="17"/>
      <c r="N565" s="14"/>
      <c r="O565" s="15"/>
      <c r="P565" s="14"/>
      <c r="Q565" s="16"/>
      <c r="R565" s="13" t="str">
        <f aca="false">IF(AND(B565&lt;&gt;"",L565&lt;&gt;""),L565-B565,"")</f>
        <v/>
      </c>
      <c r="S565" s="13" t="str">
        <f aca="true">IF(B565="","",IF(O565&lt;&gt;"",O565-B565,TODAY()-B565))</f>
        <v/>
      </c>
      <c r="T565" s="13" t="str">
        <f aca="false">IF(A565="","",SUMIF('Time Log'!$C$5:$C$1004,A565,'Time Log'!$E$5:$E$1004))</f>
        <v/>
      </c>
    </row>
    <row r="566" customFormat="false" ht="15" hidden="false" customHeight="false" outlineLevel="0" collapsed="false">
      <c r="A566" s="14"/>
      <c r="B566" s="15"/>
      <c r="C566" s="14"/>
      <c r="D566" s="14"/>
      <c r="E566" s="14"/>
      <c r="F566" s="14"/>
      <c r="G566" s="14"/>
      <c r="H566" s="14"/>
      <c r="I566" s="16"/>
      <c r="J566" s="17"/>
      <c r="K566" s="14"/>
      <c r="L566" s="15"/>
      <c r="M566" s="17"/>
      <c r="N566" s="14"/>
      <c r="O566" s="15"/>
      <c r="P566" s="14"/>
      <c r="Q566" s="16"/>
      <c r="R566" s="13" t="str">
        <f aca="false">IF(AND(B566&lt;&gt;"",L566&lt;&gt;""),L566-B566,"")</f>
        <v/>
      </c>
      <c r="S566" s="13" t="str">
        <f aca="true">IF(B566="","",IF(O566&lt;&gt;"",O566-B566,TODAY()-B566))</f>
        <v/>
      </c>
      <c r="T566" s="13" t="str">
        <f aca="false">IF(A566="","",SUMIF('Time Log'!$C$5:$C$1004,A566,'Time Log'!$E$5:$E$1004))</f>
        <v/>
      </c>
    </row>
    <row r="567" customFormat="false" ht="15" hidden="false" customHeight="false" outlineLevel="0" collapsed="false">
      <c r="A567" s="14"/>
      <c r="B567" s="15"/>
      <c r="C567" s="14"/>
      <c r="D567" s="14"/>
      <c r="E567" s="14"/>
      <c r="F567" s="14"/>
      <c r="G567" s="14"/>
      <c r="H567" s="14"/>
      <c r="I567" s="16"/>
      <c r="J567" s="17"/>
      <c r="K567" s="14"/>
      <c r="L567" s="15"/>
      <c r="M567" s="17"/>
      <c r="N567" s="14"/>
      <c r="O567" s="15"/>
      <c r="P567" s="14"/>
      <c r="Q567" s="16"/>
      <c r="R567" s="13" t="str">
        <f aca="false">IF(AND(B567&lt;&gt;"",L567&lt;&gt;""),L567-B567,"")</f>
        <v/>
      </c>
      <c r="S567" s="13" t="str">
        <f aca="true">IF(B567="","",IF(O567&lt;&gt;"",O567-B567,TODAY()-B567))</f>
        <v/>
      </c>
      <c r="T567" s="13" t="str">
        <f aca="false">IF(A567="","",SUMIF('Time Log'!$C$5:$C$1004,A567,'Time Log'!$E$5:$E$1004))</f>
        <v/>
      </c>
    </row>
    <row r="568" customFormat="false" ht="15" hidden="false" customHeight="false" outlineLevel="0" collapsed="false">
      <c r="A568" s="14"/>
      <c r="B568" s="15"/>
      <c r="C568" s="14"/>
      <c r="D568" s="14"/>
      <c r="E568" s="14"/>
      <c r="F568" s="14"/>
      <c r="G568" s="14"/>
      <c r="H568" s="14"/>
      <c r="I568" s="16"/>
      <c r="J568" s="17"/>
      <c r="K568" s="14"/>
      <c r="L568" s="15"/>
      <c r="M568" s="17"/>
      <c r="N568" s="14"/>
      <c r="O568" s="15"/>
      <c r="P568" s="14"/>
      <c r="Q568" s="16"/>
      <c r="R568" s="13" t="str">
        <f aca="false">IF(AND(B568&lt;&gt;"",L568&lt;&gt;""),L568-B568,"")</f>
        <v/>
      </c>
      <c r="S568" s="13" t="str">
        <f aca="true">IF(B568="","",IF(O568&lt;&gt;"",O568-B568,TODAY()-B568))</f>
        <v/>
      </c>
      <c r="T568" s="13" t="str">
        <f aca="false">IF(A568="","",SUMIF('Time Log'!$C$5:$C$1004,A568,'Time Log'!$E$5:$E$1004))</f>
        <v/>
      </c>
    </row>
    <row r="569" customFormat="false" ht="15" hidden="false" customHeight="false" outlineLevel="0" collapsed="false">
      <c r="A569" s="14"/>
      <c r="B569" s="15"/>
      <c r="C569" s="14"/>
      <c r="D569" s="14"/>
      <c r="E569" s="14"/>
      <c r="F569" s="14"/>
      <c r="G569" s="14"/>
      <c r="H569" s="14"/>
      <c r="I569" s="16"/>
      <c r="J569" s="17"/>
      <c r="K569" s="14"/>
      <c r="L569" s="15"/>
      <c r="M569" s="17"/>
      <c r="N569" s="14"/>
      <c r="O569" s="15"/>
      <c r="P569" s="14"/>
      <c r="Q569" s="16"/>
      <c r="R569" s="13" t="str">
        <f aca="false">IF(AND(B569&lt;&gt;"",L569&lt;&gt;""),L569-B569,"")</f>
        <v/>
      </c>
      <c r="S569" s="13" t="str">
        <f aca="true">IF(B569="","",IF(O569&lt;&gt;"",O569-B569,TODAY()-B569))</f>
        <v/>
      </c>
      <c r="T569" s="13" t="str">
        <f aca="false">IF(A569="","",SUMIF('Time Log'!$C$5:$C$1004,A569,'Time Log'!$E$5:$E$1004))</f>
        <v/>
      </c>
    </row>
    <row r="570" customFormat="false" ht="15" hidden="false" customHeight="false" outlineLevel="0" collapsed="false">
      <c r="A570" s="14"/>
      <c r="B570" s="15"/>
      <c r="C570" s="14"/>
      <c r="D570" s="14"/>
      <c r="E570" s="14"/>
      <c r="F570" s="14"/>
      <c r="G570" s="14"/>
      <c r="H570" s="14"/>
      <c r="I570" s="16"/>
      <c r="J570" s="17"/>
      <c r="K570" s="14"/>
      <c r="L570" s="15"/>
      <c r="M570" s="17"/>
      <c r="N570" s="14"/>
      <c r="O570" s="15"/>
      <c r="P570" s="14"/>
      <c r="Q570" s="16"/>
      <c r="R570" s="13" t="str">
        <f aca="false">IF(AND(B570&lt;&gt;"",L570&lt;&gt;""),L570-B570,"")</f>
        <v/>
      </c>
      <c r="S570" s="13" t="str">
        <f aca="true">IF(B570="","",IF(O570&lt;&gt;"",O570-B570,TODAY()-B570))</f>
        <v/>
      </c>
      <c r="T570" s="13" t="str">
        <f aca="false">IF(A570="","",SUMIF('Time Log'!$C$5:$C$1004,A570,'Time Log'!$E$5:$E$1004))</f>
        <v/>
      </c>
    </row>
    <row r="571" customFormat="false" ht="15" hidden="false" customHeight="false" outlineLevel="0" collapsed="false">
      <c r="A571" s="14"/>
      <c r="B571" s="15"/>
      <c r="C571" s="14"/>
      <c r="D571" s="14"/>
      <c r="E571" s="14"/>
      <c r="F571" s="14"/>
      <c r="G571" s="14"/>
      <c r="H571" s="14"/>
      <c r="I571" s="16"/>
      <c r="J571" s="17"/>
      <c r="K571" s="14"/>
      <c r="L571" s="15"/>
      <c r="M571" s="17"/>
      <c r="N571" s="14"/>
      <c r="O571" s="15"/>
      <c r="P571" s="14"/>
      <c r="Q571" s="16"/>
      <c r="R571" s="13" t="str">
        <f aca="false">IF(AND(B571&lt;&gt;"",L571&lt;&gt;""),L571-B571,"")</f>
        <v/>
      </c>
      <c r="S571" s="13" t="str">
        <f aca="true">IF(B571="","",IF(O571&lt;&gt;"",O571-B571,TODAY()-B571))</f>
        <v/>
      </c>
      <c r="T571" s="13" t="str">
        <f aca="false">IF(A571="","",SUMIF('Time Log'!$C$5:$C$1004,A571,'Time Log'!$E$5:$E$1004))</f>
        <v/>
      </c>
    </row>
    <row r="572" customFormat="false" ht="15" hidden="false" customHeight="false" outlineLevel="0" collapsed="false">
      <c r="A572" s="14"/>
      <c r="B572" s="15"/>
      <c r="C572" s="14"/>
      <c r="D572" s="14"/>
      <c r="E572" s="14"/>
      <c r="F572" s="14"/>
      <c r="G572" s="14"/>
      <c r="H572" s="14"/>
      <c r="I572" s="16"/>
      <c r="J572" s="17"/>
      <c r="K572" s="14"/>
      <c r="L572" s="15"/>
      <c r="M572" s="17"/>
      <c r="N572" s="14"/>
      <c r="O572" s="15"/>
      <c r="P572" s="14"/>
      <c r="Q572" s="16"/>
      <c r="R572" s="13" t="str">
        <f aca="false">IF(AND(B572&lt;&gt;"",L572&lt;&gt;""),L572-B572,"")</f>
        <v/>
      </c>
      <c r="S572" s="13" t="str">
        <f aca="true">IF(B572="","",IF(O572&lt;&gt;"",O572-B572,TODAY()-B572))</f>
        <v/>
      </c>
      <c r="T572" s="13" t="str">
        <f aca="false">IF(A572="","",SUMIF('Time Log'!$C$5:$C$1004,A572,'Time Log'!$E$5:$E$1004))</f>
        <v/>
      </c>
    </row>
    <row r="573" customFormat="false" ht="15" hidden="false" customHeight="false" outlineLevel="0" collapsed="false">
      <c r="A573" s="14"/>
      <c r="B573" s="15"/>
      <c r="C573" s="14"/>
      <c r="D573" s="14"/>
      <c r="E573" s="14"/>
      <c r="F573" s="14"/>
      <c r="G573" s="14"/>
      <c r="H573" s="14"/>
      <c r="I573" s="16"/>
      <c r="J573" s="17"/>
      <c r="K573" s="14"/>
      <c r="L573" s="15"/>
      <c r="M573" s="17"/>
      <c r="N573" s="14"/>
      <c r="O573" s="15"/>
      <c r="P573" s="14"/>
      <c r="Q573" s="16"/>
      <c r="R573" s="13" t="str">
        <f aca="false">IF(AND(B573&lt;&gt;"",L573&lt;&gt;""),L573-B573,"")</f>
        <v/>
      </c>
      <c r="S573" s="13" t="str">
        <f aca="true">IF(B573="","",IF(O573&lt;&gt;"",O573-B573,TODAY()-B573))</f>
        <v/>
      </c>
      <c r="T573" s="13" t="str">
        <f aca="false">IF(A573="","",SUMIF('Time Log'!$C$5:$C$1004,A573,'Time Log'!$E$5:$E$1004))</f>
        <v/>
      </c>
    </row>
    <row r="574" customFormat="false" ht="15" hidden="false" customHeight="false" outlineLevel="0" collapsed="false">
      <c r="A574" s="14"/>
      <c r="B574" s="15"/>
      <c r="C574" s="14"/>
      <c r="D574" s="14"/>
      <c r="E574" s="14"/>
      <c r="F574" s="14"/>
      <c r="G574" s="14"/>
      <c r="H574" s="14"/>
      <c r="I574" s="16"/>
      <c r="J574" s="17"/>
      <c r="K574" s="14"/>
      <c r="L574" s="15"/>
      <c r="M574" s="17"/>
      <c r="N574" s="14"/>
      <c r="O574" s="15"/>
      <c r="P574" s="14"/>
      <c r="Q574" s="16"/>
      <c r="R574" s="13" t="str">
        <f aca="false">IF(AND(B574&lt;&gt;"",L574&lt;&gt;""),L574-B574,"")</f>
        <v/>
      </c>
      <c r="S574" s="13" t="str">
        <f aca="true">IF(B574="","",IF(O574&lt;&gt;"",O574-B574,TODAY()-B574))</f>
        <v/>
      </c>
      <c r="T574" s="13" t="str">
        <f aca="false">IF(A574="","",SUMIF('Time Log'!$C$5:$C$1004,A574,'Time Log'!$E$5:$E$1004))</f>
        <v/>
      </c>
    </row>
    <row r="575" customFormat="false" ht="15" hidden="false" customHeight="false" outlineLevel="0" collapsed="false">
      <c r="A575" s="14"/>
      <c r="B575" s="15"/>
      <c r="C575" s="14"/>
      <c r="D575" s="14"/>
      <c r="E575" s="14"/>
      <c r="F575" s="14"/>
      <c r="G575" s="14"/>
      <c r="H575" s="14"/>
      <c r="I575" s="16"/>
      <c r="J575" s="17"/>
      <c r="K575" s="14"/>
      <c r="L575" s="15"/>
      <c r="M575" s="17"/>
      <c r="N575" s="14"/>
      <c r="O575" s="15"/>
      <c r="P575" s="14"/>
      <c r="Q575" s="16"/>
      <c r="R575" s="13" t="str">
        <f aca="false">IF(AND(B575&lt;&gt;"",L575&lt;&gt;""),L575-B575,"")</f>
        <v/>
      </c>
      <c r="S575" s="13" t="str">
        <f aca="true">IF(B575="","",IF(O575&lt;&gt;"",O575-B575,TODAY()-B575))</f>
        <v/>
      </c>
      <c r="T575" s="13" t="str">
        <f aca="false">IF(A575="","",SUMIF('Time Log'!$C$5:$C$1004,A575,'Time Log'!$E$5:$E$1004))</f>
        <v/>
      </c>
    </row>
    <row r="576" customFormat="false" ht="15" hidden="false" customHeight="false" outlineLevel="0" collapsed="false">
      <c r="A576" s="14"/>
      <c r="B576" s="15"/>
      <c r="C576" s="14"/>
      <c r="D576" s="14"/>
      <c r="E576" s="14"/>
      <c r="F576" s="14"/>
      <c r="G576" s="14"/>
      <c r="H576" s="14"/>
      <c r="I576" s="16"/>
      <c r="J576" s="17"/>
      <c r="K576" s="14"/>
      <c r="L576" s="15"/>
      <c r="M576" s="17"/>
      <c r="N576" s="14"/>
      <c r="O576" s="15"/>
      <c r="P576" s="14"/>
      <c r="Q576" s="16"/>
      <c r="R576" s="13" t="str">
        <f aca="false">IF(AND(B576&lt;&gt;"",L576&lt;&gt;""),L576-B576,"")</f>
        <v/>
      </c>
      <c r="S576" s="13" t="str">
        <f aca="true">IF(B576="","",IF(O576&lt;&gt;"",O576-B576,TODAY()-B576))</f>
        <v/>
      </c>
      <c r="T576" s="13" t="str">
        <f aca="false">IF(A576="","",SUMIF('Time Log'!$C$5:$C$1004,A576,'Time Log'!$E$5:$E$1004))</f>
        <v/>
      </c>
    </row>
    <row r="577" customFormat="false" ht="15" hidden="false" customHeight="false" outlineLevel="0" collapsed="false">
      <c r="A577" s="14"/>
      <c r="B577" s="15"/>
      <c r="C577" s="14"/>
      <c r="D577" s="14"/>
      <c r="E577" s="14"/>
      <c r="F577" s="14"/>
      <c r="G577" s="14"/>
      <c r="H577" s="14"/>
      <c r="I577" s="16"/>
      <c r="J577" s="17"/>
      <c r="K577" s="14"/>
      <c r="L577" s="15"/>
      <c r="M577" s="17"/>
      <c r="N577" s="14"/>
      <c r="O577" s="15"/>
      <c r="P577" s="14"/>
      <c r="Q577" s="16"/>
      <c r="R577" s="13" t="str">
        <f aca="false">IF(AND(B577&lt;&gt;"",L577&lt;&gt;""),L577-B577,"")</f>
        <v/>
      </c>
      <c r="S577" s="13" t="str">
        <f aca="true">IF(B577="","",IF(O577&lt;&gt;"",O577-B577,TODAY()-B577))</f>
        <v/>
      </c>
      <c r="T577" s="13" t="str">
        <f aca="false">IF(A577="","",SUMIF('Time Log'!$C$5:$C$1004,A577,'Time Log'!$E$5:$E$1004))</f>
        <v/>
      </c>
    </row>
    <row r="578" customFormat="false" ht="15" hidden="false" customHeight="false" outlineLevel="0" collapsed="false">
      <c r="A578" s="14"/>
      <c r="B578" s="15"/>
      <c r="C578" s="14"/>
      <c r="D578" s="14"/>
      <c r="E578" s="14"/>
      <c r="F578" s="14"/>
      <c r="G578" s="14"/>
      <c r="H578" s="14"/>
      <c r="I578" s="16"/>
      <c r="J578" s="17"/>
      <c r="K578" s="14"/>
      <c r="L578" s="15"/>
      <c r="M578" s="17"/>
      <c r="N578" s="14"/>
      <c r="O578" s="15"/>
      <c r="P578" s="14"/>
      <c r="Q578" s="16"/>
      <c r="R578" s="13" t="str">
        <f aca="false">IF(AND(B578&lt;&gt;"",L578&lt;&gt;""),L578-B578,"")</f>
        <v/>
      </c>
      <c r="S578" s="13" t="str">
        <f aca="true">IF(B578="","",IF(O578&lt;&gt;"",O578-B578,TODAY()-B578))</f>
        <v/>
      </c>
      <c r="T578" s="13" t="str">
        <f aca="false">IF(A578="","",SUMIF('Time Log'!$C$5:$C$1004,A578,'Time Log'!$E$5:$E$1004))</f>
        <v/>
      </c>
    </row>
    <row r="579" customFormat="false" ht="15" hidden="false" customHeight="false" outlineLevel="0" collapsed="false">
      <c r="A579" s="14"/>
      <c r="B579" s="15"/>
      <c r="C579" s="14"/>
      <c r="D579" s="14"/>
      <c r="E579" s="14"/>
      <c r="F579" s="14"/>
      <c r="G579" s="14"/>
      <c r="H579" s="14"/>
      <c r="I579" s="16"/>
      <c r="J579" s="17"/>
      <c r="K579" s="14"/>
      <c r="L579" s="15"/>
      <c r="M579" s="17"/>
      <c r="N579" s="14"/>
      <c r="O579" s="15"/>
      <c r="P579" s="14"/>
      <c r="Q579" s="16"/>
      <c r="R579" s="13" t="str">
        <f aca="false">IF(AND(B579&lt;&gt;"",L579&lt;&gt;""),L579-B579,"")</f>
        <v/>
      </c>
      <c r="S579" s="13" t="str">
        <f aca="true">IF(B579="","",IF(O579&lt;&gt;"",O579-B579,TODAY()-B579))</f>
        <v/>
      </c>
      <c r="T579" s="13" t="str">
        <f aca="false">IF(A579="","",SUMIF('Time Log'!$C$5:$C$1004,A579,'Time Log'!$E$5:$E$1004))</f>
        <v/>
      </c>
    </row>
    <row r="580" customFormat="false" ht="15" hidden="false" customHeight="false" outlineLevel="0" collapsed="false">
      <c r="A580" s="14"/>
      <c r="B580" s="15"/>
      <c r="C580" s="14"/>
      <c r="D580" s="14"/>
      <c r="E580" s="14"/>
      <c r="F580" s="14"/>
      <c r="G580" s="14"/>
      <c r="H580" s="14"/>
      <c r="I580" s="16"/>
      <c r="J580" s="17"/>
      <c r="K580" s="14"/>
      <c r="L580" s="15"/>
      <c r="M580" s="17"/>
      <c r="N580" s="14"/>
      <c r="O580" s="15"/>
      <c r="P580" s="14"/>
      <c r="Q580" s="16"/>
      <c r="R580" s="13" t="str">
        <f aca="false">IF(AND(B580&lt;&gt;"",L580&lt;&gt;""),L580-B580,"")</f>
        <v/>
      </c>
      <c r="S580" s="13" t="str">
        <f aca="true">IF(B580="","",IF(O580&lt;&gt;"",O580-B580,TODAY()-B580))</f>
        <v/>
      </c>
      <c r="T580" s="13" t="str">
        <f aca="false">IF(A580="","",SUMIF('Time Log'!$C$5:$C$1004,A580,'Time Log'!$E$5:$E$1004))</f>
        <v/>
      </c>
    </row>
    <row r="581" customFormat="false" ht="15" hidden="false" customHeight="false" outlineLevel="0" collapsed="false">
      <c r="A581" s="14"/>
      <c r="B581" s="15"/>
      <c r="C581" s="14"/>
      <c r="D581" s="14"/>
      <c r="E581" s="14"/>
      <c r="F581" s="14"/>
      <c r="G581" s="14"/>
      <c r="H581" s="14"/>
      <c r="I581" s="16"/>
      <c r="J581" s="17"/>
      <c r="K581" s="14"/>
      <c r="L581" s="15"/>
      <c r="M581" s="17"/>
      <c r="N581" s="14"/>
      <c r="O581" s="15"/>
      <c r="P581" s="14"/>
      <c r="Q581" s="16"/>
      <c r="R581" s="13" t="str">
        <f aca="false">IF(AND(B581&lt;&gt;"",L581&lt;&gt;""),L581-B581,"")</f>
        <v/>
      </c>
      <c r="S581" s="13" t="str">
        <f aca="true">IF(B581="","",IF(O581&lt;&gt;"",O581-B581,TODAY()-B581))</f>
        <v/>
      </c>
      <c r="T581" s="13" t="str">
        <f aca="false">IF(A581="","",SUMIF('Time Log'!$C$5:$C$1004,A581,'Time Log'!$E$5:$E$1004))</f>
        <v/>
      </c>
    </row>
    <row r="582" customFormat="false" ht="15" hidden="false" customHeight="false" outlineLevel="0" collapsed="false">
      <c r="A582" s="14"/>
      <c r="B582" s="15"/>
      <c r="C582" s="14"/>
      <c r="D582" s="14"/>
      <c r="E582" s="14"/>
      <c r="F582" s="14"/>
      <c r="G582" s="14"/>
      <c r="H582" s="14"/>
      <c r="I582" s="16"/>
      <c r="J582" s="17"/>
      <c r="K582" s="14"/>
      <c r="L582" s="15"/>
      <c r="M582" s="17"/>
      <c r="N582" s="14"/>
      <c r="O582" s="15"/>
      <c r="P582" s="14"/>
      <c r="Q582" s="16"/>
      <c r="R582" s="13" t="str">
        <f aca="false">IF(AND(B582&lt;&gt;"",L582&lt;&gt;""),L582-B582,"")</f>
        <v/>
      </c>
      <c r="S582" s="13" t="str">
        <f aca="true">IF(B582="","",IF(O582&lt;&gt;"",O582-B582,TODAY()-B582))</f>
        <v/>
      </c>
      <c r="T582" s="13" t="str">
        <f aca="false">IF(A582="","",SUMIF('Time Log'!$C$5:$C$1004,A582,'Time Log'!$E$5:$E$1004))</f>
        <v/>
      </c>
    </row>
    <row r="583" customFormat="false" ht="15" hidden="false" customHeight="false" outlineLevel="0" collapsed="false">
      <c r="A583" s="14"/>
      <c r="B583" s="15"/>
      <c r="C583" s="14"/>
      <c r="D583" s="14"/>
      <c r="E583" s="14"/>
      <c r="F583" s="14"/>
      <c r="G583" s="14"/>
      <c r="H583" s="14"/>
      <c r="I583" s="16"/>
      <c r="J583" s="17"/>
      <c r="K583" s="14"/>
      <c r="L583" s="15"/>
      <c r="M583" s="17"/>
      <c r="N583" s="14"/>
      <c r="O583" s="15"/>
      <c r="P583" s="14"/>
      <c r="Q583" s="16"/>
      <c r="R583" s="13" t="str">
        <f aca="false">IF(AND(B583&lt;&gt;"",L583&lt;&gt;""),L583-B583,"")</f>
        <v/>
      </c>
      <c r="S583" s="13" t="str">
        <f aca="true">IF(B583="","",IF(O583&lt;&gt;"",O583-B583,TODAY()-B583))</f>
        <v/>
      </c>
      <c r="T583" s="13" t="str">
        <f aca="false">IF(A583="","",SUMIF('Time Log'!$C$5:$C$1004,A583,'Time Log'!$E$5:$E$1004))</f>
        <v/>
      </c>
    </row>
    <row r="584" customFormat="false" ht="15" hidden="false" customHeight="false" outlineLevel="0" collapsed="false">
      <c r="A584" s="14"/>
      <c r="B584" s="15"/>
      <c r="C584" s="14"/>
      <c r="D584" s="14"/>
      <c r="E584" s="14"/>
      <c r="F584" s="14"/>
      <c r="G584" s="14"/>
      <c r="H584" s="14"/>
      <c r="I584" s="16"/>
      <c r="J584" s="17"/>
      <c r="K584" s="14"/>
      <c r="L584" s="15"/>
      <c r="M584" s="17"/>
      <c r="N584" s="14"/>
      <c r="O584" s="15"/>
      <c r="P584" s="14"/>
      <c r="Q584" s="16"/>
      <c r="R584" s="13" t="str">
        <f aca="false">IF(AND(B584&lt;&gt;"",L584&lt;&gt;""),L584-B584,"")</f>
        <v/>
      </c>
      <c r="S584" s="13" t="str">
        <f aca="true">IF(B584="","",IF(O584&lt;&gt;"",O584-B584,TODAY()-B584))</f>
        <v/>
      </c>
      <c r="T584" s="13" t="str">
        <f aca="false">IF(A584="","",SUMIF('Time Log'!$C$5:$C$1004,A584,'Time Log'!$E$5:$E$1004))</f>
        <v/>
      </c>
    </row>
    <row r="585" customFormat="false" ht="15" hidden="false" customHeight="false" outlineLevel="0" collapsed="false">
      <c r="A585" s="14"/>
      <c r="B585" s="15"/>
      <c r="C585" s="14"/>
      <c r="D585" s="14"/>
      <c r="E585" s="14"/>
      <c r="F585" s="14"/>
      <c r="G585" s="14"/>
      <c r="H585" s="14"/>
      <c r="I585" s="16"/>
      <c r="J585" s="17"/>
      <c r="K585" s="14"/>
      <c r="L585" s="15"/>
      <c r="M585" s="17"/>
      <c r="N585" s="14"/>
      <c r="O585" s="15"/>
      <c r="P585" s="14"/>
      <c r="Q585" s="16"/>
      <c r="R585" s="13" t="str">
        <f aca="false">IF(AND(B585&lt;&gt;"",L585&lt;&gt;""),L585-B585,"")</f>
        <v/>
      </c>
      <c r="S585" s="13" t="str">
        <f aca="true">IF(B585="","",IF(O585&lt;&gt;"",O585-B585,TODAY()-B585))</f>
        <v/>
      </c>
      <c r="T585" s="13" t="str">
        <f aca="false">IF(A585="","",SUMIF('Time Log'!$C$5:$C$1004,A585,'Time Log'!$E$5:$E$1004))</f>
        <v/>
      </c>
    </row>
    <row r="586" customFormat="false" ht="15" hidden="false" customHeight="false" outlineLevel="0" collapsed="false">
      <c r="A586" s="14"/>
      <c r="B586" s="15"/>
      <c r="C586" s="14"/>
      <c r="D586" s="14"/>
      <c r="E586" s="14"/>
      <c r="F586" s="14"/>
      <c r="G586" s="14"/>
      <c r="H586" s="14"/>
      <c r="I586" s="16"/>
      <c r="J586" s="17"/>
      <c r="K586" s="14"/>
      <c r="L586" s="15"/>
      <c r="M586" s="17"/>
      <c r="N586" s="14"/>
      <c r="O586" s="15"/>
      <c r="P586" s="14"/>
      <c r="Q586" s="16"/>
      <c r="R586" s="13" t="str">
        <f aca="false">IF(AND(B586&lt;&gt;"",L586&lt;&gt;""),L586-B586,"")</f>
        <v/>
      </c>
      <c r="S586" s="13" t="str">
        <f aca="true">IF(B586="","",IF(O586&lt;&gt;"",O586-B586,TODAY()-B586))</f>
        <v/>
      </c>
      <c r="T586" s="13" t="str">
        <f aca="false">IF(A586="","",SUMIF('Time Log'!$C$5:$C$1004,A586,'Time Log'!$E$5:$E$1004))</f>
        <v/>
      </c>
    </row>
    <row r="587" customFormat="false" ht="15" hidden="false" customHeight="false" outlineLevel="0" collapsed="false">
      <c r="A587" s="14"/>
      <c r="B587" s="15"/>
      <c r="C587" s="14"/>
      <c r="D587" s="14"/>
      <c r="E587" s="14"/>
      <c r="F587" s="14"/>
      <c r="G587" s="14"/>
      <c r="H587" s="14"/>
      <c r="I587" s="16"/>
      <c r="J587" s="17"/>
      <c r="K587" s="14"/>
      <c r="L587" s="15"/>
      <c r="M587" s="17"/>
      <c r="N587" s="14"/>
      <c r="O587" s="15"/>
      <c r="P587" s="14"/>
      <c r="Q587" s="16"/>
      <c r="R587" s="13" t="str">
        <f aca="false">IF(AND(B587&lt;&gt;"",L587&lt;&gt;""),L587-B587,"")</f>
        <v/>
      </c>
      <c r="S587" s="13" t="str">
        <f aca="true">IF(B587="","",IF(O587&lt;&gt;"",O587-B587,TODAY()-B587))</f>
        <v/>
      </c>
      <c r="T587" s="13" t="str">
        <f aca="false">IF(A587="","",SUMIF('Time Log'!$C$5:$C$1004,A587,'Time Log'!$E$5:$E$1004))</f>
        <v/>
      </c>
    </row>
    <row r="588" customFormat="false" ht="15" hidden="false" customHeight="false" outlineLevel="0" collapsed="false">
      <c r="A588" s="14"/>
      <c r="B588" s="15"/>
      <c r="C588" s="14"/>
      <c r="D588" s="14"/>
      <c r="E588" s="14"/>
      <c r="F588" s="14"/>
      <c r="G588" s="14"/>
      <c r="H588" s="14"/>
      <c r="I588" s="16"/>
      <c r="J588" s="17"/>
      <c r="K588" s="14"/>
      <c r="L588" s="15"/>
      <c r="M588" s="17"/>
      <c r="N588" s="14"/>
      <c r="O588" s="15"/>
      <c r="P588" s="14"/>
      <c r="Q588" s="16"/>
      <c r="R588" s="13" t="str">
        <f aca="false">IF(AND(B588&lt;&gt;"",L588&lt;&gt;""),L588-B588,"")</f>
        <v/>
      </c>
      <c r="S588" s="13" t="str">
        <f aca="true">IF(B588="","",IF(O588&lt;&gt;"",O588-B588,TODAY()-B588))</f>
        <v/>
      </c>
      <c r="T588" s="13" t="str">
        <f aca="false">IF(A588="","",SUMIF('Time Log'!$C$5:$C$1004,A588,'Time Log'!$E$5:$E$1004))</f>
        <v/>
      </c>
    </row>
    <row r="589" customFormat="false" ht="15" hidden="false" customHeight="false" outlineLevel="0" collapsed="false">
      <c r="A589" s="14"/>
      <c r="B589" s="15"/>
      <c r="C589" s="14"/>
      <c r="D589" s="14"/>
      <c r="E589" s="14"/>
      <c r="F589" s="14"/>
      <c r="G589" s="14"/>
      <c r="H589" s="14"/>
      <c r="I589" s="16"/>
      <c r="J589" s="17"/>
      <c r="K589" s="14"/>
      <c r="L589" s="15"/>
      <c r="M589" s="17"/>
      <c r="N589" s="14"/>
      <c r="O589" s="15"/>
      <c r="P589" s="14"/>
      <c r="Q589" s="16"/>
      <c r="R589" s="13" t="str">
        <f aca="false">IF(AND(B589&lt;&gt;"",L589&lt;&gt;""),L589-B589,"")</f>
        <v/>
      </c>
      <c r="S589" s="13" t="str">
        <f aca="true">IF(B589="","",IF(O589&lt;&gt;"",O589-B589,TODAY()-B589))</f>
        <v/>
      </c>
      <c r="T589" s="13" t="str">
        <f aca="false">IF(A589="","",SUMIF('Time Log'!$C$5:$C$1004,A589,'Time Log'!$E$5:$E$1004))</f>
        <v/>
      </c>
    </row>
    <row r="590" customFormat="false" ht="15" hidden="false" customHeight="false" outlineLevel="0" collapsed="false">
      <c r="A590" s="14"/>
      <c r="B590" s="15"/>
      <c r="C590" s="14"/>
      <c r="D590" s="14"/>
      <c r="E590" s="14"/>
      <c r="F590" s="14"/>
      <c r="G590" s="14"/>
      <c r="H590" s="14"/>
      <c r="I590" s="16"/>
      <c r="J590" s="17"/>
      <c r="K590" s="14"/>
      <c r="L590" s="15"/>
      <c r="M590" s="17"/>
      <c r="N590" s="14"/>
      <c r="O590" s="15"/>
      <c r="P590" s="14"/>
      <c r="Q590" s="16"/>
      <c r="R590" s="13" t="str">
        <f aca="false">IF(AND(B590&lt;&gt;"",L590&lt;&gt;""),L590-B590,"")</f>
        <v/>
      </c>
      <c r="S590" s="13" t="str">
        <f aca="true">IF(B590="","",IF(O590&lt;&gt;"",O590-B590,TODAY()-B590))</f>
        <v/>
      </c>
      <c r="T590" s="13" t="str">
        <f aca="false">IF(A590="","",SUMIF('Time Log'!$C$5:$C$1004,A590,'Time Log'!$E$5:$E$1004))</f>
        <v/>
      </c>
    </row>
    <row r="591" customFormat="false" ht="15" hidden="false" customHeight="false" outlineLevel="0" collapsed="false">
      <c r="A591" s="14"/>
      <c r="B591" s="15"/>
      <c r="C591" s="14"/>
      <c r="D591" s="14"/>
      <c r="E591" s="14"/>
      <c r="F591" s="14"/>
      <c r="G591" s="14"/>
      <c r="H591" s="14"/>
      <c r="I591" s="16"/>
      <c r="J591" s="17"/>
      <c r="K591" s="14"/>
      <c r="L591" s="15"/>
      <c r="M591" s="17"/>
      <c r="N591" s="14"/>
      <c r="O591" s="15"/>
      <c r="P591" s="14"/>
      <c r="Q591" s="16"/>
      <c r="R591" s="13" t="str">
        <f aca="false">IF(AND(B591&lt;&gt;"",L591&lt;&gt;""),L591-B591,"")</f>
        <v/>
      </c>
      <c r="S591" s="13" t="str">
        <f aca="true">IF(B591="","",IF(O591&lt;&gt;"",O591-B591,TODAY()-B591))</f>
        <v/>
      </c>
      <c r="T591" s="13" t="str">
        <f aca="false">IF(A591="","",SUMIF('Time Log'!$C$5:$C$1004,A591,'Time Log'!$E$5:$E$1004))</f>
        <v/>
      </c>
    </row>
    <row r="592" customFormat="false" ht="15" hidden="false" customHeight="false" outlineLevel="0" collapsed="false">
      <c r="A592" s="14"/>
      <c r="B592" s="15"/>
      <c r="C592" s="14"/>
      <c r="D592" s="14"/>
      <c r="E592" s="14"/>
      <c r="F592" s="14"/>
      <c r="G592" s="14"/>
      <c r="H592" s="14"/>
      <c r="I592" s="16"/>
      <c r="J592" s="17"/>
      <c r="K592" s="14"/>
      <c r="L592" s="15"/>
      <c r="M592" s="17"/>
      <c r="N592" s="14"/>
      <c r="O592" s="15"/>
      <c r="P592" s="14"/>
      <c r="Q592" s="16"/>
      <c r="R592" s="13" t="str">
        <f aca="false">IF(AND(B592&lt;&gt;"",L592&lt;&gt;""),L592-B592,"")</f>
        <v/>
      </c>
      <c r="S592" s="13" t="str">
        <f aca="true">IF(B592="","",IF(O592&lt;&gt;"",O592-B592,TODAY()-B592))</f>
        <v/>
      </c>
      <c r="T592" s="13" t="str">
        <f aca="false">IF(A592="","",SUMIF('Time Log'!$C$5:$C$1004,A592,'Time Log'!$E$5:$E$1004))</f>
        <v/>
      </c>
    </row>
    <row r="593" customFormat="false" ht="15" hidden="false" customHeight="false" outlineLevel="0" collapsed="false">
      <c r="A593" s="14"/>
      <c r="B593" s="15"/>
      <c r="C593" s="14"/>
      <c r="D593" s="14"/>
      <c r="E593" s="14"/>
      <c r="F593" s="14"/>
      <c r="G593" s="14"/>
      <c r="H593" s="14"/>
      <c r="I593" s="16"/>
      <c r="J593" s="17"/>
      <c r="K593" s="14"/>
      <c r="L593" s="15"/>
      <c r="M593" s="17"/>
      <c r="N593" s="14"/>
      <c r="O593" s="15"/>
      <c r="P593" s="14"/>
      <c r="Q593" s="16"/>
      <c r="R593" s="13" t="str">
        <f aca="false">IF(AND(B593&lt;&gt;"",L593&lt;&gt;""),L593-B593,"")</f>
        <v/>
      </c>
      <c r="S593" s="13" t="str">
        <f aca="true">IF(B593="","",IF(O593&lt;&gt;"",O593-B593,TODAY()-B593))</f>
        <v/>
      </c>
      <c r="T593" s="13" t="str">
        <f aca="false">IF(A593="","",SUMIF('Time Log'!$C$5:$C$1004,A593,'Time Log'!$E$5:$E$1004))</f>
        <v/>
      </c>
    </row>
    <row r="594" customFormat="false" ht="15" hidden="false" customHeight="false" outlineLevel="0" collapsed="false">
      <c r="A594" s="14"/>
      <c r="B594" s="15"/>
      <c r="C594" s="14"/>
      <c r="D594" s="14"/>
      <c r="E594" s="14"/>
      <c r="F594" s="14"/>
      <c r="G594" s="14"/>
      <c r="H594" s="14"/>
      <c r="I594" s="16"/>
      <c r="J594" s="17"/>
      <c r="K594" s="14"/>
      <c r="L594" s="15"/>
      <c r="M594" s="17"/>
      <c r="N594" s="14"/>
      <c r="O594" s="15"/>
      <c r="P594" s="14"/>
      <c r="Q594" s="16"/>
      <c r="R594" s="13" t="str">
        <f aca="false">IF(AND(B594&lt;&gt;"",L594&lt;&gt;""),L594-B594,"")</f>
        <v/>
      </c>
      <c r="S594" s="13" t="str">
        <f aca="true">IF(B594="","",IF(O594&lt;&gt;"",O594-B594,TODAY()-B594))</f>
        <v/>
      </c>
      <c r="T594" s="13" t="str">
        <f aca="false">IF(A594="","",SUMIF('Time Log'!$C$5:$C$1004,A594,'Time Log'!$E$5:$E$1004))</f>
        <v/>
      </c>
    </row>
    <row r="595" customFormat="false" ht="15" hidden="false" customHeight="false" outlineLevel="0" collapsed="false">
      <c r="A595" s="14"/>
      <c r="B595" s="15"/>
      <c r="C595" s="14"/>
      <c r="D595" s="14"/>
      <c r="E595" s="14"/>
      <c r="F595" s="14"/>
      <c r="G595" s="14"/>
      <c r="H595" s="14"/>
      <c r="I595" s="16"/>
      <c r="J595" s="17"/>
      <c r="K595" s="14"/>
      <c r="L595" s="15"/>
      <c r="M595" s="17"/>
      <c r="N595" s="14"/>
      <c r="O595" s="15"/>
      <c r="P595" s="14"/>
      <c r="Q595" s="16"/>
      <c r="R595" s="13" t="str">
        <f aca="false">IF(AND(B595&lt;&gt;"",L595&lt;&gt;""),L595-B595,"")</f>
        <v/>
      </c>
      <c r="S595" s="13" t="str">
        <f aca="true">IF(B595="","",IF(O595&lt;&gt;"",O595-B595,TODAY()-B595))</f>
        <v/>
      </c>
      <c r="T595" s="13" t="str">
        <f aca="false">IF(A595="","",SUMIF('Time Log'!$C$5:$C$1004,A595,'Time Log'!$E$5:$E$1004))</f>
        <v/>
      </c>
    </row>
    <row r="596" customFormat="false" ht="15" hidden="false" customHeight="false" outlineLevel="0" collapsed="false">
      <c r="A596" s="14"/>
      <c r="B596" s="15"/>
      <c r="C596" s="14"/>
      <c r="D596" s="14"/>
      <c r="E596" s="14"/>
      <c r="F596" s="14"/>
      <c r="G596" s="14"/>
      <c r="H596" s="14"/>
      <c r="I596" s="16"/>
      <c r="J596" s="17"/>
      <c r="K596" s="14"/>
      <c r="L596" s="15"/>
      <c r="M596" s="17"/>
      <c r="N596" s="14"/>
      <c r="O596" s="15"/>
      <c r="P596" s="14"/>
      <c r="Q596" s="16"/>
      <c r="R596" s="13" t="str">
        <f aca="false">IF(AND(B596&lt;&gt;"",L596&lt;&gt;""),L596-B596,"")</f>
        <v/>
      </c>
      <c r="S596" s="13" t="str">
        <f aca="true">IF(B596="","",IF(O596&lt;&gt;"",O596-B596,TODAY()-B596))</f>
        <v/>
      </c>
      <c r="T596" s="13" t="str">
        <f aca="false">IF(A596="","",SUMIF('Time Log'!$C$5:$C$1004,A596,'Time Log'!$E$5:$E$1004))</f>
        <v/>
      </c>
    </row>
    <row r="597" customFormat="false" ht="15" hidden="false" customHeight="false" outlineLevel="0" collapsed="false">
      <c r="A597" s="14"/>
      <c r="B597" s="15"/>
      <c r="C597" s="14"/>
      <c r="D597" s="14"/>
      <c r="E597" s="14"/>
      <c r="F597" s="14"/>
      <c r="G597" s="14"/>
      <c r="H597" s="14"/>
      <c r="I597" s="16"/>
      <c r="J597" s="17"/>
      <c r="K597" s="14"/>
      <c r="L597" s="15"/>
      <c r="M597" s="17"/>
      <c r="N597" s="14"/>
      <c r="O597" s="15"/>
      <c r="P597" s="14"/>
      <c r="Q597" s="16"/>
      <c r="R597" s="13" t="str">
        <f aca="false">IF(AND(B597&lt;&gt;"",L597&lt;&gt;""),L597-B597,"")</f>
        <v/>
      </c>
      <c r="S597" s="13" t="str">
        <f aca="true">IF(B597="","",IF(O597&lt;&gt;"",O597-B597,TODAY()-B597))</f>
        <v/>
      </c>
      <c r="T597" s="13" t="str">
        <f aca="false">IF(A597="","",SUMIF('Time Log'!$C$5:$C$1004,A597,'Time Log'!$E$5:$E$1004))</f>
        <v/>
      </c>
    </row>
    <row r="598" customFormat="false" ht="15" hidden="false" customHeight="false" outlineLevel="0" collapsed="false">
      <c r="A598" s="14"/>
      <c r="B598" s="15"/>
      <c r="C598" s="14"/>
      <c r="D598" s="14"/>
      <c r="E598" s="14"/>
      <c r="F598" s="14"/>
      <c r="G598" s="14"/>
      <c r="H598" s="14"/>
      <c r="I598" s="16"/>
      <c r="J598" s="17"/>
      <c r="K598" s="14"/>
      <c r="L598" s="15"/>
      <c r="M598" s="17"/>
      <c r="N598" s="14"/>
      <c r="O598" s="15"/>
      <c r="P598" s="14"/>
      <c r="Q598" s="16"/>
      <c r="R598" s="13" t="str">
        <f aca="false">IF(AND(B598&lt;&gt;"",L598&lt;&gt;""),L598-B598,"")</f>
        <v/>
      </c>
      <c r="S598" s="13" t="str">
        <f aca="true">IF(B598="","",IF(O598&lt;&gt;"",O598-B598,TODAY()-B598))</f>
        <v/>
      </c>
      <c r="T598" s="13" t="str">
        <f aca="false">IF(A598="","",SUMIF('Time Log'!$C$5:$C$1004,A598,'Time Log'!$E$5:$E$1004))</f>
        <v/>
      </c>
    </row>
    <row r="599" customFormat="false" ht="15" hidden="false" customHeight="false" outlineLevel="0" collapsed="false">
      <c r="A599" s="14"/>
      <c r="B599" s="15"/>
      <c r="C599" s="14"/>
      <c r="D599" s="14"/>
      <c r="E599" s="14"/>
      <c r="F599" s="14"/>
      <c r="G599" s="14"/>
      <c r="H599" s="14"/>
      <c r="I599" s="16"/>
      <c r="J599" s="17"/>
      <c r="K599" s="14"/>
      <c r="L599" s="15"/>
      <c r="M599" s="17"/>
      <c r="N599" s="14"/>
      <c r="O599" s="15"/>
      <c r="P599" s="14"/>
      <c r="Q599" s="16"/>
      <c r="R599" s="13" t="str">
        <f aca="false">IF(AND(B599&lt;&gt;"",L599&lt;&gt;""),L599-B599,"")</f>
        <v/>
      </c>
      <c r="S599" s="13" t="str">
        <f aca="true">IF(B599="","",IF(O599&lt;&gt;"",O599-B599,TODAY()-B599))</f>
        <v/>
      </c>
      <c r="T599" s="13" t="str">
        <f aca="false">IF(A599="","",SUMIF('Time Log'!$C$5:$C$1004,A599,'Time Log'!$E$5:$E$1004))</f>
        <v/>
      </c>
    </row>
    <row r="600" customFormat="false" ht="15" hidden="false" customHeight="false" outlineLevel="0" collapsed="false">
      <c r="A600" s="14"/>
      <c r="B600" s="15"/>
      <c r="C600" s="14"/>
      <c r="D600" s="14"/>
      <c r="E600" s="14"/>
      <c r="F600" s="14"/>
      <c r="G600" s="14"/>
      <c r="H600" s="14"/>
      <c r="I600" s="16"/>
      <c r="J600" s="17"/>
      <c r="K600" s="14"/>
      <c r="L600" s="15"/>
      <c r="M600" s="17"/>
      <c r="N600" s="14"/>
      <c r="O600" s="15"/>
      <c r="P600" s="14"/>
      <c r="Q600" s="16"/>
      <c r="R600" s="13" t="str">
        <f aca="false">IF(AND(B600&lt;&gt;"",L600&lt;&gt;""),L600-B600,"")</f>
        <v/>
      </c>
      <c r="S600" s="13" t="str">
        <f aca="true">IF(B600="","",IF(O600&lt;&gt;"",O600-B600,TODAY()-B600))</f>
        <v/>
      </c>
      <c r="T600" s="13" t="str">
        <f aca="false">IF(A600="","",SUMIF('Time Log'!$C$5:$C$1004,A600,'Time Log'!$E$5:$E$1004))</f>
        <v/>
      </c>
    </row>
    <row r="601" customFormat="false" ht="15" hidden="false" customHeight="false" outlineLevel="0" collapsed="false">
      <c r="A601" s="14"/>
      <c r="B601" s="15"/>
      <c r="C601" s="14"/>
      <c r="D601" s="14"/>
      <c r="E601" s="14"/>
      <c r="F601" s="14"/>
      <c r="G601" s="14"/>
      <c r="H601" s="14"/>
      <c r="I601" s="16"/>
      <c r="J601" s="17"/>
      <c r="K601" s="14"/>
      <c r="L601" s="15"/>
      <c r="M601" s="17"/>
      <c r="N601" s="14"/>
      <c r="O601" s="15"/>
      <c r="P601" s="14"/>
      <c r="Q601" s="16"/>
      <c r="R601" s="13" t="str">
        <f aca="false">IF(AND(B601&lt;&gt;"",L601&lt;&gt;""),L601-B601,"")</f>
        <v/>
      </c>
      <c r="S601" s="13" t="str">
        <f aca="true">IF(B601="","",IF(O601&lt;&gt;"",O601-B601,TODAY()-B601))</f>
        <v/>
      </c>
      <c r="T601" s="13" t="str">
        <f aca="false">IF(A601="","",SUMIF('Time Log'!$C$5:$C$1004,A601,'Time Log'!$E$5:$E$1004))</f>
        <v/>
      </c>
    </row>
    <row r="602" customFormat="false" ht="15" hidden="false" customHeight="false" outlineLevel="0" collapsed="false">
      <c r="A602" s="14"/>
      <c r="B602" s="15"/>
      <c r="C602" s="14"/>
      <c r="D602" s="14"/>
      <c r="E602" s="14"/>
      <c r="F602" s="14"/>
      <c r="G602" s="14"/>
      <c r="H602" s="14"/>
      <c r="I602" s="16"/>
      <c r="J602" s="17"/>
      <c r="K602" s="14"/>
      <c r="L602" s="15"/>
      <c r="M602" s="17"/>
      <c r="N602" s="14"/>
      <c r="O602" s="15"/>
      <c r="P602" s="14"/>
      <c r="Q602" s="16"/>
      <c r="R602" s="13" t="str">
        <f aca="false">IF(AND(B602&lt;&gt;"",L602&lt;&gt;""),L602-B602,"")</f>
        <v/>
      </c>
      <c r="S602" s="13" t="str">
        <f aca="true">IF(B602="","",IF(O602&lt;&gt;"",O602-B602,TODAY()-B602))</f>
        <v/>
      </c>
      <c r="T602" s="13" t="str">
        <f aca="false">IF(A602="","",SUMIF('Time Log'!$C$5:$C$1004,A602,'Time Log'!$E$5:$E$1004))</f>
        <v/>
      </c>
    </row>
    <row r="603" customFormat="false" ht="15" hidden="false" customHeight="false" outlineLevel="0" collapsed="false">
      <c r="A603" s="14"/>
      <c r="B603" s="15"/>
      <c r="C603" s="14"/>
      <c r="D603" s="14"/>
      <c r="E603" s="14"/>
      <c r="F603" s="14"/>
      <c r="G603" s="14"/>
      <c r="H603" s="14"/>
      <c r="I603" s="16"/>
      <c r="J603" s="17"/>
      <c r="K603" s="14"/>
      <c r="L603" s="15"/>
      <c r="M603" s="17"/>
      <c r="N603" s="14"/>
      <c r="O603" s="15"/>
      <c r="P603" s="14"/>
      <c r="Q603" s="16"/>
      <c r="R603" s="13" t="str">
        <f aca="false">IF(AND(B603&lt;&gt;"",L603&lt;&gt;""),L603-B603,"")</f>
        <v/>
      </c>
      <c r="S603" s="13" t="str">
        <f aca="true">IF(B603="","",IF(O603&lt;&gt;"",O603-B603,TODAY()-B603))</f>
        <v/>
      </c>
      <c r="T603" s="13" t="str">
        <f aca="false">IF(A603="","",SUMIF('Time Log'!$C$5:$C$1004,A603,'Time Log'!$E$5:$E$1004))</f>
        <v/>
      </c>
    </row>
    <row r="604" customFormat="false" ht="15" hidden="false" customHeight="false" outlineLevel="0" collapsed="false">
      <c r="A604" s="14"/>
      <c r="B604" s="15"/>
      <c r="C604" s="14"/>
      <c r="D604" s="14"/>
      <c r="E604" s="14"/>
      <c r="F604" s="14"/>
      <c r="G604" s="14"/>
      <c r="H604" s="14"/>
      <c r="I604" s="16"/>
      <c r="J604" s="17"/>
      <c r="K604" s="14"/>
      <c r="L604" s="15"/>
      <c r="M604" s="17"/>
      <c r="N604" s="14"/>
      <c r="O604" s="15"/>
      <c r="P604" s="14"/>
      <c r="Q604" s="16"/>
      <c r="R604" s="13" t="str">
        <f aca="false">IF(AND(B604&lt;&gt;"",L604&lt;&gt;""),L604-B604,"")</f>
        <v/>
      </c>
      <c r="S604" s="13" t="str">
        <f aca="true">IF(B604="","",IF(O604&lt;&gt;"",O604-B604,TODAY()-B604))</f>
        <v/>
      </c>
      <c r="T604" s="13" t="str">
        <f aca="false">IF(A604="","",SUMIF('Time Log'!$C$5:$C$1004,A604,'Time Log'!$E$5:$E$1004))</f>
        <v/>
      </c>
    </row>
    <row r="605" customFormat="false" ht="15" hidden="false" customHeight="false" outlineLevel="0" collapsed="false">
      <c r="A605" s="14"/>
      <c r="B605" s="15"/>
      <c r="C605" s="14"/>
      <c r="D605" s="14"/>
      <c r="E605" s="14"/>
      <c r="F605" s="14"/>
      <c r="G605" s="14"/>
      <c r="H605" s="14"/>
      <c r="I605" s="16"/>
      <c r="J605" s="17"/>
      <c r="K605" s="14"/>
      <c r="L605" s="15"/>
      <c r="M605" s="17"/>
      <c r="N605" s="14"/>
      <c r="O605" s="15"/>
      <c r="P605" s="14"/>
      <c r="Q605" s="16"/>
      <c r="R605" s="13" t="str">
        <f aca="false">IF(AND(B605&lt;&gt;"",L605&lt;&gt;""),L605-B605,"")</f>
        <v/>
      </c>
      <c r="S605" s="13" t="str">
        <f aca="true">IF(B605="","",IF(O605&lt;&gt;"",O605-B605,TODAY()-B605))</f>
        <v/>
      </c>
      <c r="T605" s="13" t="str">
        <f aca="false">IF(A605="","",SUMIF('Time Log'!$C$5:$C$1004,A605,'Time Log'!$E$5:$E$1004))</f>
        <v/>
      </c>
    </row>
    <row r="606" customFormat="false" ht="15" hidden="false" customHeight="false" outlineLevel="0" collapsed="false">
      <c r="A606" s="14"/>
      <c r="B606" s="15"/>
      <c r="C606" s="14"/>
      <c r="D606" s="14"/>
      <c r="E606" s="14"/>
      <c r="F606" s="14"/>
      <c r="G606" s="14"/>
      <c r="H606" s="14"/>
      <c r="I606" s="16"/>
      <c r="J606" s="17"/>
      <c r="K606" s="14"/>
      <c r="L606" s="15"/>
      <c r="M606" s="17"/>
      <c r="N606" s="14"/>
      <c r="O606" s="15"/>
      <c r="P606" s="14"/>
      <c r="Q606" s="16"/>
      <c r="R606" s="13" t="str">
        <f aca="false">IF(AND(B606&lt;&gt;"",L606&lt;&gt;""),L606-B606,"")</f>
        <v/>
      </c>
      <c r="S606" s="13" t="str">
        <f aca="true">IF(B606="","",IF(O606&lt;&gt;"",O606-B606,TODAY()-B606))</f>
        <v/>
      </c>
      <c r="T606" s="13" t="str">
        <f aca="false">IF(A606="","",SUMIF('Time Log'!$C$5:$C$1004,A606,'Time Log'!$E$5:$E$1004))</f>
        <v/>
      </c>
    </row>
    <row r="607" customFormat="false" ht="15" hidden="false" customHeight="false" outlineLevel="0" collapsed="false">
      <c r="A607" s="14"/>
      <c r="B607" s="15"/>
      <c r="C607" s="14"/>
      <c r="D607" s="14"/>
      <c r="E607" s="14"/>
      <c r="F607" s="14"/>
      <c r="G607" s="14"/>
      <c r="H607" s="14"/>
      <c r="I607" s="16"/>
      <c r="J607" s="17"/>
      <c r="K607" s="14"/>
      <c r="L607" s="15"/>
      <c r="M607" s="17"/>
      <c r="N607" s="14"/>
      <c r="O607" s="15"/>
      <c r="P607" s="14"/>
      <c r="Q607" s="16"/>
      <c r="R607" s="13" t="str">
        <f aca="false">IF(AND(B607&lt;&gt;"",L607&lt;&gt;""),L607-B607,"")</f>
        <v/>
      </c>
      <c r="S607" s="13" t="str">
        <f aca="true">IF(B607="","",IF(O607&lt;&gt;"",O607-B607,TODAY()-B607))</f>
        <v/>
      </c>
      <c r="T607" s="13" t="str">
        <f aca="false">IF(A607="","",SUMIF('Time Log'!$C$5:$C$1004,A607,'Time Log'!$E$5:$E$1004))</f>
        <v/>
      </c>
    </row>
    <row r="608" customFormat="false" ht="15" hidden="false" customHeight="false" outlineLevel="0" collapsed="false">
      <c r="A608" s="14"/>
      <c r="B608" s="15"/>
      <c r="C608" s="14"/>
      <c r="D608" s="14"/>
      <c r="E608" s="14"/>
      <c r="F608" s="14"/>
      <c r="G608" s="14"/>
      <c r="H608" s="14"/>
      <c r="I608" s="16"/>
      <c r="J608" s="17"/>
      <c r="K608" s="14"/>
      <c r="L608" s="15"/>
      <c r="M608" s="17"/>
      <c r="N608" s="14"/>
      <c r="O608" s="15"/>
      <c r="P608" s="14"/>
      <c r="Q608" s="16"/>
      <c r="R608" s="13" t="str">
        <f aca="false">IF(AND(B608&lt;&gt;"",L608&lt;&gt;""),L608-B608,"")</f>
        <v/>
      </c>
      <c r="S608" s="13" t="str">
        <f aca="true">IF(B608="","",IF(O608&lt;&gt;"",O608-B608,TODAY()-B608))</f>
        <v/>
      </c>
      <c r="T608" s="13" t="str">
        <f aca="false">IF(A608="","",SUMIF('Time Log'!$C$5:$C$1004,A608,'Time Log'!$E$5:$E$1004))</f>
        <v/>
      </c>
    </row>
    <row r="609" customFormat="false" ht="15" hidden="false" customHeight="false" outlineLevel="0" collapsed="false">
      <c r="A609" s="14"/>
      <c r="B609" s="15"/>
      <c r="C609" s="14"/>
      <c r="D609" s="14"/>
      <c r="E609" s="14"/>
      <c r="F609" s="14"/>
      <c r="G609" s="14"/>
      <c r="H609" s="14"/>
      <c r="I609" s="16"/>
      <c r="J609" s="17"/>
      <c r="K609" s="14"/>
      <c r="L609" s="15"/>
      <c r="M609" s="17"/>
      <c r="N609" s="14"/>
      <c r="O609" s="15"/>
      <c r="P609" s="14"/>
      <c r="Q609" s="16"/>
      <c r="R609" s="13" t="str">
        <f aca="false">IF(AND(B609&lt;&gt;"",L609&lt;&gt;""),L609-B609,"")</f>
        <v/>
      </c>
      <c r="S609" s="13" t="str">
        <f aca="true">IF(B609="","",IF(O609&lt;&gt;"",O609-B609,TODAY()-B609))</f>
        <v/>
      </c>
      <c r="T609" s="13" t="str">
        <f aca="false">IF(A609="","",SUMIF('Time Log'!$C$5:$C$1004,A609,'Time Log'!$E$5:$E$1004))</f>
        <v/>
      </c>
    </row>
    <row r="610" customFormat="false" ht="15" hidden="false" customHeight="false" outlineLevel="0" collapsed="false">
      <c r="A610" s="14"/>
      <c r="B610" s="15"/>
      <c r="C610" s="14"/>
      <c r="D610" s="14"/>
      <c r="E610" s="14"/>
      <c r="F610" s="14"/>
      <c r="G610" s="14"/>
      <c r="H610" s="14"/>
      <c r="I610" s="16"/>
      <c r="J610" s="17"/>
      <c r="K610" s="14"/>
      <c r="L610" s="15"/>
      <c r="M610" s="17"/>
      <c r="N610" s="14"/>
      <c r="O610" s="15"/>
      <c r="P610" s="14"/>
      <c r="Q610" s="16"/>
      <c r="R610" s="13" t="str">
        <f aca="false">IF(AND(B610&lt;&gt;"",L610&lt;&gt;""),L610-B610,"")</f>
        <v/>
      </c>
      <c r="S610" s="13" t="str">
        <f aca="true">IF(B610="","",IF(O610&lt;&gt;"",O610-B610,TODAY()-B610))</f>
        <v/>
      </c>
      <c r="T610" s="13" t="str">
        <f aca="false">IF(A610="","",SUMIF('Time Log'!$C$5:$C$1004,A610,'Time Log'!$E$5:$E$1004))</f>
        <v/>
      </c>
    </row>
    <row r="611" customFormat="false" ht="15" hidden="false" customHeight="false" outlineLevel="0" collapsed="false">
      <c r="A611" s="14"/>
      <c r="B611" s="15"/>
      <c r="C611" s="14"/>
      <c r="D611" s="14"/>
      <c r="E611" s="14"/>
      <c r="F611" s="14"/>
      <c r="G611" s="14"/>
      <c r="H611" s="14"/>
      <c r="I611" s="16"/>
      <c r="J611" s="17"/>
      <c r="K611" s="14"/>
      <c r="L611" s="15"/>
      <c r="M611" s="17"/>
      <c r="N611" s="14"/>
      <c r="O611" s="15"/>
      <c r="P611" s="14"/>
      <c r="Q611" s="16"/>
      <c r="R611" s="13" t="str">
        <f aca="false">IF(AND(B611&lt;&gt;"",L611&lt;&gt;""),L611-B611,"")</f>
        <v/>
      </c>
      <c r="S611" s="13" t="str">
        <f aca="true">IF(B611="","",IF(O611&lt;&gt;"",O611-B611,TODAY()-B611))</f>
        <v/>
      </c>
      <c r="T611" s="13" t="str">
        <f aca="false">IF(A611="","",SUMIF('Time Log'!$C$5:$C$1004,A611,'Time Log'!$E$5:$E$1004))</f>
        <v/>
      </c>
    </row>
    <row r="612" customFormat="false" ht="15" hidden="false" customHeight="false" outlineLevel="0" collapsed="false">
      <c r="A612" s="14"/>
      <c r="B612" s="15"/>
      <c r="C612" s="14"/>
      <c r="D612" s="14"/>
      <c r="E612" s="14"/>
      <c r="F612" s="14"/>
      <c r="G612" s="14"/>
      <c r="H612" s="14"/>
      <c r="I612" s="16"/>
      <c r="J612" s="17"/>
      <c r="K612" s="14"/>
      <c r="L612" s="15"/>
      <c r="M612" s="17"/>
      <c r="N612" s="14"/>
      <c r="O612" s="15"/>
      <c r="P612" s="14"/>
      <c r="Q612" s="16"/>
      <c r="R612" s="13" t="str">
        <f aca="false">IF(AND(B612&lt;&gt;"",L612&lt;&gt;""),L612-B612,"")</f>
        <v/>
      </c>
      <c r="S612" s="13" t="str">
        <f aca="true">IF(B612="","",IF(O612&lt;&gt;"",O612-B612,TODAY()-B612))</f>
        <v/>
      </c>
      <c r="T612" s="13" t="str">
        <f aca="false">IF(A612="","",SUMIF('Time Log'!$C$5:$C$1004,A612,'Time Log'!$E$5:$E$1004))</f>
        <v/>
      </c>
    </row>
    <row r="613" customFormat="false" ht="15" hidden="false" customHeight="false" outlineLevel="0" collapsed="false">
      <c r="A613" s="14"/>
      <c r="B613" s="15"/>
      <c r="C613" s="14"/>
      <c r="D613" s="14"/>
      <c r="E613" s="14"/>
      <c r="F613" s="14"/>
      <c r="G613" s="14"/>
      <c r="H613" s="14"/>
      <c r="I613" s="16"/>
      <c r="J613" s="17"/>
      <c r="K613" s="14"/>
      <c r="L613" s="15"/>
      <c r="M613" s="17"/>
      <c r="N613" s="14"/>
      <c r="O613" s="15"/>
      <c r="P613" s="14"/>
      <c r="Q613" s="16"/>
      <c r="R613" s="13" t="str">
        <f aca="false">IF(AND(B613&lt;&gt;"",L613&lt;&gt;""),L613-B613,"")</f>
        <v/>
      </c>
      <c r="S613" s="13" t="str">
        <f aca="true">IF(B613="","",IF(O613&lt;&gt;"",O613-B613,TODAY()-B613))</f>
        <v/>
      </c>
      <c r="T613" s="13" t="str">
        <f aca="false">IF(A613="","",SUMIF('Time Log'!$C$5:$C$1004,A613,'Time Log'!$E$5:$E$1004))</f>
        <v/>
      </c>
    </row>
    <row r="614" customFormat="false" ht="15" hidden="false" customHeight="false" outlineLevel="0" collapsed="false">
      <c r="A614" s="14"/>
      <c r="B614" s="15"/>
      <c r="C614" s="14"/>
      <c r="D614" s="14"/>
      <c r="E614" s="14"/>
      <c r="F614" s="14"/>
      <c r="G614" s="14"/>
      <c r="H614" s="14"/>
      <c r="I614" s="16"/>
      <c r="J614" s="17"/>
      <c r="K614" s="14"/>
      <c r="L614" s="15"/>
      <c r="M614" s="17"/>
      <c r="N614" s="14"/>
      <c r="O614" s="15"/>
      <c r="P614" s="14"/>
      <c r="Q614" s="16"/>
      <c r="R614" s="13" t="str">
        <f aca="false">IF(AND(B614&lt;&gt;"",L614&lt;&gt;""),L614-B614,"")</f>
        <v/>
      </c>
      <c r="S614" s="13" t="str">
        <f aca="true">IF(B614="","",IF(O614&lt;&gt;"",O614-B614,TODAY()-B614))</f>
        <v/>
      </c>
      <c r="T614" s="13" t="str">
        <f aca="false">IF(A614="","",SUMIF('Time Log'!$C$5:$C$1004,A614,'Time Log'!$E$5:$E$1004))</f>
        <v/>
      </c>
    </row>
    <row r="615" customFormat="false" ht="15" hidden="false" customHeight="false" outlineLevel="0" collapsed="false">
      <c r="A615" s="14"/>
      <c r="B615" s="15"/>
      <c r="C615" s="14"/>
      <c r="D615" s="14"/>
      <c r="E615" s="14"/>
      <c r="F615" s="14"/>
      <c r="G615" s="14"/>
      <c r="H615" s="14"/>
      <c r="I615" s="16"/>
      <c r="J615" s="17"/>
      <c r="K615" s="14"/>
      <c r="L615" s="15"/>
      <c r="M615" s="17"/>
      <c r="N615" s="14"/>
      <c r="O615" s="15"/>
      <c r="P615" s="14"/>
      <c r="Q615" s="16"/>
      <c r="R615" s="13" t="str">
        <f aca="false">IF(AND(B615&lt;&gt;"",L615&lt;&gt;""),L615-B615,"")</f>
        <v/>
      </c>
      <c r="S615" s="13" t="str">
        <f aca="true">IF(B615="","",IF(O615&lt;&gt;"",O615-B615,TODAY()-B615))</f>
        <v/>
      </c>
      <c r="T615" s="13" t="str">
        <f aca="false">IF(A615="","",SUMIF('Time Log'!$C$5:$C$1004,A615,'Time Log'!$E$5:$E$1004))</f>
        <v/>
      </c>
    </row>
    <row r="616" customFormat="false" ht="15" hidden="false" customHeight="false" outlineLevel="0" collapsed="false">
      <c r="A616" s="14"/>
      <c r="B616" s="15"/>
      <c r="C616" s="14"/>
      <c r="D616" s="14"/>
      <c r="E616" s="14"/>
      <c r="F616" s="14"/>
      <c r="G616" s="14"/>
      <c r="H616" s="14"/>
      <c r="I616" s="16"/>
      <c r="J616" s="17"/>
      <c r="K616" s="14"/>
      <c r="L616" s="15"/>
      <c r="M616" s="17"/>
      <c r="N616" s="14"/>
      <c r="O616" s="15"/>
      <c r="P616" s="14"/>
      <c r="Q616" s="16"/>
      <c r="R616" s="13" t="str">
        <f aca="false">IF(AND(B616&lt;&gt;"",L616&lt;&gt;""),L616-B616,"")</f>
        <v/>
      </c>
      <c r="S616" s="13" t="str">
        <f aca="true">IF(B616="","",IF(O616&lt;&gt;"",O616-B616,TODAY()-B616))</f>
        <v/>
      </c>
      <c r="T616" s="13" t="str">
        <f aca="false">IF(A616="","",SUMIF('Time Log'!$C$5:$C$1004,A616,'Time Log'!$E$5:$E$1004))</f>
        <v/>
      </c>
    </row>
    <row r="617" customFormat="false" ht="15" hidden="false" customHeight="false" outlineLevel="0" collapsed="false">
      <c r="A617" s="14"/>
      <c r="B617" s="15"/>
      <c r="C617" s="14"/>
      <c r="D617" s="14"/>
      <c r="E617" s="14"/>
      <c r="F617" s="14"/>
      <c r="G617" s="14"/>
      <c r="H617" s="14"/>
      <c r="I617" s="16"/>
      <c r="J617" s="17"/>
      <c r="K617" s="14"/>
      <c r="L617" s="15"/>
      <c r="M617" s="17"/>
      <c r="N617" s="14"/>
      <c r="O617" s="15"/>
      <c r="P617" s="14"/>
      <c r="Q617" s="16"/>
      <c r="R617" s="13" t="str">
        <f aca="false">IF(AND(B617&lt;&gt;"",L617&lt;&gt;""),L617-B617,"")</f>
        <v/>
      </c>
      <c r="S617" s="13" t="str">
        <f aca="true">IF(B617="","",IF(O617&lt;&gt;"",O617-B617,TODAY()-B617))</f>
        <v/>
      </c>
      <c r="T617" s="13" t="str">
        <f aca="false">IF(A617="","",SUMIF('Time Log'!$C$5:$C$1004,A617,'Time Log'!$E$5:$E$1004))</f>
        <v/>
      </c>
    </row>
    <row r="618" customFormat="false" ht="15" hidden="false" customHeight="false" outlineLevel="0" collapsed="false">
      <c r="A618" s="14"/>
      <c r="B618" s="15"/>
      <c r="C618" s="14"/>
      <c r="D618" s="14"/>
      <c r="E618" s="14"/>
      <c r="F618" s="14"/>
      <c r="G618" s="14"/>
      <c r="H618" s="14"/>
      <c r="I618" s="16"/>
      <c r="J618" s="17"/>
      <c r="K618" s="14"/>
      <c r="L618" s="15"/>
      <c r="M618" s="17"/>
      <c r="N618" s="14"/>
      <c r="O618" s="15"/>
      <c r="P618" s="14"/>
      <c r="Q618" s="16"/>
      <c r="R618" s="13" t="str">
        <f aca="false">IF(AND(B618&lt;&gt;"",L618&lt;&gt;""),L618-B618,"")</f>
        <v/>
      </c>
      <c r="S618" s="13" t="str">
        <f aca="true">IF(B618="","",IF(O618&lt;&gt;"",O618-B618,TODAY()-B618))</f>
        <v/>
      </c>
      <c r="T618" s="13" t="str">
        <f aca="false">IF(A618="","",SUMIF('Time Log'!$C$5:$C$1004,A618,'Time Log'!$E$5:$E$1004))</f>
        <v/>
      </c>
    </row>
    <row r="619" customFormat="false" ht="15" hidden="false" customHeight="false" outlineLevel="0" collapsed="false">
      <c r="A619" s="14"/>
      <c r="B619" s="15"/>
      <c r="C619" s="14"/>
      <c r="D619" s="14"/>
      <c r="E619" s="14"/>
      <c r="F619" s="14"/>
      <c r="G619" s="14"/>
      <c r="H619" s="14"/>
      <c r="I619" s="16"/>
      <c r="J619" s="17"/>
      <c r="K619" s="14"/>
      <c r="L619" s="15"/>
      <c r="M619" s="17"/>
      <c r="N619" s="14"/>
      <c r="O619" s="15"/>
      <c r="P619" s="14"/>
      <c r="Q619" s="16"/>
      <c r="R619" s="13" t="str">
        <f aca="false">IF(AND(B619&lt;&gt;"",L619&lt;&gt;""),L619-B619,"")</f>
        <v/>
      </c>
      <c r="S619" s="13" t="str">
        <f aca="true">IF(B619="","",IF(O619&lt;&gt;"",O619-B619,TODAY()-B619))</f>
        <v/>
      </c>
      <c r="T619" s="13" t="str">
        <f aca="false">IF(A619="","",SUMIF('Time Log'!$C$5:$C$1004,A619,'Time Log'!$E$5:$E$1004))</f>
        <v/>
      </c>
    </row>
    <row r="620" customFormat="false" ht="15" hidden="false" customHeight="false" outlineLevel="0" collapsed="false">
      <c r="A620" s="14"/>
      <c r="B620" s="15"/>
      <c r="C620" s="14"/>
      <c r="D620" s="14"/>
      <c r="E620" s="14"/>
      <c r="F620" s="14"/>
      <c r="G620" s="14"/>
      <c r="H620" s="14"/>
      <c r="I620" s="16"/>
      <c r="J620" s="17"/>
      <c r="K620" s="14"/>
      <c r="L620" s="15"/>
      <c r="M620" s="17"/>
      <c r="N620" s="14"/>
      <c r="O620" s="15"/>
      <c r="P620" s="14"/>
      <c r="Q620" s="16"/>
      <c r="R620" s="13" t="str">
        <f aca="false">IF(AND(B620&lt;&gt;"",L620&lt;&gt;""),L620-B620,"")</f>
        <v/>
      </c>
      <c r="S620" s="13" t="str">
        <f aca="true">IF(B620="","",IF(O620&lt;&gt;"",O620-B620,TODAY()-B620))</f>
        <v/>
      </c>
      <c r="T620" s="13" t="str">
        <f aca="false">IF(A620="","",SUMIF('Time Log'!$C$5:$C$1004,A620,'Time Log'!$E$5:$E$1004))</f>
        <v/>
      </c>
    </row>
    <row r="621" customFormat="false" ht="15" hidden="false" customHeight="false" outlineLevel="0" collapsed="false">
      <c r="A621" s="14"/>
      <c r="B621" s="15"/>
      <c r="C621" s="14"/>
      <c r="D621" s="14"/>
      <c r="E621" s="14"/>
      <c r="F621" s="14"/>
      <c r="G621" s="14"/>
      <c r="H621" s="14"/>
      <c r="I621" s="16"/>
      <c r="J621" s="17"/>
      <c r="K621" s="14"/>
      <c r="L621" s="15"/>
      <c r="M621" s="17"/>
      <c r="N621" s="14"/>
      <c r="O621" s="15"/>
      <c r="P621" s="14"/>
      <c r="Q621" s="16"/>
      <c r="R621" s="13" t="str">
        <f aca="false">IF(AND(B621&lt;&gt;"",L621&lt;&gt;""),L621-B621,"")</f>
        <v/>
      </c>
      <c r="S621" s="13" t="str">
        <f aca="true">IF(B621="","",IF(O621&lt;&gt;"",O621-B621,TODAY()-B621))</f>
        <v/>
      </c>
      <c r="T621" s="13" t="str">
        <f aca="false">IF(A621="","",SUMIF('Time Log'!$C$5:$C$1004,A621,'Time Log'!$E$5:$E$1004))</f>
        <v/>
      </c>
    </row>
    <row r="622" customFormat="false" ht="15" hidden="false" customHeight="false" outlineLevel="0" collapsed="false">
      <c r="A622" s="14"/>
      <c r="B622" s="15"/>
      <c r="C622" s="14"/>
      <c r="D622" s="14"/>
      <c r="E622" s="14"/>
      <c r="F622" s="14"/>
      <c r="G622" s="14"/>
      <c r="H622" s="14"/>
      <c r="I622" s="16"/>
      <c r="J622" s="17"/>
      <c r="K622" s="14"/>
      <c r="L622" s="15"/>
      <c r="M622" s="17"/>
      <c r="N622" s="14"/>
      <c r="O622" s="15"/>
      <c r="P622" s="14"/>
      <c r="Q622" s="16"/>
      <c r="R622" s="13" t="str">
        <f aca="false">IF(AND(B622&lt;&gt;"",L622&lt;&gt;""),L622-B622,"")</f>
        <v/>
      </c>
      <c r="S622" s="13" t="str">
        <f aca="true">IF(B622="","",IF(O622&lt;&gt;"",O622-B622,TODAY()-B622))</f>
        <v/>
      </c>
      <c r="T622" s="13" t="str">
        <f aca="false">IF(A622="","",SUMIF('Time Log'!$C$5:$C$1004,A622,'Time Log'!$E$5:$E$1004))</f>
        <v/>
      </c>
    </row>
    <row r="623" customFormat="false" ht="15" hidden="false" customHeight="false" outlineLevel="0" collapsed="false">
      <c r="A623" s="14"/>
      <c r="B623" s="15"/>
      <c r="C623" s="14"/>
      <c r="D623" s="14"/>
      <c r="E623" s="14"/>
      <c r="F623" s="14"/>
      <c r="G623" s="14"/>
      <c r="H623" s="14"/>
      <c r="I623" s="16"/>
      <c r="J623" s="17"/>
      <c r="K623" s="14"/>
      <c r="L623" s="15"/>
      <c r="M623" s="17"/>
      <c r="N623" s="14"/>
      <c r="O623" s="15"/>
      <c r="P623" s="14"/>
      <c r="Q623" s="16"/>
      <c r="R623" s="13" t="str">
        <f aca="false">IF(AND(B623&lt;&gt;"",L623&lt;&gt;""),L623-B623,"")</f>
        <v/>
      </c>
      <c r="S623" s="13" t="str">
        <f aca="true">IF(B623="","",IF(O623&lt;&gt;"",O623-B623,TODAY()-B623))</f>
        <v/>
      </c>
      <c r="T623" s="13" t="str">
        <f aca="false">IF(A623="","",SUMIF('Time Log'!$C$5:$C$1004,A623,'Time Log'!$E$5:$E$1004))</f>
        <v/>
      </c>
    </row>
    <row r="624" customFormat="false" ht="15" hidden="false" customHeight="false" outlineLevel="0" collapsed="false">
      <c r="A624" s="14"/>
      <c r="B624" s="15"/>
      <c r="C624" s="14"/>
      <c r="D624" s="14"/>
      <c r="E624" s="14"/>
      <c r="F624" s="14"/>
      <c r="G624" s="14"/>
      <c r="H624" s="14"/>
      <c r="I624" s="16"/>
      <c r="J624" s="17"/>
      <c r="K624" s="14"/>
      <c r="L624" s="15"/>
      <c r="M624" s="17"/>
      <c r="N624" s="14"/>
      <c r="O624" s="15"/>
      <c r="P624" s="14"/>
      <c r="Q624" s="16"/>
      <c r="R624" s="13" t="str">
        <f aca="false">IF(AND(B624&lt;&gt;"",L624&lt;&gt;""),L624-B624,"")</f>
        <v/>
      </c>
      <c r="S624" s="13" t="str">
        <f aca="true">IF(B624="","",IF(O624&lt;&gt;"",O624-B624,TODAY()-B624))</f>
        <v/>
      </c>
      <c r="T624" s="13" t="str">
        <f aca="false">IF(A624="","",SUMIF('Time Log'!$C$5:$C$1004,A624,'Time Log'!$E$5:$E$1004))</f>
        <v/>
      </c>
    </row>
    <row r="625" customFormat="false" ht="15" hidden="false" customHeight="false" outlineLevel="0" collapsed="false">
      <c r="A625" s="14"/>
      <c r="B625" s="15"/>
      <c r="C625" s="14"/>
      <c r="D625" s="14"/>
      <c r="E625" s="14"/>
      <c r="F625" s="14"/>
      <c r="G625" s="14"/>
      <c r="H625" s="14"/>
      <c r="I625" s="16"/>
      <c r="J625" s="17"/>
      <c r="K625" s="14"/>
      <c r="L625" s="15"/>
      <c r="M625" s="17"/>
      <c r="N625" s="14"/>
      <c r="O625" s="15"/>
      <c r="P625" s="14"/>
      <c r="Q625" s="16"/>
      <c r="R625" s="13" t="str">
        <f aca="false">IF(AND(B625&lt;&gt;"",L625&lt;&gt;""),L625-B625,"")</f>
        <v/>
      </c>
      <c r="S625" s="13" t="str">
        <f aca="true">IF(B625="","",IF(O625&lt;&gt;"",O625-B625,TODAY()-B625))</f>
        <v/>
      </c>
      <c r="T625" s="13" t="str">
        <f aca="false">IF(A625="","",SUMIF('Time Log'!$C$5:$C$1004,A625,'Time Log'!$E$5:$E$1004))</f>
        <v/>
      </c>
    </row>
    <row r="626" customFormat="false" ht="15" hidden="false" customHeight="false" outlineLevel="0" collapsed="false">
      <c r="A626" s="14"/>
      <c r="B626" s="15"/>
      <c r="C626" s="14"/>
      <c r="D626" s="14"/>
      <c r="E626" s="14"/>
      <c r="F626" s="14"/>
      <c r="G626" s="14"/>
      <c r="H626" s="14"/>
      <c r="I626" s="16"/>
      <c r="J626" s="17"/>
      <c r="K626" s="14"/>
      <c r="L626" s="15"/>
      <c r="M626" s="17"/>
      <c r="N626" s="14"/>
      <c r="O626" s="15"/>
      <c r="P626" s="14"/>
      <c r="Q626" s="16"/>
      <c r="R626" s="13" t="str">
        <f aca="false">IF(AND(B626&lt;&gt;"",L626&lt;&gt;""),L626-B626,"")</f>
        <v/>
      </c>
      <c r="S626" s="13" t="str">
        <f aca="true">IF(B626="","",IF(O626&lt;&gt;"",O626-B626,TODAY()-B626))</f>
        <v/>
      </c>
      <c r="T626" s="13" t="str">
        <f aca="false">IF(A626="","",SUMIF('Time Log'!$C$5:$C$1004,A626,'Time Log'!$E$5:$E$1004))</f>
        <v/>
      </c>
    </row>
    <row r="627" customFormat="false" ht="15" hidden="false" customHeight="false" outlineLevel="0" collapsed="false">
      <c r="A627" s="14"/>
      <c r="B627" s="15"/>
      <c r="C627" s="14"/>
      <c r="D627" s="14"/>
      <c r="E627" s="14"/>
      <c r="F627" s="14"/>
      <c r="G627" s="14"/>
      <c r="H627" s="14"/>
      <c r="I627" s="16"/>
      <c r="J627" s="17"/>
      <c r="K627" s="14"/>
      <c r="L627" s="15"/>
      <c r="M627" s="17"/>
      <c r="N627" s="14"/>
      <c r="O627" s="15"/>
      <c r="P627" s="14"/>
      <c r="Q627" s="16"/>
      <c r="R627" s="13" t="str">
        <f aca="false">IF(AND(B627&lt;&gt;"",L627&lt;&gt;""),L627-B627,"")</f>
        <v/>
      </c>
      <c r="S627" s="13" t="str">
        <f aca="true">IF(B627="","",IF(O627&lt;&gt;"",O627-B627,TODAY()-B627))</f>
        <v/>
      </c>
      <c r="T627" s="13" t="str">
        <f aca="false">IF(A627="","",SUMIF('Time Log'!$C$5:$C$1004,A627,'Time Log'!$E$5:$E$1004))</f>
        <v/>
      </c>
    </row>
    <row r="628" customFormat="false" ht="15" hidden="false" customHeight="false" outlineLevel="0" collapsed="false">
      <c r="A628" s="14"/>
      <c r="B628" s="15"/>
      <c r="C628" s="14"/>
      <c r="D628" s="14"/>
      <c r="E628" s="14"/>
      <c r="F628" s="14"/>
      <c r="G628" s="14"/>
      <c r="H628" s="14"/>
      <c r="I628" s="16"/>
      <c r="J628" s="17"/>
      <c r="K628" s="14"/>
      <c r="L628" s="15"/>
      <c r="M628" s="17"/>
      <c r="N628" s="14"/>
      <c r="O628" s="15"/>
      <c r="P628" s="14"/>
      <c r="Q628" s="16"/>
      <c r="R628" s="13" t="str">
        <f aca="false">IF(AND(B628&lt;&gt;"",L628&lt;&gt;""),L628-B628,"")</f>
        <v/>
      </c>
      <c r="S628" s="13" t="str">
        <f aca="true">IF(B628="","",IF(O628&lt;&gt;"",O628-B628,TODAY()-B628))</f>
        <v/>
      </c>
      <c r="T628" s="13" t="str">
        <f aca="false">IF(A628="","",SUMIF('Time Log'!$C$5:$C$1004,A628,'Time Log'!$E$5:$E$1004))</f>
        <v/>
      </c>
    </row>
    <row r="629" customFormat="false" ht="15" hidden="false" customHeight="false" outlineLevel="0" collapsed="false">
      <c r="A629" s="14"/>
      <c r="B629" s="15"/>
      <c r="C629" s="14"/>
      <c r="D629" s="14"/>
      <c r="E629" s="14"/>
      <c r="F629" s="14"/>
      <c r="G629" s="14"/>
      <c r="H629" s="14"/>
      <c r="I629" s="16"/>
      <c r="J629" s="17"/>
      <c r="K629" s="14"/>
      <c r="L629" s="15"/>
      <c r="M629" s="17"/>
      <c r="N629" s="14"/>
      <c r="O629" s="15"/>
      <c r="P629" s="14"/>
      <c r="Q629" s="16"/>
      <c r="R629" s="13" t="str">
        <f aca="false">IF(AND(B629&lt;&gt;"",L629&lt;&gt;""),L629-B629,"")</f>
        <v/>
      </c>
      <c r="S629" s="13" t="str">
        <f aca="true">IF(B629="","",IF(O629&lt;&gt;"",O629-B629,TODAY()-B629))</f>
        <v/>
      </c>
      <c r="T629" s="13" t="str">
        <f aca="false">IF(A629="","",SUMIF('Time Log'!$C$5:$C$1004,A629,'Time Log'!$E$5:$E$1004))</f>
        <v/>
      </c>
    </row>
    <row r="630" customFormat="false" ht="15" hidden="false" customHeight="false" outlineLevel="0" collapsed="false">
      <c r="A630" s="14"/>
      <c r="B630" s="15"/>
      <c r="C630" s="14"/>
      <c r="D630" s="14"/>
      <c r="E630" s="14"/>
      <c r="F630" s="14"/>
      <c r="G630" s="14"/>
      <c r="H630" s="14"/>
      <c r="I630" s="16"/>
      <c r="J630" s="17"/>
      <c r="K630" s="14"/>
      <c r="L630" s="15"/>
      <c r="M630" s="17"/>
      <c r="N630" s="14"/>
      <c r="O630" s="15"/>
      <c r="P630" s="14"/>
      <c r="Q630" s="16"/>
      <c r="R630" s="13" t="str">
        <f aca="false">IF(AND(B630&lt;&gt;"",L630&lt;&gt;""),L630-B630,"")</f>
        <v/>
      </c>
      <c r="S630" s="13" t="str">
        <f aca="true">IF(B630="","",IF(O630&lt;&gt;"",O630-B630,TODAY()-B630))</f>
        <v/>
      </c>
      <c r="T630" s="13" t="str">
        <f aca="false">IF(A630="","",SUMIF('Time Log'!$C$5:$C$1004,A630,'Time Log'!$E$5:$E$1004))</f>
        <v/>
      </c>
    </row>
    <row r="631" customFormat="false" ht="15" hidden="false" customHeight="false" outlineLevel="0" collapsed="false">
      <c r="A631" s="14"/>
      <c r="B631" s="15"/>
      <c r="C631" s="14"/>
      <c r="D631" s="14"/>
      <c r="E631" s="14"/>
      <c r="F631" s="14"/>
      <c r="G631" s="14"/>
      <c r="H631" s="14"/>
      <c r="I631" s="16"/>
      <c r="J631" s="17"/>
      <c r="K631" s="14"/>
      <c r="L631" s="15"/>
      <c r="M631" s="17"/>
      <c r="N631" s="14"/>
      <c r="O631" s="15"/>
      <c r="P631" s="14"/>
      <c r="Q631" s="16"/>
      <c r="R631" s="13" t="str">
        <f aca="false">IF(AND(B631&lt;&gt;"",L631&lt;&gt;""),L631-B631,"")</f>
        <v/>
      </c>
      <c r="S631" s="13" t="str">
        <f aca="true">IF(B631="","",IF(O631&lt;&gt;"",O631-B631,TODAY()-B631))</f>
        <v/>
      </c>
      <c r="T631" s="13" t="str">
        <f aca="false">IF(A631="","",SUMIF('Time Log'!$C$5:$C$1004,A631,'Time Log'!$E$5:$E$1004))</f>
        <v/>
      </c>
    </row>
    <row r="632" customFormat="false" ht="15" hidden="false" customHeight="false" outlineLevel="0" collapsed="false">
      <c r="A632" s="14"/>
      <c r="B632" s="15"/>
      <c r="C632" s="14"/>
      <c r="D632" s="14"/>
      <c r="E632" s="14"/>
      <c r="F632" s="14"/>
      <c r="G632" s="14"/>
      <c r="H632" s="14"/>
      <c r="I632" s="16"/>
      <c r="J632" s="17"/>
      <c r="K632" s="14"/>
      <c r="L632" s="15"/>
      <c r="M632" s="17"/>
      <c r="N632" s="14"/>
      <c r="O632" s="15"/>
      <c r="P632" s="14"/>
      <c r="Q632" s="16"/>
      <c r="R632" s="13" t="str">
        <f aca="false">IF(AND(B632&lt;&gt;"",L632&lt;&gt;""),L632-B632,"")</f>
        <v/>
      </c>
      <c r="S632" s="13" t="str">
        <f aca="true">IF(B632="","",IF(O632&lt;&gt;"",O632-B632,TODAY()-B632))</f>
        <v/>
      </c>
      <c r="T632" s="13" t="str">
        <f aca="false">IF(A632="","",SUMIF('Time Log'!$C$5:$C$1004,A632,'Time Log'!$E$5:$E$1004))</f>
        <v/>
      </c>
    </row>
    <row r="633" customFormat="false" ht="15" hidden="false" customHeight="false" outlineLevel="0" collapsed="false">
      <c r="A633" s="14"/>
      <c r="B633" s="15"/>
      <c r="C633" s="14"/>
      <c r="D633" s="14"/>
      <c r="E633" s="14"/>
      <c r="F633" s="14"/>
      <c r="G633" s="14"/>
      <c r="H633" s="14"/>
      <c r="I633" s="16"/>
      <c r="J633" s="17"/>
      <c r="K633" s="14"/>
      <c r="L633" s="15"/>
      <c r="M633" s="17"/>
      <c r="N633" s="14"/>
      <c r="O633" s="15"/>
      <c r="P633" s="14"/>
      <c r="Q633" s="16"/>
      <c r="R633" s="13" t="str">
        <f aca="false">IF(AND(B633&lt;&gt;"",L633&lt;&gt;""),L633-B633,"")</f>
        <v/>
      </c>
      <c r="S633" s="13" t="str">
        <f aca="true">IF(B633="","",IF(O633&lt;&gt;"",O633-B633,TODAY()-B633))</f>
        <v/>
      </c>
      <c r="T633" s="13" t="str">
        <f aca="false">IF(A633="","",SUMIF('Time Log'!$C$5:$C$1004,A633,'Time Log'!$E$5:$E$1004))</f>
        <v/>
      </c>
    </row>
    <row r="634" customFormat="false" ht="15" hidden="false" customHeight="false" outlineLevel="0" collapsed="false">
      <c r="A634" s="14"/>
      <c r="B634" s="15"/>
      <c r="C634" s="14"/>
      <c r="D634" s="14"/>
      <c r="E634" s="14"/>
      <c r="F634" s="14"/>
      <c r="G634" s="14"/>
      <c r="H634" s="14"/>
      <c r="I634" s="16"/>
      <c r="J634" s="17"/>
      <c r="K634" s="14"/>
      <c r="L634" s="15"/>
      <c r="M634" s="17"/>
      <c r="N634" s="14"/>
      <c r="O634" s="15"/>
      <c r="P634" s="14"/>
      <c r="Q634" s="16"/>
      <c r="R634" s="13" t="str">
        <f aca="false">IF(AND(B634&lt;&gt;"",L634&lt;&gt;""),L634-B634,"")</f>
        <v/>
      </c>
      <c r="S634" s="13" t="str">
        <f aca="true">IF(B634="","",IF(O634&lt;&gt;"",O634-B634,TODAY()-B634))</f>
        <v/>
      </c>
      <c r="T634" s="13" t="str">
        <f aca="false">IF(A634="","",SUMIF('Time Log'!$C$5:$C$1004,A634,'Time Log'!$E$5:$E$1004))</f>
        <v/>
      </c>
    </row>
    <row r="635" customFormat="false" ht="15" hidden="false" customHeight="false" outlineLevel="0" collapsed="false">
      <c r="A635" s="14"/>
      <c r="B635" s="15"/>
      <c r="C635" s="14"/>
      <c r="D635" s="14"/>
      <c r="E635" s="14"/>
      <c r="F635" s="14"/>
      <c r="G635" s="14"/>
      <c r="H635" s="14"/>
      <c r="I635" s="16"/>
      <c r="J635" s="17"/>
      <c r="K635" s="14"/>
      <c r="L635" s="15"/>
      <c r="M635" s="17"/>
      <c r="N635" s="14"/>
      <c r="O635" s="15"/>
      <c r="P635" s="14"/>
      <c r="Q635" s="16"/>
      <c r="R635" s="13" t="str">
        <f aca="false">IF(AND(B635&lt;&gt;"",L635&lt;&gt;""),L635-B635,"")</f>
        <v/>
      </c>
      <c r="S635" s="13" t="str">
        <f aca="true">IF(B635="","",IF(O635&lt;&gt;"",O635-B635,TODAY()-B635))</f>
        <v/>
      </c>
      <c r="T635" s="13" t="str">
        <f aca="false">IF(A635="","",SUMIF('Time Log'!$C$5:$C$1004,A635,'Time Log'!$E$5:$E$1004))</f>
        <v/>
      </c>
    </row>
    <row r="636" customFormat="false" ht="15" hidden="false" customHeight="false" outlineLevel="0" collapsed="false">
      <c r="A636" s="14"/>
      <c r="B636" s="15"/>
      <c r="C636" s="14"/>
      <c r="D636" s="14"/>
      <c r="E636" s="14"/>
      <c r="F636" s="14"/>
      <c r="G636" s="14"/>
      <c r="H636" s="14"/>
      <c r="I636" s="16"/>
      <c r="J636" s="17"/>
      <c r="K636" s="14"/>
      <c r="L636" s="15"/>
      <c r="M636" s="17"/>
      <c r="N636" s="14"/>
      <c r="O636" s="15"/>
      <c r="P636" s="14"/>
      <c r="Q636" s="16"/>
      <c r="R636" s="13" t="str">
        <f aca="false">IF(AND(B636&lt;&gt;"",L636&lt;&gt;""),L636-B636,"")</f>
        <v/>
      </c>
      <c r="S636" s="13" t="str">
        <f aca="true">IF(B636="","",IF(O636&lt;&gt;"",O636-B636,TODAY()-B636))</f>
        <v/>
      </c>
      <c r="T636" s="13" t="str">
        <f aca="false">IF(A636="","",SUMIF('Time Log'!$C$5:$C$1004,A636,'Time Log'!$E$5:$E$1004))</f>
        <v/>
      </c>
    </row>
    <row r="637" customFormat="false" ht="15" hidden="false" customHeight="false" outlineLevel="0" collapsed="false">
      <c r="A637" s="14"/>
      <c r="B637" s="15"/>
      <c r="C637" s="14"/>
      <c r="D637" s="14"/>
      <c r="E637" s="14"/>
      <c r="F637" s="14"/>
      <c r="G637" s="14"/>
      <c r="H637" s="14"/>
      <c r="I637" s="16"/>
      <c r="J637" s="17"/>
      <c r="K637" s="14"/>
      <c r="L637" s="15"/>
      <c r="M637" s="17"/>
      <c r="N637" s="14"/>
      <c r="O637" s="15"/>
      <c r="P637" s="14"/>
      <c r="Q637" s="16"/>
      <c r="R637" s="13" t="str">
        <f aca="false">IF(AND(B637&lt;&gt;"",L637&lt;&gt;""),L637-B637,"")</f>
        <v/>
      </c>
      <c r="S637" s="13" t="str">
        <f aca="true">IF(B637="","",IF(O637&lt;&gt;"",O637-B637,TODAY()-B637))</f>
        <v/>
      </c>
      <c r="T637" s="13" t="str">
        <f aca="false">IF(A637="","",SUMIF('Time Log'!$C$5:$C$1004,A637,'Time Log'!$E$5:$E$1004))</f>
        <v/>
      </c>
    </row>
    <row r="638" customFormat="false" ht="15" hidden="false" customHeight="false" outlineLevel="0" collapsed="false">
      <c r="A638" s="14"/>
      <c r="B638" s="15"/>
      <c r="C638" s="14"/>
      <c r="D638" s="14"/>
      <c r="E638" s="14"/>
      <c r="F638" s="14"/>
      <c r="G638" s="14"/>
      <c r="H638" s="14"/>
      <c r="I638" s="16"/>
      <c r="J638" s="17"/>
      <c r="K638" s="14"/>
      <c r="L638" s="15"/>
      <c r="M638" s="17"/>
      <c r="N638" s="14"/>
      <c r="O638" s="15"/>
      <c r="P638" s="14"/>
      <c r="Q638" s="16"/>
      <c r="R638" s="13" t="str">
        <f aca="false">IF(AND(B638&lt;&gt;"",L638&lt;&gt;""),L638-B638,"")</f>
        <v/>
      </c>
      <c r="S638" s="13" t="str">
        <f aca="true">IF(B638="","",IF(O638&lt;&gt;"",O638-B638,TODAY()-B638))</f>
        <v/>
      </c>
      <c r="T638" s="13" t="str">
        <f aca="false">IF(A638="","",SUMIF('Time Log'!$C$5:$C$1004,A638,'Time Log'!$E$5:$E$1004))</f>
        <v/>
      </c>
    </row>
    <row r="639" customFormat="false" ht="15" hidden="false" customHeight="false" outlineLevel="0" collapsed="false">
      <c r="A639" s="14"/>
      <c r="B639" s="15"/>
      <c r="C639" s="14"/>
      <c r="D639" s="14"/>
      <c r="E639" s="14"/>
      <c r="F639" s="14"/>
      <c r="G639" s="14"/>
      <c r="H639" s="14"/>
      <c r="I639" s="16"/>
      <c r="J639" s="17"/>
      <c r="K639" s="14"/>
      <c r="L639" s="15"/>
      <c r="M639" s="17"/>
      <c r="N639" s="14"/>
      <c r="O639" s="15"/>
      <c r="P639" s="14"/>
      <c r="Q639" s="16"/>
      <c r="R639" s="13" t="str">
        <f aca="false">IF(AND(B639&lt;&gt;"",L639&lt;&gt;""),L639-B639,"")</f>
        <v/>
      </c>
      <c r="S639" s="13" t="str">
        <f aca="true">IF(B639="","",IF(O639&lt;&gt;"",O639-B639,TODAY()-B639))</f>
        <v/>
      </c>
      <c r="T639" s="13" t="str">
        <f aca="false">IF(A639="","",SUMIF('Time Log'!$C$5:$C$1004,A639,'Time Log'!$E$5:$E$1004))</f>
        <v/>
      </c>
    </row>
    <row r="640" customFormat="false" ht="15" hidden="false" customHeight="false" outlineLevel="0" collapsed="false">
      <c r="A640" s="14"/>
      <c r="B640" s="15"/>
      <c r="C640" s="14"/>
      <c r="D640" s="14"/>
      <c r="E640" s="14"/>
      <c r="F640" s="14"/>
      <c r="G640" s="14"/>
      <c r="H640" s="14"/>
      <c r="I640" s="16"/>
      <c r="J640" s="17"/>
      <c r="K640" s="14"/>
      <c r="L640" s="15"/>
      <c r="M640" s="17"/>
      <c r="N640" s="14"/>
      <c r="O640" s="15"/>
      <c r="P640" s="14"/>
      <c r="Q640" s="16"/>
      <c r="R640" s="13" t="str">
        <f aca="false">IF(AND(B640&lt;&gt;"",L640&lt;&gt;""),L640-B640,"")</f>
        <v/>
      </c>
      <c r="S640" s="13" t="str">
        <f aca="true">IF(B640="","",IF(O640&lt;&gt;"",O640-B640,TODAY()-B640))</f>
        <v/>
      </c>
      <c r="T640" s="13" t="str">
        <f aca="false">IF(A640="","",SUMIF('Time Log'!$C$5:$C$1004,A640,'Time Log'!$E$5:$E$1004))</f>
        <v/>
      </c>
    </row>
    <row r="641" customFormat="false" ht="15" hidden="false" customHeight="false" outlineLevel="0" collapsed="false">
      <c r="A641" s="14"/>
      <c r="B641" s="15"/>
      <c r="C641" s="14"/>
      <c r="D641" s="14"/>
      <c r="E641" s="14"/>
      <c r="F641" s="14"/>
      <c r="G641" s="14"/>
      <c r="H641" s="14"/>
      <c r="I641" s="16"/>
      <c r="J641" s="17"/>
      <c r="K641" s="14"/>
      <c r="L641" s="15"/>
      <c r="M641" s="17"/>
      <c r="N641" s="14"/>
      <c r="O641" s="15"/>
      <c r="P641" s="14"/>
      <c r="Q641" s="16"/>
      <c r="R641" s="13" t="str">
        <f aca="false">IF(AND(B641&lt;&gt;"",L641&lt;&gt;""),L641-B641,"")</f>
        <v/>
      </c>
      <c r="S641" s="13" t="str">
        <f aca="true">IF(B641="","",IF(O641&lt;&gt;"",O641-B641,TODAY()-B641))</f>
        <v/>
      </c>
      <c r="T641" s="13" t="str">
        <f aca="false">IF(A641="","",SUMIF('Time Log'!$C$5:$C$1004,A641,'Time Log'!$E$5:$E$1004))</f>
        <v/>
      </c>
    </row>
    <row r="642" customFormat="false" ht="15" hidden="false" customHeight="false" outlineLevel="0" collapsed="false">
      <c r="A642" s="14"/>
      <c r="B642" s="15"/>
      <c r="C642" s="14"/>
      <c r="D642" s="14"/>
      <c r="E642" s="14"/>
      <c r="F642" s="14"/>
      <c r="G642" s="14"/>
      <c r="H642" s="14"/>
      <c r="I642" s="16"/>
      <c r="J642" s="17"/>
      <c r="K642" s="14"/>
      <c r="L642" s="15"/>
      <c r="M642" s="17"/>
      <c r="N642" s="14"/>
      <c r="O642" s="15"/>
      <c r="P642" s="14"/>
      <c r="Q642" s="16"/>
      <c r="R642" s="13" t="str">
        <f aca="false">IF(AND(B642&lt;&gt;"",L642&lt;&gt;""),L642-B642,"")</f>
        <v/>
      </c>
      <c r="S642" s="13" t="str">
        <f aca="true">IF(B642="","",IF(O642&lt;&gt;"",O642-B642,TODAY()-B642))</f>
        <v/>
      </c>
      <c r="T642" s="13" t="str">
        <f aca="false">IF(A642="","",SUMIF('Time Log'!$C$5:$C$1004,A642,'Time Log'!$E$5:$E$1004))</f>
        <v/>
      </c>
    </row>
    <row r="643" customFormat="false" ht="15" hidden="false" customHeight="false" outlineLevel="0" collapsed="false">
      <c r="A643" s="14"/>
      <c r="B643" s="15"/>
      <c r="C643" s="14"/>
      <c r="D643" s="14"/>
      <c r="E643" s="14"/>
      <c r="F643" s="14"/>
      <c r="G643" s="14"/>
      <c r="H643" s="14"/>
      <c r="I643" s="16"/>
      <c r="J643" s="17"/>
      <c r="K643" s="14"/>
      <c r="L643" s="15"/>
      <c r="M643" s="17"/>
      <c r="N643" s="14"/>
      <c r="O643" s="15"/>
      <c r="P643" s="14"/>
      <c r="Q643" s="16"/>
      <c r="R643" s="13" t="str">
        <f aca="false">IF(AND(B643&lt;&gt;"",L643&lt;&gt;""),L643-B643,"")</f>
        <v/>
      </c>
      <c r="S643" s="13" t="str">
        <f aca="true">IF(B643="","",IF(O643&lt;&gt;"",O643-B643,TODAY()-B643))</f>
        <v/>
      </c>
      <c r="T643" s="13" t="str">
        <f aca="false">IF(A643="","",SUMIF('Time Log'!$C$5:$C$1004,A643,'Time Log'!$E$5:$E$1004))</f>
        <v/>
      </c>
    </row>
    <row r="644" customFormat="false" ht="15" hidden="false" customHeight="false" outlineLevel="0" collapsed="false">
      <c r="A644" s="14"/>
      <c r="B644" s="15"/>
      <c r="C644" s="14"/>
      <c r="D644" s="14"/>
      <c r="E644" s="14"/>
      <c r="F644" s="14"/>
      <c r="G644" s="14"/>
      <c r="H644" s="14"/>
      <c r="I644" s="16"/>
      <c r="J644" s="17"/>
      <c r="K644" s="14"/>
      <c r="L644" s="15"/>
      <c r="M644" s="17"/>
      <c r="N644" s="14"/>
      <c r="O644" s="15"/>
      <c r="P644" s="14"/>
      <c r="Q644" s="16"/>
      <c r="R644" s="13" t="str">
        <f aca="false">IF(AND(B644&lt;&gt;"",L644&lt;&gt;""),L644-B644,"")</f>
        <v/>
      </c>
      <c r="S644" s="13" t="str">
        <f aca="true">IF(B644="","",IF(O644&lt;&gt;"",O644-B644,TODAY()-B644))</f>
        <v/>
      </c>
      <c r="T644" s="13" t="str">
        <f aca="false">IF(A644="","",SUMIF('Time Log'!$C$5:$C$1004,A644,'Time Log'!$E$5:$E$1004))</f>
        <v/>
      </c>
    </row>
    <row r="645" customFormat="false" ht="15" hidden="false" customHeight="false" outlineLevel="0" collapsed="false">
      <c r="A645" s="14"/>
      <c r="B645" s="15"/>
      <c r="C645" s="14"/>
      <c r="D645" s="14"/>
      <c r="E645" s="14"/>
      <c r="F645" s="14"/>
      <c r="G645" s="14"/>
      <c r="H645" s="14"/>
      <c r="I645" s="16"/>
      <c r="J645" s="17"/>
      <c r="K645" s="14"/>
      <c r="L645" s="15"/>
      <c r="M645" s="17"/>
      <c r="N645" s="14"/>
      <c r="O645" s="15"/>
      <c r="P645" s="14"/>
      <c r="Q645" s="16"/>
      <c r="R645" s="13" t="str">
        <f aca="false">IF(AND(B645&lt;&gt;"",L645&lt;&gt;""),L645-B645,"")</f>
        <v/>
      </c>
      <c r="S645" s="13" t="str">
        <f aca="true">IF(B645="","",IF(O645&lt;&gt;"",O645-B645,TODAY()-B645))</f>
        <v/>
      </c>
      <c r="T645" s="13" t="str">
        <f aca="false">IF(A645="","",SUMIF('Time Log'!$C$5:$C$1004,A645,'Time Log'!$E$5:$E$1004))</f>
        <v/>
      </c>
    </row>
    <row r="646" customFormat="false" ht="15" hidden="false" customHeight="false" outlineLevel="0" collapsed="false">
      <c r="A646" s="14"/>
      <c r="B646" s="15"/>
      <c r="C646" s="14"/>
      <c r="D646" s="14"/>
      <c r="E646" s="14"/>
      <c r="F646" s="14"/>
      <c r="G646" s="14"/>
      <c r="H646" s="14"/>
      <c r="I646" s="16"/>
      <c r="J646" s="17"/>
      <c r="K646" s="14"/>
      <c r="L646" s="15"/>
      <c r="M646" s="17"/>
      <c r="N646" s="14"/>
      <c r="O646" s="15"/>
      <c r="P646" s="14"/>
      <c r="Q646" s="16"/>
      <c r="R646" s="13" t="str">
        <f aca="false">IF(AND(B646&lt;&gt;"",L646&lt;&gt;""),L646-B646,"")</f>
        <v/>
      </c>
      <c r="S646" s="13" t="str">
        <f aca="true">IF(B646="","",IF(O646&lt;&gt;"",O646-B646,TODAY()-B646))</f>
        <v/>
      </c>
      <c r="T646" s="13" t="str">
        <f aca="false">IF(A646="","",SUMIF('Time Log'!$C$5:$C$1004,A646,'Time Log'!$E$5:$E$1004))</f>
        <v/>
      </c>
    </row>
    <row r="647" customFormat="false" ht="15" hidden="false" customHeight="false" outlineLevel="0" collapsed="false">
      <c r="A647" s="14"/>
      <c r="B647" s="15"/>
      <c r="C647" s="14"/>
      <c r="D647" s="14"/>
      <c r="E647" s="14"/>
      <c r="F647" s="14"/>
      <c r="G647" s="14"/>
      <c r="H647" s="14"/>
      <c r="I647" s="16"/>
      <c r="J647" s="17"/>
      <c r="K647" s="14"/>
      <c r="L647" s="15"/>
      <c r="M647" s="17"/>
      <c r="N647" s="14"/>
      <c r="O647" s="15"/>
      <c r="P647" s="14"/>
      <c r="Q647" s="16"/>
      <c r="R647" s="13" t="str">
        <f aca="false">IF(AND(B647&lt;&gt;"",L647&lt;&gt;""),L647-B647,"")</f>
        <v/>
      </c>
      <c r="S647" s="13" t="str">
        <f aca="true">IF(B647="","",IF(O647&lt;&gt;"",O647-B647,TODAY()-B647))</f>
        <v/>
      </c>
      <c r="T647" s="13" t="str">
        <f aca="false">IF(A647="","",SUMIF('Time Log'!$C$5:$C$1004,A647,'Time Log'!$E$5:$E$1004))</f>
        <v/>
      </c>
    </row>
    <row r="648" customFormat="false" ht="15" hidden="false" customHeight="false" outlineLevel="0" collapsed="false">
      <c r="A648" s="14"/>
      <c r="B648" s="15"/>
      <c r="C648" s="14"/>
      <c r="D648" s="14"/>
      <c r="E648" s="14"/>
      <c r="F648" s="14"/>
      <c r="G648" s="14"/>
      <c r="H648" s="14"/>
      <c r="I648" s="16"/>
      <c r="J648" s="17"/>
      <c r="K648" s="14"/>
      <c r="L648" s="15"/>
      <c r="M648" s="17"/>
      <c r="N648" s="14"/>
      <c r="O648" s="15"/>
      <c r="P648" s="14"/>
      <c r="Q648" s="16"/>
      <c r="R648" s="13" t="str">
        <f aca="false">IF(AND(B648&lt;&gt;"",L648&lt;&gt;""),L648-B648,"")</f>
        <v/>
      </c>
      <c r="S648" s="13" t="str">
        <f aca="true">IF(B648="","",IF(O648&lt;&gt;"",O648-B648,TODAY()-B648))</f>
        <v/>
      </c>
      <c r="T648" s="13" t="str">
        <f aca="false">IF(A648="","",SUMIF('Time Log'!$C$5:$C$1004,A648,'Time Log'!$E$5:$E$1004))</f>
        <v/>
      </c>
    </row>
    <row r="649" customFormat="false" ht="15" hidden="false" customHeight="false" outlineLevel="0" collapsed="false">
      <c r="A649" s="14"/>
      <c r="B649" s="15"/>
      <c r="C649" s="14"/>
      <c r="D649" s="14"/>
      <c r="E649" s="14"/>
      <c r="F649" s="14"/>
      <c r="G649" s="14"/>
      <c r="H649" s="14"/>
      <c r="I649" s="16"/>
      <c r="J649" s="17"/>
      <c r="K649" s="14"/>
      <c r="L649" s="15"/>
      <c r="M649" s="17"/>
      <c r="N649" s="14"/>
      <c r="O649" s="15"/>
      <c r="P649" s="14"/>
      <c r="Q649" s="16"/>
      <c r="R649" s="13" t="str">
        <f aca="false">IF(AND(B649&lt;&gt;"",L649&lt;&gt;""),L649-B649,"")</f>
        <v/>
      </c>
      <c r="S649" s="13" t="str">
        <f aca="true">IF(B649="","",IF(O649&lt;&gt;"",O649-B649,TODAY()-B649))</f>
        <v/>
      </c>
      <c r="T649" s="13" t="str">
        <f aca="false">IF(A649="","",SUMIF('Time Log'!$C$5:$C$1004,A649,'Time Log'!$E$5:$E$1004))</f>
        <v/>
      </c>
    </row>
    <row r="650" customFormat="false" ht="15" hidden="false" customHeight="false" outlineLevel="0" collapsed="false">
      <c r="A650" s="14"/>
      <c r="B650" s="15"/>
      <c r="C650" s="14"/>
      <c r="D650" s="14"/>
      <c r="E650" s="14"/>
      <c r="F650" s="14"/>
      <c r="G650" s="14"/>
      <c r="H650" s="14"/>
      <c r="I650" s="16"/>
      <c r="J650" s="17"/>
      <c r="K650" s="14"/>
      <c r="L650" s="15"/>
      <c r="M650" s="17"/>
      <c r="N650" s="14"/>
      <c r="O650" s="15"/>
      <c r="P650" s="14"/>
      <c r="Q650" s="16"/>
      <c r="R650" s="13" t="str">
        <f aca="false">IF(AND(B650&lt;&gt;"",L650&lt;&gt;""),L650-B650,"")</f>
        <v/>
      </c>
      <c r="S650" s="13" t="str">
        <f aca="true">IF(B650="","",IF(O650&lt;&gt;"",O650-B650,TODAY()-B650))</f>
        <v/>
      </c>
      <c r="T650" s="13" t="str">
        <f aca="false">IF(A650="","",SUMIF('Time Log'!$C$5:$C$1004,A650,'Time Log'!$E$5:$E$1004))</f>
        <v/>
      </c>
    </row>
    <row r="651" customFormat="false" ht="15" hidden="false" customHeight="false" outlineLevel="0" collapsed="false">
      <c r="A651" s="14"/>
      <c r="B651" s="15"/>
      <c r="C651" s="14"/>
      <c r="D651" s="14"/>
      <c r="E651" s="14"/>
      <c r="F651" s="14"/>
      <c r="G651" s="14"/>
      <c r="H651" s="14"/>
      <c r="I651" s="16"/>
      <c r="J651" s="17"/>
      <c r="K651" s="14"/>
      <c r="L651" s="15"/>
      <c r="M651" s="17"/>
      <c r="N651" s="14"/>
      <c r="O651" s="15"/>
      <c r="P651" s="14"/>
      <c r="Q651" s="16"/>
      <c r="R651" s="13" t="str">
        <f aca="false">IF(AND(B651&lt;&gt;"",L651&lt;&gt;""),L651-B651,"")</f>
        <v/>
      </c>
      <c r="S651" s="13" t="str">
        <f aca="true">IF(B651="","",IF(O651&lt;&gt;"",O651-B651,TODAY()-B651))</f>
        <v/>
      </c>
      <c r="T651" s="13" t="str">
        <f aca="false">IF(A651="","",SUMIF('Time Log'!$C$5:$C$1004,A651,'Time Log'!$E$5:$E$1004))</f>
        <v/>
      </c>
    </row>
    <row r="652" customFormat="false" ht="15" hidden="false" customHeight="false" outlineLevel="0" collapsed="false">
      <c r="A652" s="14"/>
      <c r="B652" s="15"/>
      <c r="C652" s="14"/>
      <c r="D652" s="14"/>
      <c r="E652" s="14"/>
      <c r="F652" s="14"/>
      <c r="G652" s="14"/>
      <c r="H652" s="14"/>
      <c r="I652" s="16"/>
      <c r="J652" s="17"/>
      <c r="K652" s="14"/>
      <c r="L652" s="15"/>
      <c r="M652" s="17"/>
      <c r="N652" s="14"/>
      <c r="O652" s="15"/>
      <c r="P652" s="14"/>
      <c r="Q652" s="16"/>
      <c r="R652" s="13" t="str">
        <f aca="false">IF(AND(B652&lt;&gt;"",L652&lt;&gt;""),L652-B652,"")</f>
        <v/>
      </c>
      <c r="S652" s="13" t="str">
        <f aca="true">IF(B652="","",IF(O652&lt;&gt;"",O652-B652,TODAY()-B652))</f>
        <v/>
      </c>
      <c r="T652" s="13" t="str">
        <f aca="false">IF(A652="","",SUMIF('Time Log'!$C$5:$C$1004,A652,'Time Log'!$E$5:$E$1004))</f>
        <v/>
      </c>
    </row>
    <row r="653" customFormat="false" ht="15" hidden="false" customHeight="false" outlineLevel="0" collapsed="false">
      <c r="A653" s="14"/>
      <c r="B653" s="15"/>
      <c r="C653" s="14"/>
      <c r="D653" s="14"/>
      <c r="E653" s="14"/>
      <c r="F653" s="14"/>
      <c r="G653" s="14"/>
      <c r="H653" s="14"/>
      <c r="I653" s="16"/>
      <c r="J653" s="17"/>
      <c r="K653" s="14"/>
      <c r="L653" s="15"/>
      <c r="M653" s="17"/>
      <c r="N653" s="14"/>
      <c r="O653" s="15"/>
      <c r="P653" s="14"/>
      <c r="Q653" s="16"/>
      <c r="R653" s="13" t="str">
        <f aca="false">IF(AND(B653&lt;&gt;"",L653&lt;&gt;""),L653-B653,"")</f>
        <v/>
      </c>
      <c r="S653" s="13" t="str">
        <f aca="true">IF(B653="","",IF(O653&lt;&gt;"",O653-B653,TODAY()-B653))</f>
        <v/>
      </c>
      <c r="T653" s="13" t="str">
        <f aca="false">IF(A653="","",SUMIF('Time Log'!$C$5:$C$1004,A653,'Time Log'!$E$5:$E$1004))</f>
        <v/>
      </c>
    </row>
    <row r="654" customFormat="false" ht="15" hidden="false" customHeight="false" outlineLevel="0" collapsed="false">
      <c r="A654" s="14"/>
      <c r="B654" s="15"/>
      <c r="C654" s="14"/>
      <c r="D654" s="14"/>
      <c r="E654" s="14"/>
      <c r="F654" s="14"/>
      <c r="G654" s="14"/>
      <c r="H654" s="14"/>
      <c r="I654" s="16"/>
      <c r="J654" s="17"/>
      <c r="K654" s="14"/>
      <c r="L654" s="15"/>
      <c r="M654" s="17"/>
      <c r="N654" s="14"/>
      <c r="O654" s="15"/>
      <c r="P654" s="14"/>
      <c r="Q654" s="16"/>
      <c r="R654" s="13" t="str">
        <f aca="false">IF(AND(B654&lt;&gt;"",L654&lt;&gt;""),L654-B654,"")</f>
        <v/>
      </c>
      <c r="S654" s="13" t="str">
        <f aca="true">IF(B654="","",IF(O654&lt;&gt;"",O654-B654,TODAY()-B654))</f>
        <v/>
      </c>
      <c r="T654" s="13" t="str">
        <f aca="false">IF(A654="","",SUMIF('Time Log'!$C$5:$C$1004,A654,'Time Log'!$E$5:$E$1004))</f>
        <v/>
      </c>
    </row>
    <row r="655" customFormat="false" ht="15" hidden="false" customHeight="false" outlineLevel="0" collapsed="false">
      <c r="A655" s="14"/>
      <c r="B655" s="15"/>
      <c r="C655" s="14"/>
      <c r="D655" s="14"/>
      <c r="E655" s="14"/>
      <c r="F655" s="14"/>
      <c r="G655" s="14"/>
      <c r="H655" s="14"/>
      <c r="I655" s="16"/>
      <c r="J655" s="17"/>
      <c r="K655" s="14"/>
      <c r="L655" s="15"/>
      <c r="M655" s="17"/>
      <c r="N655" s="14"/>
      <c r="O655" s="15"/>
      <c r="P655" s="14"/>
      <c r="Q655" s="16"/>
      <c r="R655" s="13" t="str">
        <f aca="false">IF(AND(B655&lt;&gt;"",L655&lt;&gt;""),L655-B655,"")</f>
        <v/>
      </c>
      <c r="S655" s="13" t="str">
        <f aca="true">IF(B655="","",IF(O655&lt;&gt;"",O655-B655,TODAY()-B655))</f>
        <v/>
      </c>
      <c r="T655" s="13" t="str">
        <f aca="false">IF(A655="","",SUMIF('Time Log'!$C$5:$C$1004,A655,'Time Log'!$E$5:$E$1004))</f>
        <v/>
      </c>
    </row>
    <row r="656" customFormat="false" ht="15" hidden="false" customHeight="false" outlineLevel="0" collapsed="false">
      <c r="A656" s="14"/>
      <c r="B656" s="15"/>
      <c r="C656" s="14"/>
      <c r="D656" s="14"/>
      <c r="E656" s="14"/>
      <c r="F656" s="14"/>
      <c r="G656" s="14"/>
      <c r="H656" s="14"/>
      <c r="I656" s="16"/>
      <c r="J656" s="17"/>
      <c r="K656" s="14"/>
      <c r="L656" s="15"/>
      <c r="M656" s="17"/>
      <c r="N656" s="14"/>
      <c r="O656" s="15"/>
      <c r="P656" s="14"/>
      <c r="Q656" s="16"/>
      <c r="R656" s="13" t="str">
        <f aca="false">IF(AND(B656&lt;&gt;"",L656&lt;&gt;""),L656-B656,"")</f>
        <v/>
      </c>
      <c r="S656" s="13" t="str">
        <f aca="true">IF(B656="","",IF(O656&lt;&gt;"",O656-B656,TODAY()-B656))</f>
        <v/>
      </c>
      <c r="T656" s="13" t="str">
        <f aca="false">IF(A656="","",SUMIF('Time Log'!$C$5:$C$1004,A656,'Time Log'!$E$5:$E$1004))</f>
        <v/>
      </c>
    </row>
    <row r="657" customFormat="false" ht="15" hidden="false" customHeight="false" outlineLevel="0" collapsed="false">
      <c r="A657" s="14"/>
      <c r="B657" s="15"/>
      <c r="C657" s="14"/>
      <c r="D657" s="14"/>
      <c r="E657" s="14"/>
      <c r="F657" s="14"/>
      <c r="G657" s="14"/>
      <c r="H657" s="14"/>
      <c r="I657" s="16"/>
      <c r="J657" s="17"/>
      <c r="K657" s="14"/>
      <c r="L657" s="15"/>
      <c r="M657" s="17"/>
      <c r="N657" s="14"/>
      <c r="O657" s="15"/>
      <c r="P657" s="14"/>
      <c r="Q657" s="16"/>
      <c r="R657" s="13" t="str">
        <f aca="false">IF(AND(B657&lt;&gt;"",L657&lt;&gt;""),L657-B657,"")</f>
        <v/>
      </c>
      <c r="S657" s="13" t="str">
        <f aca="true">IF(B657="","",IF(O657&lt;&gt;"",O657-B657,TODAY()-B657))</f>
        <v/>
      </c>
      <c r="T657" s="13" t="str">
        <f aca="false">IF(A657="","",SUMIF('Time Log'!$C$5:$C$1004,A657,'Time Log'!$E$5:$E$1004))</f>
        <v/>
      </c>
    </row>
    <row r="658" customFormat="false" ht="15" hidden="false" customHeight="false" outlineLevel="0" collapsed="false">
      <c r="A658" s="14"/>
      <c r="B658" s="15"/>
      <c r="C658" s="14"/>
      <c r="D658" s="14"/>
      <c r="E658" s="14"/>
      <c r="F658" s="14"/>
      <c r="G658" s="14"/>
      <c r="H658" s="14"/>
      <c r="I658" s="16"/>
      <c r="J658" s="17"/>
      <c r="K658" s="14"/>
      <c r="L658" s="15"/>
      <c r="M658" s="17"/>
      <c r="N658" s="14"/>
      <c r="O658" s="15"/>
      <c r="P658" s="14"/>
      <c r="Q658" s="16"/>
      <c r="R658" s="13" t="str">
        <f aca="false">IF(AND(B658&lt;&gt;"",L658&lt;&gt;""),L658-B658,"")</f>
        <v/>
      </c>
      <c r="S658" s="13" t="str">
        <f aca="true">IF(B658="","",IF(O658&lt;&gt;"",O658-B658,TODAY()-B658))</f>
        <v/>
      </c>
      <c r="T658" s="13" t="str">
        <f aca="false">IF(A658="","",SUMIF('Time Log'!$C$5:$C$1004,A658,'Time Log'!$E$5:$E$1004))</f>
        <v/>
      </c>
    </row>
    <row r="659" customFormat="false" ht="15" hidden="false" customHeight="false" outlineLevel="0" collapsed="false">
      <c r="A659" s="14"/>
      <c r="B659" s="15"/>
      <c r="C659" s="14"/>
      <c r="D659" s="14"/>
      <c r="E659" s="14"/>
      <c r="F659" s="14"/>
      <c r="G659" s="14"/>
      <c r="H659" s="14"/>
      <c r="I659" s="16"/>
      <c r="J659" s="17"/>
      <c r="K659" s="14"/>
      <c r="L659" s="15"/>
      <c r="M659" s="17"/>
      <c r="N659" s="14"/>
      <c r="O659" s="15"/>
      <c r="P659" s="14"/>
      <c r="Q659" s="16"/>
      <c r="R659" s="13" t="str">
        <f aca="false">IF(AND(B659&lt;&gt;"",L659&lt;&gt;""),L659-B659,"")</f>
        <v/>
      </c>
      <c r="S659" s="13" t="str">
        <f aca="true">IF(B659="","",IF(O659&lt;&gt;"",O659-B659,TODAY()-B659))</f>
        <v/>
      </c>
      <c r="T659" s="13" t="str">
        <f aca="false">IF(A659="","",SUMIF('Time Log'!$C$5:$C$1004,A659,'Time Log'!$E$5:$E$1004))</f>
        <v/>
      </c>
    </row>
    <row r="660" customFormat="false" ht="15" hidden="false" customHeight="false" outlineLevel="0" collapsed="false">
      <c r="A660" s="14"/>
      <c r="B660" s="15"/>
      <c r="C660" s="14"/>
      <c r="D660" s="14"/>
      <c r="E660" s="14"/>
      <c r="F660" s="14"/>
      <c r="G660" s="14"/>
      <c r="H660" s="14"/>
      <c r="I660" s="16"/>
      <c r="J660" s="17"/>
      <c r="K660" s="14"/>
      <c r="L660" s="15"/>
      <c r="M660" s="17"/>
      <c r="N660" s="14"/>
      <c r="O660" s="15"/>
      <c r="P660" s="14"/>
      <c r="Q660" s="16"/>
      <c r="R660" s="13" t="str">
        <f aca="false">IF(AND(B660&lt;&gt;"",L660&lt;&gt;""),L660-B660,"")</f>
        <v/>
      </c>
      <c r="S660" s="13" t="str">
        <f aca="true">IF(B660="","",IF(O660&lt;&gt;"",O660-B660,TODAY()-B660))</f>
        <v/>
      </c>
      <c r="T660" s="13" t="str">
        <f aca="false">IF(A660="","",SUMIF('Time Log'!$C$5:$C$1004,A660,'Time Log'!$E$5:$E$1004))</f>
        <v/>
      </c>
    </row>
    <row r="661" customFormat="false" ht="15" hidden="false" customHeight="false" outlineLevel="0" collapsed="false">
      <c r="A661" s="14"/>
      <c r="B661" s="15"/>
      <c r="C661" s="14"/>
      <c r="D661" s="14"/>
      <c r="E661" s="14"/>
      <c r="F661" s="14"/>
      <c r="G661" s="14"/>
      <c r="H661" s="14"/>
      <c r="I661" s="16"/>
      <c r="J661" s="17"/>
      <c r="K661" s="14"/>
      <c r="L661" s="15"/>
      <c r="M661" s="17"/>
      <c r="N661" s="14"/>
      <c r="O661" s="15"/>
      <c r="P661" s="14"/>
      <c r="Q661" s="16"/>
      <c r="R661" s="13" t="str">
        <f aca="false">IF(AND(B661&lt;&gt;"",L661&lt;&gt;""),L661-B661,"")</f>
        <v/>
      </c>
      <c r="S661" s="13" t="str">
        <f aca="true">IF(B661="","",IF(O661&lt;&gt;"",O661-B661,TODAY()-B661))</f>
        <v/>
      </c>
      <c r="T661" s="13" t="str">
        <f aca="false">IF(A661="","",SUMIF('Time Log'!$C$5:$C$1004,A661,'Time Log'!$E$5:$E$1004))</f>
        <v/>
      </c>
    </row>
    <row r="662" customFormat="false" ht="15" hidden="false" customHeight="false" outlineLevel="0" collapsed="false">
      <c r="A662" s="14"/>
      <c r="B662" s="15"/>
      <c r="C662" s="14"/>
      <c r="D662" s="14"/>
      <c r="E662" s="14"/>
      <c r="F662" s="14"/>
      <c r="G662" s="14"/>
      <c r="H662" s="14"/>
      <c r="I662" s="16"/>
      <c r="J662" s="17"/>
      <c r="K662" s="14"/>
      <c r="L662" s="15"/>
      <c r="M662" s="17"/>
      <c r="N662" s="14"/>
      <c r="O662" s="15"/>
      <c r="P662" s="14"/>
      <c r="Q662" s="16"/>
      <c r="R662" s="13" t="str">
        <f aca="false">IF(AND(B662&lt;&gt;"",L662&lt;&gt;""),L662-B662,"")</f>
        <v/>
      </c>
      <c r="S662" s="13" t="str">
        <f aca="true">IF(B662="","",IF(O662&lt;&gt;"",O662-B662,TODAY()-B662))</f>
        <v/>
      </c>
      <c r="T662" s="13" t="str">
        <f aca="false">IF(A662="","",SUMIF('Time Log'!$C$5:$C$1004,A662,'Time Log'!$E$5:$E$1004))</f>
        <v/>
      </c>
    </row>
    <row r="663" customFormat="false" ht="15" hidden="false" customHeight="false" outlineLevel="0" collapsed="false">
      <c r="A663" s="14"/>
      <c r="B663" s="15"/>
      <c r="C663" s="14"/>
      <c r="D663" s="14"/>
      <c r="E663" s="14"/>
      <c r="F663" s="14"/>
      <c r="G663" s="14"/>
      <c r="H663" s="14"/>
      <c r="I663" s="16"/>
      <c r="J663" s="17"/>
      <c r="K663" s="14"/>
      <c r="L663" s="15"/>
      <c r="M663" s="17"/>
      <c r="N663" s="14"/>
      <c r="O663" s="15"/>
      <c r="P663" s="14"/>
      <c r="Q663" s="16"/>
      <c r="R663" s="13" t="str">
        <f aca="false">IF(AND(B663&lt;&gt;"",L663&lt;&gt;""),L663-B663,"")</f>
        <v/>
      </c>
      <c r="S663" s="13" t="str">
        <f aca="true">IF(B663="","",IF(O663&lt;&gt;"",O663-B663,TODAY()-B663))</f>
        <v/>
      </c>
      <c r="T663" s="13" t="str">
        <f aca="false">IF(A663="","",SUMIF('Time Log'!$C$5:$C$1004,A663,'Time Log'!$E$5:$E$1004))</f>
        <v/>
      </c>
    </row>
    <row r="664" customFormat="false" ht="15" hidden="false" customHeight="false" outlineLevel="0" collapsed="false">
      <c r="A664" s="14"/>
      <c r="B664" s="15"/>
      <c r="C664" s="14"/>
      <c r="D664" s="14"/>
      <c r="E664" s="14"/>
      <c r="F664" s="14"/>
      <c r="G664" s="14"/>
      <c r="H664" s="14"/>
      <c r="I664" s="16"/>
      <c r="J664" s="17"/>
      <c r="K664" s="14"/>
      <c r="L664" s="15"/>
      <c r="M664" s="17"/>
      <c r="N664" s="14"/>
      <c r="O664" s="15"/>
      <c r="P664" s="14"/>
      <c r="Q664" s="16"/>
      <c r="R664" s="13" t="str">
        <f aca="false">IF(AND(B664&lt;&gt;"",L664&lt;&gt;""),L664-B664,"")</f>
        <v/>
      </c>
      <c r="S664" s="13" t="str">
        <f aca="true">IF(B664="","",IF(O664&lt;&gt;"",O664-B664,TODAY()-B664))</f>
        <v/>
      </c>
      <c r="T664" s="13" t="str">
        <f aca="false">IF(A664="","",SUMIF('Time Log'!$C$5:$C$1004,A664,'Time Log'!$E$5:$E$1004))</f>
        <v/>
      </c>
    </row>
    <row r="665" customFormat="false" ht="15" hidden="false" customHeight="false" outlineLevel="0" collapsed="false">
      <c r="A665" s="14"/>
      <c r="B665" s="15"/>
      <c r="C665" s="14"/>
      <c r="D665" s="14"/>
      <c r="E665" s="14"/>
      <c r="F665" s="14"/>
      <c r="G665" s="14"/>
      <c r="H665" s="14"/>
      <c r="I665" s="16"/>
      <c r="J665" s="17"/>
      <c r="K665" s="14"/>
      <c r="L665" s="15"/>
      <c r="M665" s="17"/>
      <c r="N665" s="14"/>
      <c r="O665" s="15"/>
      <c r="P665" s="14"/>
      <c r="Q665" s="16"/>
      <c r="R665" s="13" t="str">
        <f aca="false">IF(AND(B665&lt;&gt;"",L665&lt;&gt;""),L665-B665,"")</f>
        <v/>
      </c>
      <c r="S665" s="13" t="str">
        <f aca="true">IF(B665="","",IF(O665&lt;&gt;"",O665-B665,TODAY()-B665))</f>
        <v/>
      </c>
      <c r="T665" s="13" t="str">
        <f aca="false">IF(A665="","",SUMIF('Time Log'!$C$5:$C$1004,A665,'Time Log'!$E$5:$E$1004))</f>
        <v/>
      </c>
    </row>
    <row r="666" customFormat="false" ht="15" hidden="false" customHeight="false" outlineLevel="0" collapsed="false">
      <c r="A666" s="14"/>
      <c r="B666" s="15"/>
      <c r="C666" s="14"/>
      <c r="D666" s="14"/>
      <c r="E666" s="14"/>
      <c r="F666" s="14"/>
      <c r="G666" s="14"/>
      <c r="H666" s="14"/>
      <c r="I666" s="16"/>
      <c r="J666" s="17"/>
      <c r="K666" s="14"/>
      <c r="L666" s="15"/>
      <c r="M666" s="17"/>
      <c r="N666" s="14"/>
      <c r="O666" s="15"/>
      <c r="P666" s="14"/>
      <c r="Q666" s="16"/>
      <c r="R666" s="13" t="str">
        <f aca="false">IF(AND(B666&lt;&gt;"",L666&lt;&gt;""),L666-B666,"")</f>
        <v/>
      </c>
      <c r="S666" s="13" t="str">
        <f aca="true">IF(B666="","",IF(O666&lt;&gt;"",O666-B666,TODAY()-B666))</f>
        <v/>
      </c>
      <c r="T666" s="13" t="str">
        <f aca="false">IF(A666="","",SUMIF('Time Log'!$C$5:$C$1004,A666,'Time Log'!$E$5:$E$1004))</f>
        <v/>
      </c>
    </row>
    <row r="667" customFormat="false" ht="15" hidden="false" customHeight="false" outlineLevel="0" collapsed="false">
      <c r="A667" s="14"/>
      <c r="B667" s="15"/>
      <c r="C667" s="14"/>
      <c r="D667" s="14"/>
      <c r="E667" s="14"/>
      <c r="F667" s="14"/>
      <c r="G667" s="14"/>
      <c r="H667" s="14"/>
      <c r="I667" s="16"/>
      <c r="J667" s="17"/>
      <c r="K667" s="14"/>
      <c r="L667" s="15"/>
      <c r="M667" s="17"/>
      <c r="N667" s="14"/>
      <c r="O667" s="15"/>
      <c r="P667" s="14"/>
      <c r="Q667" s="16"/>
      <c r="R667" s="13" t="str">
        <f aca="false">IF(AND(B667&lt;&gt;"",L667&lt;&gt;""),L667-B667,"")</f>
        <v/>
      </c>
      <c r="S667" s="13" t="str">
        <f aca="true">IF(B667="","",IF(O667&lt;&gt;"",O667-B667,TODAY()-B667))</f>
        <v/>
      </c>
      <c r="T667" s="13" t="str">
        <f aca="false">IF(A667="","",SUMIF('Time Log'!$C$5:$C$1004,A667,'Time Log'!$E$5:$E$1004))</f>
        <v/>
      </c>
    </row>
    <row r="668" customFormat="false" ht="15" hidden="false" customHeight="false" outlineLevel="0" collapsed="false">
      <c r="A668" s="14"/>
      <c r="B668" s="15"/>
      <c r="C668" s="14"/>
      <c r="D668" s="14"/>
      <c r="E668" s="14"/>
      <c r="F668" s="14"/>
      <c r="G668" s="14"/>
      <c r="H668" s="14"/>
      <c r="I668" s="16"/>
      <c r="J668" s="17"/>
      <c r="K668" s="14"/>
      <c r="L668" s="15"/>
      <c r="M668" s="17"/>
      <c r="N668" s="14"/>
      <c r="O668" s="15"/>
      <c r="P668" s="14"/>
      <c r="Q668" s="16"/>
      <c r="R668" s="13" t="str">
        <f aca="false">IF(AND(B668&lt;&gt;"",L668&lt;&gt;""),L668-B668,"")</f>
        <v/>
      </c>
      <c r="S668" s="13" t="str">
        <f aca="true">IF(B668="","",IF(O668&lt;&gt;"",O668-B668,TODAY()-B668))</f>
        <v/>
      </c>
      <c r="T668" s="13" t="str">
        <f aca="false">IF(A668="","",SUMIF('Time Log'!$C$5:$C$1004,A668,'Time Log'!$E$5:$E$1004))</f>
        <v/>
      </c>
    </row>
    <row r="669" customFormat="false" ht="15" hidden="false" customHeight="false" outlineLevel="0" collapsed="false">
      <c r="A669" s="14"/>
      <c r="B669" s="15"/>
      <c r="C669" s="14"/>
      <c r="D669" s="14"/>
      <c r="E669" s="14"/>
      <c r="F669" s="14"/>
      <c r="G669" s="14"/>
      <c r="H669" s="14"/>
      <c r="I669" s="16"/>
      <c r="J669" s="17"/>
      <c r="K669" s="14"/>
      <c r="L669" s="15"/>
      <c r="M669" s="17"/>
      <c r="N669" s="14"/>
      <c r="O669" s="15"/>
      <c r="P669" s="14"/>
      <c r="Q669" s="16"/>
      <c r="R669" s="13" t="str">
        <f aca="false">IF(AND(B669&lt;&gt;"",L669&lt;&gt;""),L669-B669,"")</f>
        <v/>
      </c>
      <c r="S669" s="13" t="str">
        <f aca="true">IF(B669="","",IF(O669&lt;&gt;"",O669-B669,TODAY()-B669))</f>
        <v/>
      </c>
      <c r="T669" s="13" t="str">
        <f aca="false">IF(A669="","",SUMIF('Time Log'!$C$5:$C$1004,A669,'Time Log'!$E$5:$E$1004))</f>
        <v/>
      </c>
    </row>
    <row r="670" customFormat="false" ht="15" hidden="false" customHeight="false" outlineLevel="0" collapsed="false">
      <c r="A670" s="14"/>
      <c r="B670" s="15"/>
      <c r="C670" s="14"/>
      <c r="D670" s="14"/>
      <c r="E670" s="14"/>
      <c r="F670" s="14"/>
      <c r="G670" s="14"/>
      <c r="H670" s="14"/>
      <c r="I670" s="16"/>
      <c r="J670" s="17"/>
      <c r="K670" s="14"/>
      <c r="L670" s="15"/>
      <c r="M670" s="17"/>
      <c r="N670" s="14"/>
      <c r="O670" s="15"/>
      <c r="P670" s="14"/>
      <c r="Q670" s="16"/>
      <c r="R670" s="13" t="str">
        <f aca="false">IF(AND(B670&lt;&gt;"",L670&lt;&gt;""),L670-B670,"")</f>
        <v/>
      </c>
      <c r="S670" s="13" t="str">
        <f aca="true">IF(B670="","",IF(O670&lt;&gt;"",O670-B670,TODAY()-B670))</f>
        <v/>
      </c>
      <c r="T670" s="13" t="str">
        <f aca="false">IF(A670="","",SUMIF('Time Log'!$C$5:$C$1004,A670,'Time Log'!$E$5:$E$1004))</f>
        <v/>
      </c>
    </row>
    <row r="671" customFormat="false" ht="15" hidden="false" customHeight="false" outlineLevel="0" collapsed="false">
      <c r="A671" s="14"/>
      <c r="B671" s="15"/>
      <c r="C671" s="14"/>
      <c r="D671" s="14"/>
      <c r="E671" s="14"/>
      <c r="F671" s="14"/>
      <c r="G671" s="14"/>
      <c r="H671" s="14"/>
      <c r="I671" s="16"/>
      <c r="J671" s="17"/>
      <c r="K671" s="14"/>
      <c r="L671" s="15"/>
      <c r="M671" s="17"/>
      <c r="N671" s="14"/>
      <c r="O671" s="15"/>
      <c r="P671" s="14"/>
      <c r="Q671" s="16"/>
      <c r="R671" s="13" t="str">
        <f aca="false">IF(AND(B671&lt;&gt;"",L671&lt;&gt;""),L671-B671,"")</f>
        <v/>
      </c>
      <c r="S671" s="13" t="str">
        <f aca="true">IF(B671="","",IF(O671&lt;&gt;"",O671-B671,TODAY()-B671))</f>
        <v/>
      </c>
      <c r="T671" s="13" t="str">
        <f aca="false">IF(A671="","",SUMIF('Time Log'!$C$5:$C$1004,A671,'Time Log'!$E$5:$E$1004))</f>
        <v/>
      </c>
    </row>
    <row r="672" customFormat="false" ht="15" hidden="false" customHeight="false" outlineLevel="0" collapsed="false">
      <c r="A672" s="14"/>
      <c r="B672" s="15"/>
      <c r="C672" s="14"/>
      <c r="D672" s="14"/>
      <c r="E672" s="14"/>
      <c r="F672" s="14"/>
      <c r="G672" s="14"/>
      <c r="H672" s="14"/>
      <c r="I672" s="16"/>
      <c r="J672" s="17"/>
      <c r="K672" s="14"/>
      <c r="L672" s="15"/>
      <c r="M672" s="17"/>
      <c r="N672" s="14"/>
      <c r="O672" s="15"/>
      <c r="P672" s="14"/>
      <c r="Q672" s="16"/>
      <c r="R672" s="13" t="str">
        <f aca="false">IF(AND(B672&lt;&gt;"",L672&lt;&gt;""),L672-B672,"")</f>
        <v/>
      </c>
      <c r="S672" s="13" t="str">
        <f aca="true">IF(B672="","",IF(O672&lt;&gt;"",O672-B672,TODAY()-B672))</f>
        <v/>
      </c>
      <c r="T672" s="13" t="str">
        <f aca="false">IF(A672="","",SUMIF('Time Log'!$C$5:$C$1004,A672,'Time Log'!$E$5:$E$1004))</f>
        <v/>
      </c>
    </row>
    <row r="673" customFormat="false" ht="15" hidden="false" customHeight="false" outlineLevel="0" collapsed="false">
      <c r="A673" s="14"/>
      <c r="B673" s="15"/>
      <c r="C673" s="14"/>
      <c r="D673" s="14"/>
      <c r="E673" s="14"/>
      <c r="F673" s="14"/>
      <c r="G673" s="14"/>
      <c r="H673" s="14"/>
      <c r="I673" s="16"/>
      <c r="J673" s="17"/>
      <c r="K673" s="14"/>
      <c r="L673" s="15"/>
      <c r="M673" s="17"/>
      <c r="N673" s="14"/>
      <c r="O673" s="15"/>
      <c r="P673" s="14"/>
      <c r="Q673" s="16"/>
      <c r="R673" s="13" t="str">
        <f aca="false">IF(AND(B673&lt;&gt;"",L673&lt;&gt;""),L673-B673,"")</f>
        <v/>
      </c>
      <c r="S673" s="13" t="str">
        <f aca="true">IF(B673="","",IF(O673&lt;&gt;"",O673-B673,TODAY()-B673))</f>
        <v/>
      </c>
      <c r="T673" s="13" t="str">
        <f aca="false">IF(A673="","",SUMIF('Time Log'!$C$5:$C$1004,A673,'Time Log'!$E$5:$E$1004))</f>
        <v/>
      </c>
    </row>
    <row r="674" customFormat="false" ht="15" hidden="false" customHeight="false" outlineLevel="0" collapsed="false">
      <c r="A674" s="14"/>
      <c r="B674" s="15"/>
      <c r="C674" s="14"/>
      <c r="D674" s="14"/>
      <c r="E674" s="14"/>
      <c r="F674" s="14"/>
      <c r="G674" s="14"/>
      <c r="H674" s="14"/>
      <c r="I674" s="16"/>
      <c r="J674" s="17"/>
      <c r="K674" s="14"/>
      <c r="L674" s="15"/>
      <c r="M674" s="17"/>
      <c r="N674" s="14"/>
      <c r="O674" s="15"/>
      <c r="P674" s="14"/>
      <c r="Q674" s="16"/>
      <c r="R674" s="13" t="str">
        <f aca="false">IF(AND(B674&lt;&gt;"",L674&lt;&gt;""),L674-B674,"")</f>
        <v/>
      </c>
      <c r="S674" s="13" t="str">
        <f aca="true">IF(B674="","",IF(O674&lt;&gt;"",O674-B674,TODAY()-B674))</f>
        <v/>
      </c>
      <c r="T674" s="13" t="str">
        <f aca="false">IF(A674="","",SUMIF('Time Log'!$C$5:$C$1004,A674,'Time Log'!$E$5:$E$1004))</f>
        <v/>
      </c>
    </row>
    <row r="675" customFormat="false" ht="15" hidden="false" customHeight="false" outlineLevel="0" collapsed="false">
      <c r="A675" s="14"/>
      <c r="B675" s="15"/>
      <c r="C675" s="14"/>
      <c r="D675" s="14"/>
      <c r="E675" s="14"/>
      <c r="F675" s="14"/>
      <c r="G675" s="14"/>
      <c r="H675" s="14"/>
      <c r="I675" s="16"/>
      <c r="J675" s="17"/>
      <c r="K675" s="14"/>
      <c r="L675" s="15"/>
      <c r="M675" s="17"/>
      <c r="N675" s="14"/>
      <c r="O675" s="15"/>
      <c r="P675" s="14"/>
      <c r="Q675" s="16"/>
      <c r="R675" s="13" t="str">
        <f aca="false">IF(AND(B675&lt;&gt;"",L675&lt;&gt;""),L675-B675,"")</f>
        <v/>
      </c>
      <c r="S675" s="13" t="str">
        <f aca="true">IF(B675="","",IF(O675&lt;&gt;"",O675-B675,TODAY()-B675))</f>
        <v/>
      </c>
      <c r="T675" s="13" t="str">
        <f aca="false">IF(A675="","",SUMIF('Time Log'!$C$5:$C$1004,A675,'Time Log'!$E$5:$E$1004))</f>
        <v/>
      </c>
    </row>
    <row r="676" customFormat="false" ht="15" hidden="false" customHeight="false" outlineLevel="0" collapsed="false">
      <c r="A676" s="14"/>
      <c r="B676" s="15"/>
      <c r="C676" s="14"/>
      <c r="D676" s="14"/>
      <c r="E676" s="14"/>
      <c r="F676" s="14"/>
      <c r="G676" s="14"/>
      <c r="H676" s="14"/>
      <c r="I676" s="16"/>
      <c r="J676" s="17"/>
      <c r="K676" s="14"/>
      <c r="L676" s="15"/>
      <c r="M676" s="17"/>
      <c r="N676" s="14"/>
      <c r="O676" s="15"/>
      <c r="P676" s="14"/>
      <c r="Q676" s="16"/>
      <c r="R676" s="13" t="str">
        <f aca="false">IF(AND(B676&lt;&gt;"",L676&lt;&gt;""),L676-B676,"")</f>
        <v/>
      </c>
      <c r="S676" s="13" t="str">
        <f aca="true">IF(B676="","",IF(O676&lt;&gt;"",O676-B676,TODAY()-B676))</f>
        <v/>
      </c>
      <c r="T676" s="13" t="str">
        <f aca="false">IF(A676="","",SUMIF('Time Log'!$C$5:$C$1004,A676,'Time Log'!$E$5:$E$1004))</f>
        <v/>
      </c>
    </row>
    <row r="677" customFormat="false" ht="15" hidden="false" customHeight="false" outlineLevel="0" collapsed="false">
      <c r="A677" s="14"/>
      <c r="B677" s="15"/>
      <c r="C677" s="14"/>
      <c r="D677" s="14"/>
      <c r="E677" s="14"/>
      <c r="F677" s="14"/>
      <c r="G677" s="14"/>
      <c r="H677" s="14"/>
      <c r="I677" s="16"/>
      <c r="J677" s="17"/>
      <c r="K677" s="14"/>
      <c r="L677" s="15"/>
      <c r="M677" s="17"/>
      <c r="N677" s="14"/>
      <c r="O677" s="15"/>
      <c r="P677" s="14"/>
      <c r="Q677" s="16"/>
      <c r="R677" s="13" t="str">
        <f aca="false">IF(AND(B677&lt;&gt;"",L677&lt;&gt;""),L677-B677,"")</f>
        <v/>
      </c>
      <c r="S677" s="13" t="str">
        <f aca="true">IF(B677="","",IF(O677&lt;&gt;"",O677-B677,TODAY()-B677))</f>
        <v/>
      </c>
      <c r="T677" s="13" t="str">
        <f aca="false">IF(A677="","",SUMIF('Time Log'!$C$5:$C$1004,A677,'Time Log'!$E$5:$E$1004))</f>
        <v/>
      </c>
    </row>
    <row r="678" customFormat="false" ht="15" hidden="false" customHeight="false" outlineLevel="0" collapsed="false">
      <c r="A678" s="14"/>
      <c r="B678" s="15"/>
      <c r="C678" s="14"/>
      <c r="D678" s="14"/>
      <c r="E678" s="14"/>
      <c r="F678" s="14"/>
      <c r="G678" s="14"/>
      <c r="H678" s="14"/>
      <c r="I678" s="16"/>
      <c r="J678" s="17"/>
      <c r="K678" s="14"/>
      <c r="L678" s="15"/>
      <c r="M678" s="17"/>
      <c r="N678" s="14"/>
      <c r="O678" s="15"/>
      <c r="P678" s="14"/>
      <c r="Q678" s="16"/>
      <c r="R678" s="13" t="str">
        <f aca="false">IF(AND(B678&lt;&gt;"",L678&lt;&gt;""),L678-B678,"")</f>
        <v/>
      </c>
      <c r="S678" s="13" t="str">
        <f aca="true">IF(B678="","",IF(O678&lt;&gt;"",O678-B678,TODAY()-B678))</f>
        <v/>
      </c>
      <c r="T678" s="13" t="str">
        <f aca="false">IF(A678="","",SUMIF('Time Log'!$C$5:$C$1004,A678,'Time Log'!$E$5:$E$1004))</f>
        <v/>
      </c>
    </row>
    <row r="679" customFormat="false" ht="15" hidden="false" customHeight="false" outlineLevel="0" collapsed="false">
      <c r="A679" s="14"/>
      <c r="B679" s="15"/>
      <c r="C679" s="14"/>
      <c r="D679" s="14"/>
      <c r="E679" s="14"/>
      <c r="F679" s="14"/>
      <c r="G679" s="14"/>
      <c r="H679" s="14"/>
      <c r="I679" s="16"/>
      <c r="J679" s="17"/>
      <c r="K679" s="14"/>
      <c r="L679" s="15"/>
      <c r="M679" s="17"/>
      <c r="N679" s="14"/>
      <c r="O679" s="15"/>
      <c r="P679" s="14"/>
      <c r="Q679" s="16"/>
      <c r="R679" s="13" t="str">
        <f aca="false">IF(AND(B679&lt;&gt;"",L679&lt;&gt;""),L679-B679,"")</f>
        <v/>
      </c>
      <c r="S679" s="13" t="str">
        <f aca="true">IF(B679="","",IF(O679&lt;&gt;"",O679-B679,TODAY()-B679))</f>
        <v/>
      </c>
      <c r="T679" s="13" t="str">
        <f aca="false">IF(A679="","",SUMIF('Time Log'!$C$5:$C$1004,A679,'Time Log'!$E$5:$E$1004))</f>
        <v/>
      </c>
    </row>
    <row r="680" customFormat="false" ht="15" hidden="false" customHeight="false" outlineLevel="0" collapsed="false">
      <c r="A680" s="14"/>
      <c r="B680" s="15"/>
      <c r="C680" s="14"/>
      <c r="D680" s="14"/>
      <c r="E680" s="14"/>
      <c r="F680" s="14"/>
      <c r="G680" s="14"/>
      <c r="H680" s="14"/>
      <c r="I680" s="16"/>
      <c r="J680" s="17"/>
      <c r="K680" s="14"/>
      <c r="L680" s="15"/>
      <c r="M680" s="17"/>
      <c r="N680" s="14"/>
      <c r="O680" s="15"/>
      <c r="P680" s="14"/>
      <c r="Q680" s="16"/>
      <c r="R680" s="13" t="str">
        <f aca="false">IF(AND(B680&lt;&gt;"",L680&lt;&gt;""),L680-B680,"")</f>
        <v/>
      </c>
      <c r="S680" s="13" t="str">
        <f aca="true">IF(B680="","",IF(O680&lt;&gt;"",O680-B680,TODAY()-B680))</f>
        <v/>
      </c>
      <c r="T680" s="13" t="str">
        <f aca="false">IF(A680="","",SUMIF('Time Log'!$C$5:$C$1004,A680,'Time Log'!$E$5:$E$1004))</f>
        <v/>
      </c>
    </row>
    <row r="681" customFormat="false" ht="15" hidden="false" customHeight="false" outlineLevel="0" collapsed="false">
      <c r="A681" s="14"/>
      <c r="B681" s="15"/>
      <c r="C681" s="14"/>
      <c r="D681" s="14"/>
      <c r="E681" s="14"/>
      <c r="F681" s="14"/>
      <c r="G681" s="14"/>
      <c r="H681" s="14"/>
      <c r="I681" s="16"/>
      <c r="J681" s="17"/>
      <c r="K681" s="14"/>
      <c r="L681" s="15"/>
      <c r="M681" s="17"/>
      <c r="N681" s="14"/>
      <c r="O681" s="15"/>
      <c r="P681" s="14"/>
      <c r="Q681" s="16"/>
      <c r="R681" s="13" t="str">
        <f aca="false">IF(AND(B681&lt;&gt;"",L681&lt;&gt;""),L681-B681,"")</f>
        <v/>
      </c>
      <c r="S681" s="13" t="str">
        <f aca="true">IF(B681="","",IF(O681&lt;&gt;"",O681-B681,TODAY()-B681))</f>
        <v/>
      </c>
      <c r="T681" s="13" t="str">
        <f aca="false">IF(A681="","",SUMIF('Time Log'!$C$5:$C$1004,A681,'Time Log'!$E$5:$E$1004))</f>
        <v/>
      </c>
    </row>
    <row r="682" customFormat="false" ht="15" hidden="false" customHeight="false" outlineLevel="0" collapsed="false">
      <c r="A682" s="14"/>
      <c r="B682" s="15"/>
      <c r="C682" s="14"/>
      <c r="D682" s="14"/>
      <c r="E682" s="14"/>
      <c r="F682" s="14"/>
      <c r="G682" s="14"/>
      <c r="H682" s="14"/>
      <c r="I682" s="16"/>
      <c r="J682" s="17"/>
      <c r="K682" s="14"/>
      <c r="L682" s="15"/>
      <c r="M682" s="17"/>
      <c r="N682" s="14"/>
      <c r="O682" s="15"/>
      <c r="P682" s="14"/>
      <c r="Q682" s="16"/>
      <c r="R682" s="13" t="str">
        <f aca="false">IF(AND(B682&lt;&gt;"",L682&lt;&gt;""),L682-B682,"")</f>
        <v/>
      </c>
      <c r="S682" s="13" t="str">
        <f aca="true">IF(B682="","",IF(O682&lt;&gt;"",O682-B682,TODAY()-B682))</f>
        <v/>
      </c>
      <c r="T682" s="13" t="str">
        <f aca="false">IF(A682="","",SUMIF('Time Log'!$C$5:$C$1004,A682,'Time Log'!$E$5:$E$1004))</f>
        <v/>
      </c>
    </row>
    <row r="683" customFormat="false" ht="15" hidden="false" customHeight="false" outlineLevel="0" collapsed="false">
      <c r="A683" s="14"/>
      <c r="B683" s="15"/>
      <c r="C683" s="14"/>
      <c r="D683" s="14"/>
      <c r="E683" s="14"/>
      <c r="F683" s="14"/>
      <c r="G683" s="14"/>
      <c r="H683" s="14"/>
      <c r="I683" s="16"/>
      <c r="J683" s="17"/>
      <c r="K683" s="14"/>
      <c r="L683" s="15"/>
      <c r="M683" s="17"/>
      <c r="N683" s="14"/>
      <c r="O683" s="15"/>
      <c r="P683" s="14"/>
      <c r="Q683" s="16"/>
      <c r="R683" s="13" t="str">
        <f aca="false">IF(AND(B683&lt;&gt;"",L683&lt;&gt;""),L683-B683,"")</f>
        <v/>
      </c>
      <c r="S683" s="13" t="str">
        <f aca="true">IF(B683="","",IF(O683&lt;&gt;"",O683-B683,TODAY()-B683))</f>
        <v/>
      </c>
      <c r="T683" s="13" t="str">
        <f aca="false">IF(A683="","",SUMIF('Time Log'!$C$5:$C$1004,A683,'Time Log'!$E$5:$E$1004))</f>
        <v/>
      </c>
    </row>
    <row r="684" customFormat="false" ht="15" hidden="false" customHeight="false" outlineLevel="0" collapsed="false">
      <c r="A684" s="14"/>
      <c r="B684" s="15"/>
      <c r="C684" s="14"/>
      <c r="D684" s="14"/>
      <c r="E684" s="14"/>
      <c r="F684" s="14"/>
      <c r="G684" s="14"/>
      <c r="H684" s="14"/>
      <c r="I684" s="16"/>
      <c r="J684" s="17"/>
      <c r="K684" s="14"/>
      <c r="L684" s="15"/>
      <c r="M684" s="17"/>
      <c r="N684" s="14"/>
      <c r="O684" s="15"/>
      <c r="P684" s="14"/>
      <c r="Q684" s="16"/>
      <c r="R684" s="13" t="str">
        <f aca="false">IF(AND(B684&lt;&gt;"",L684&lt;&gt;""),L684-B684,"")</f>
        <v/>
      </c>
      <c r="S684" s="13" t="str">
        <f aca="true">IF(B684="","",IF(O684&lt;&gt;"",O684-B684,TODAY()-B684))</f>
        <v/>
      </c>
      <c r="T684" s="13" t="str">
        <f aca="false">IF(A684="","",SUMIF('Time Log'!$C$5:$C$1004,A684,'Time Log'!$E$5:$E$1004))</f>
        <v/>
      </c>
    </row>
    <row r="685" customFormat="false" ht="15" hidden="false" customHeight="false" outlineLevel="0" collapsed="false">
      <c r="A685" s="14"/>
      <c r="B685" s="15"/>
      <c r="C685" s="14"/>
      <c r="D685" s="14"/>
      <c r="E685" s="14"/>
      <c r="F685" s="14"/>
      <c r="G685" s="14"/>
      <c r="H685" s="14"/>
      <c r="I685" s="16"/>
      <c r="J685" s="17"/>
      <c r="K685" s="14"/>
      <c r="L685" s="15"/>
      <c r="M685" s="17"/>
      <c r="N685" s="14"/>
      <c r="O685" s="15"/>
      <c r="P685" s="14"/>
      <c r="Q685" s="16"/>
      <c r="R685" s="13" t="str">
        <f aca="false">IF(AND(B685&lt;&gt;"",L685&lt;&gt;""),L685-B685,"")</f>
        <v/>
      </c>
      <c r="S685" s="13" t="str">
        <f aca="true">IF(B685="","",IF(O685&lt;&gt;"",O685-B685,TODAY()-B685))</f>
        <v/>
      </c>
      <c r="T685" s="13" t="str">
        <f aca="false">IF(A685="","",SUMIF('Time Log'!$C$5:$C$1004,A685,'Time Log'!$E$5:$E$1004))</f>
        <v/>
      </c>
    </row>
    <row r="686" customFormat="false" ht="15" hidden="false" customHeight="false" outlineLevel="0" collapsed="false">
      <c r="A686" s="14"/>
      <c r="B686" s="15"/>
      <c r="C686" s="14"/>
      <c r="D686" s="14"/>
      <c r="E686" s="14"/>
      <c r="F686" s="14"/>
      <c r="G686" s="14"/>
      <c r="H686" s="14"/>
      <c r="I686" s="16"/>
      <c r="J686" s="17"/>
      <c r="K686" s="14"/>
      <c r="L686" s="15"/>
      <c r="M686" s="17"/>
      <c r="N686" s="14"/>
      <c r="O686" s="15"/>
      <c r="P686" s="14"/>
      <c r="Q686" s="16"/>
      <c r="R686" s="13" t="str">
        <f aca="false">IF(AND(B686&lt;&gt;"",L686&lt;&gt;""),L686-B686,"")</f>
        <v/>
      </c>
      <c r="S686" s="13" t="str">
        <f aca="true">IF(B686="","",IF(O686&lt;&gt;"",O686-B686,TODAY()-B686))</f>
        <v/>
      </c>
      <c r="T686" s="13" t="str">
        <f aca="false">IF(A686="","",SUMIF('Time Log'!$C$5:$C$1004,A686,'Time Log'!$E$5:$E$1004))</f>
        <v/>
      </c>
    </row>
    <row r="687" customFormat="false" ht="15" hidden="false" customHeight="false" outlineLevel="0" collapsed="false">
      <c r="A687" s="14"/>
      <c r="B687" s="15"/>
      <c r="C687" s="14"/>
      <c r="D687" s="14"/>
      <c r="E687" s="14"/>
      <c r="F687" s="14"/>
      <c r="G687" s="14"/>
      <c r="H687" s="14"/>
      <c r="I687" s="16"/>
      <c r="J687" s="17"/>
      <c r="K687" s="14"/>
      <c r="L687" s="15"/>
      <c r="M687" s="17"/>
      <c r="N687" s="14"/>
      <c r="O687" s="15"/>
      <c r="P687" s="14"/>
      <c r="Q687" s="16"/>
      <c r="R687" s="13" t="str">
        <f aca="false">IF(AND(B687&lt;&gt;"",L687&lt;&gt;""),L687-B687,"")</f>
        <v/>
      </c>
      <c r="S687" s="13" t="str">
        <f aca="true">IF(B687="","",IF(O687&lt;&gt;"",O687-B687,TODAY()-B687))</f>
        <v/>
      </c>
      <c r="T687" s="13" t="str">
        <f aca="false">IF(A687="","",SUMIF('Time Log'!$C$5:$C$1004,A687,'Time Log'!$E$5:$E$1004))</f>
        <v/>
      </c>
    </row>
    <row r="688" customFormat="false" ht="15" hidden="false" customHeight="false" outlineLevel="0" collapsed="false">
      <c r="A688" s="14"/>
      <c r="B688" s="15"/>
      <c r="C688" s="14"/>
      <c r="D688" s="14"/>
      <c r="E688" s="14"/>
      <c r="F688" s="14"/>
      <c r="G688" s="14"/>
      <c r="H688" s="14"/>
      <c r="I688" s="16"/>
      <c r="J688" s="17"/>
      <c r="K688" s="14"/>
      <c r="L688" s="15"/>
      <c r="M688" s="17"/>
      <c r="N688" s="14"/>
      <c r="O688" s="15"/>
      <c r="P688" s="14"/>
      <c r="Q688" s="16"/>
      <c r="R688" s="13" t="str">
        <f aca="false">IF(AND(B688&lt;&gt;"",L688&lt;&gt;""),L688-B688,"")</f>
        <v/>
      </c>
      <c r="S688" s="13" t="str">
        <f aca="true">IF(B688="","",IF(O688&lt;&gt;"",O688-B688,TODAY()-B688))</f>
        <v/>
      </c>
      <c r="T688" s="13" t="str">
        <f aca="false">IF(A688="","",SUMIF('Time Log'!$C$5:$C$1004,A688,'Time Log'!$E$5:$E$1004))</f>
        <v/>
      </c>
    </row>
    <row r="689" customFormat="false" ht="15" hidden="false" customHeight="false" outlineLevel="0" collapsed="false">
      <c r="A689" s="14"/>
      <c r="B689" s="15"/>
      <c r="C689" s="14"/>
      <c r="D689" s="14"/>
      <c r="E689" s="14"/>
      <c r="F689" s="14"/>
      <c r="G689" s="14"/>
      <c r="H689" s="14"/>
      <c r="I689" s="16"/>
      <c r="J689" s="17"/>
      <c r="K689" s="14"/>
      <c r="L689" s="15"/>
      <c r="M689" s="17"/>
      <c r="N689" s="14"/>
      <c r="O689" s="15"/>
      <c r="P689" s="14"/>
      <c r="Q689" s="16"/>
      <c r="R689" s="13" t="str">
        <f aca="false">IF(AND(B689&lt;&gt;"",L689&lt;&gt;""),L689-B689,"")</f>
        <v/>
      </c>
      <c r="S689" s="13" t="str">
        <f aca="true">IF(B689="","",IF(O689&lt;&gt;"",O689-B689,TODAY()-B689))</f>
        <v/>
      </c>
      <c r="T689" s="13" t="str">
        <f aca="false">IF(A689="","",SUMIF('Time Log'!$C$5:$C$1004,A689,'Time Log'!$E$5:$E$1004))</f>
        <v/>
      </c>
    </row>
    <row r="690" customFormat="false" ht="15" hidden="false" customHeight="false" outlineLevel="0" collapsed="false">
      <c r="A690" s="14"/>
      <c r="B690" s="15"/>
      <c r="C690" s="14"/>
      <c r="D690" s="14"/>
      <c r="E690" s="14"/>
      <c r="F690" s="14"/>
      <c r="G690" s="14"/>
      <c r="H690" s="14"/>
      <c r="I690" s="16"/>
      <c r="J690" s="17"/>
      <c r="K690" s="14"/>
      <c r="L690" s="15"/>
      <c r="M690" s="17"/>
      <c r="N690" s="14"/>
      <c r="O690" s="15"/>
      <c r="P690" s="14"/>
      <c r="Q690" s="16"/>
      <c r="R690" s="13" t="str">
        <f aca="false">IF(AND(B690&lt;&gt;"",L690&lt;&gt;""),L690-B690,"")</f>
        <v/>
      </c>
      <c r="S690" s="13" t="str">
        <f aca="true">IF(B690="","",IF(O690&lt;&gt;"",O690-B690,TODAY()-B690))</f>
        <v/>
      </c>
      <c r="T690" s="13" t="str">
        <f aca="false">IF(A690="","",SUMIF('Time Log'!$C$5:$C$1004,A690,'Time Log'!$E$5:$E$1004))</f>
        <v/>
      </c>
    </row>
    <row r="691" customFormat="false" ht="15" hidden="false" customHeight="false" outlineLevel="0" collapsed="false">
      <c r="A691" s="14"/>
      <c r="B691" s="15"/>
      <c r="C691" s="14"/>
      <c r="D691" s="14"/>
      <c r="E691" s="14"/>
      <c r="F691" s="14"/>
      <c r="G691" s="14"/>
      <c r="H691" s="14"/>
      <c r="I691" s="16"/>
      <c r="J691" s="17"/>
      <c r="K691" s="14"/>
      <c r="L691" s="15"/>
      <c r="M691" s="17"/>
      <c r="N691" s="14"/>
      <c r="O691" s="15"/>
      <c r="P691" s="14"/>
      <c r="Q691" s="16"/>
      <c r="R691" s="13" t="str">
        <f aca="false">IF(AND(B691&lt;&gt;"",L691&lt;&gt;""),L691-B691,"")</f>
        <v/>
      </c>
      <c r="S691" s="13" t="str">
        <f aca="true">IF(B691="","",IF(O691&lt;&gt;"",O691-B691,TODAY()-B691))</f>
        <v/>
      </c>
      <c r="T691" s="13" t="str">
        <f aca="false">IF(A691="","",SUMIF('Time Log'!$C$5:$C$1004,A691,'Time Log'!$E$5:$E$1004))</f>
        <v/>
      </c>
    </row>
    <row r="692" customFormat="false" ht="15" hidden="false" customHeight="false" outlineLevel="0" collapsed="false">
      <c r="A692" s="14"/>
      <c r="B692" s="15"/>
      <c r="C692" s="14"/>
      <c r="D692" s="14"/>
      <c r="E692" s="14"/>
      <c r="F692" s="14"/>
      <c r="G692" s="14"/>
      <c r="H692" s="14"/>
      <c r="I692" s="16"/>
      <c r="J692" s="17"/>
      <c r="K692" s="14"/>
      <c r="L692" s="15"/>
      <c r="M692" s="17"/>
      <c r="N692" s="14"/>
      <c r="O692" s="15"/>
      <c r="P692" s="14"/>
      <c r="Q692" s="16"/>
      <c r="R692" s="13" t="str">
        <f aca="false">IF(AND(B692&lt;&gt;"",L692&lt;&gt;""),L692-B692,"")</f>
        <v/>
      </c>
      <c r="S692" s="13" t="str">
        <f aca="true">IF(B692="","",IF(O692&lt;&gt;"",O692-B692,TODAY()-B692))</f>
        <v/>
      </c>
      <c r="T692" s="13" t="str">
        <f aca="false">IF(A692="","",SUMIF('Time Log'!$C$5:$C$1004,A692,'Time Log'!$E$5:$E$1004))</f>
        <v/>
      </c>
    </row>
    <row r="693" customFormat="false" ht="15" hidden="false" customHeight="false" outlineLevel="0" collapsed="false">
      <c r="A693" s="14"/>
      <c r="B693" s="15"/>
      <c r="C693" s="14"/>
      <c r="D693" s="14"/>
      <c r="E693" s="14"/>
      <c r="F693" s="14"/>
      <c r="G693" s="14"/>
      <c r="H693" s="14"/>
      <c r="I693" s="16"/>
      <c r="J693" s="17"/>
      <c r="K693" s="14"/>
      <c r="L693" s="15"/>
      <c r="M693" s="17"/>
      <c r="N693" s="14"/>
      <c r="O693" s="15"/>
      <c r="P693" s="14"/>
      <c r="Q693" s="16"/>
      <c r="R693" s="13" t="str">
        <f aca="false">IF(AND(B693&lt;&gt;"",L693&lt;&gt;""),L693-B693,"")</f>
        <v/>
      </c>
      <c r="S693" s="13" t="str">
        <f aca="true">IF(B693="","",IF(O693&lt;&gt;"",O693-B693,TODAY()-B693))</f>
        <v/>
      </c>
      <c r="T693" s="13" t="str">
        <f aca="false">IF(A693="","",SUMIF('Time Log'!$C$5:$C$1004,A693,'Time Log'!$E$5:$E$1004))</f>
        <v/>
      </c>
    </row>
    <row r="694" customFormat="false" ht="15" hidden="false" customHeight="false" outlineLevel="0" collapsed="false">
      <c r="A694" s="14"/>
      <c r="B694" s="15"/>
      <c r="C694" s="14"/>
      <c r="D694" s="14"/>
      <c r="E694" s="14"/>
      <c r="F694" s="14"/>
      <c r="G694" s="14"/>
      <c r="H694" s="14"/>
      <c r="I694" s="16"/>
      <c r="J694" s="17"/>
      <c r="K694" s="14"/>
      <c r="L694" s="15"/>
      <c r="M694" s="17"/>
      <c r="N694" s="14"/>
      <c r="O694" s="15"/>
      <c r="P694" s="14"/>
      <c r="Q694" s="16"/>
      <c r="R694" s="13" t="str">
        <f aca="false">IF(AND(B694&lt;&gt;"",L694&lt;&gt;""),L694-B694,"")</f>
        <v/>
      </c>
      <c r="S694" s="13" t="str">
        <f aca="true">IF(B694="","",IF(O694&lt;&gt;"",O694-B694,TODAY()-B694))</f>
        <v/>
      </c>
      <c r="T694" s="13" t="str">
        <f aca="false">IF(A694="","",SUMIF('Time Log'!$C$5:$C$1004,A694,'Time Log'!$E$5:$E$1004))</f>
        <v/>
      </c>
    </row>
    <row r="695" customFormat="false" ht="15" hidden="false" customHeight="false" outlineLevel="0" collapsed="false">
      <c r="A695" s="14"/>
      <c r="B695" s="15"/>
      <c r="C695" s="14"/>
      <c r="D695" s="14"/>
      <c r="E695" s="14"/>
      <c r="F695" s="14"/>
      <c r="G695" s="14"/>
      <c r="H695" s="14"/>
      <c r="I695" s="16"/>
      <c r="J695" s="17"/>
      <c r="K695" s="14"/>
      <c r="L695" s="15"/>
      <c r="M695" s="17"/>
      <c r="N695" s="14"/>
      <c r="O695" s="15"/>
      <c r="P695" s="14"/>
      <c r="Q695" s="16"/>
      <c r="R695" s="13" t="str">
        <f aca="false">IF(AND(B695&lt;&gt;"",L695&lt;&gt;""),L695-B695,"")</f>
        <v/>
      </c>
      <c r="S695" s="13" t="str">
        <f aca="true">IF(B695="","",IF(O695&lt;&gt;"",O695-B695,TODAY()-B695))</f>
        <v/>
      </c>
      <c r="T695" s="13" t="str">
        <f aca="false">IF(A695="","",SUMIF('Time Log'!$C$5:$C$1004,A695,'Time Log'!$E$5:$E$1004))</f>
        <v/>
      </c>
    </row>
    <row r="696" customFormat="false" ht="15" hidden="false" customHeight="false" outlineLevel="0" collapsed="false">
      <c r="A696" s="14"/>
      <c r="B696" s="15"/>
      <c r="C696" s="14"/>
      <c r="D696" s="14"/>
      <c r="E696" s="14"/>
      <c r="F696" s="14"/>
      <c r="G696" s="14"/>
      <c r="H696" s="14"/>
      <c r="I696" s="16"/>
      <c r="J696" s="17"/>
      <c r="K696" s="14"/>
      <c r="L696" s="15"/>
      <c r="M696" s="17"/>
      <c r="N696" s="14"/>
      <c r="O696" s="15"/>
      <c r="P696" s="14"/>
      <c r="Q696" s="16"/>
      <c r="R696" s="13" t="str">
        <f aca="false">IF(AND(B696&lt;&gt;"",L696&lt;&gt;""),L696-B696,"")</f>
        <v/>
      </c>
      <c r="S696" s="13" t="str">
        <f aca="true">IF(B696="","",IF(O696&lt;&gt;"",O696-B696,TODAY()-B696))</f>
        <v/>
      </c>
      <c r="T696" s="13" t="str">
        <f aca="false">IF(A696="","",SUMIF('Time Log'!$C$5:$C$1004,A696,'Time Log'!$E$5:$E$1004))</f>
        <v/>
      </c>
    </row>
    <row r="697" customFormat="false" ht="15" hidden="false" customHeight="false" outlineLevel="0" collapsed="false">
      <c r="A697" s="14"/>
      <c r="B697" s="15"/>
      <c r="C697" s="14"/>
      <c r="D697" s="14"/>
      <c r="E697" s="14"/>
      <c r="F697" s="14"/>
      <c r="G697" s="14"/>
      <c r="H697" s="14"/>
      <c r="I697" s="16"/>
      <c r="J697" s="17"/>
      <c r="K697" s="14"/>
      <c r="L697" s="15"/>
      <c r="M697" s="17"/>
      <c r="N697" s="14"/>
      <c r="O697" s="15"/>
      <c r="P697" s="14"/>
      <c r="Q697" s="16"/>
      <c r="R697" s="13" t="str">
        <f aca="false">IF(AND(B697&lt;&gt;"",L697&lt;&gt;""),L697-B697,"")</f>
        <v/>
      </c>
      <c r="S697" s="13" t="str">
        <f aca="true">IF(B697="","",IF(O697&lt;&gt;"",O697-B697,TODAY()-B697))</f>
        <v/>
      </c>
      <c r="T697" s="13" t="str">
        <f aca="false">IF(A697="","",SUMIF('Time Log'!$C$5:$C$1004,A697,'Time Log'!$E$5:$E$1004))</f>
        <v/>
      </c>
    </row>
    <row r="698" customFormat="false" ht="15" hidden="false" customHeight="false" outlineLevel="0" collapsed="false">
      <c r="A698" s="14"/>
      <c r="B698" s="15"/>
      <c r="C698" s="14"/>
      <c r="D698" s="14"/>
      <c r="E698" s="14"/>
      <c r="F698" s="14"/>
      <c r="G698" s="14"/>
      <c r="H698" s="14"/>
      <c r="I698" s="16"/>
      <c r="J698" s="17"/>
      <c r="K698" s="14"/>
      <c r="L698" s="15"/>
      <c r="M698" s="17"/>
      <c r="N698" s="14"/>
      <c r="O698" s="15"/>
      <c r="P698" s="14"/>
      <c r="Q698" s="16"/>
      <c r="R698" s="13" t="str">
        <f aca="false">IF(AND(B698&lt;&gt;"",L698&lt;&gt;""),L698-B698,"")</f>
        <v/>
      </c>
      <c r="S698" s="13" t="str">
        <f aca="true">IF(B698="","",IF(O698&lt;&gt;"",O698-B698,TODAY()-B698))</f>
        <v/>
      </c>
      <c r="T698" s="13" t="str">
        <f aca="false">IF(A698="","",SUMIF('Time Log'!$C$5:$C$1004,A698,'Time Log'!$E$5:$E$1004))</f>
        <v/>
      </c>
    </row>
    <row r="699" customFormat="false" ht="15" hidden="false" customHeight="false" outlineLevel="0" collapsed="false">
      <c r="A699" s="14"/>
      <c r="B699" s="15"/>
      <c r="C699" s="14"/>
      <c r="D699" s="14"/>
      <c r="E699" s="14"/>
      <c r="F699" s="14"/>
      <c r="G699" s="14"/>
      <c r="H699" s="14"/>
      <c r="I699" s="16"/>
      <c r="J699" s="17"/>
      <c r="K699" s="14"/>
      <c r="L699" s="15"/>
      <c r="M699" s="17"/>
      <c r="N699" s="14"/>
      <c r="O699" s="15"/>
      <c r="P699" s="14"/>
      <c r="Q699" s="16"/>
      <c r="R699" s="13" t="str">
        <f aca="false">IF(AND(B699&lt;&gt;"",L699&lt;&gt;""),L699-B699,"")</f>
        <v/>
      </c>
      <c r="S699" s="13" t="str">
        <f aca="true">IF(B699="","",IF(O699&lt;&gt;"",O699-B699,TODAY()-B699))</f>
        <v/>
      </c>
      <c r="T699" s="13" t="str">
        <f aca="false">IF(A699="","",SUMIF('Time Log'!$C$5:$C$1004,A699,'Time Log'!$E$5:$E$1004))</f>
        <v/>
      </c>
    </row>
    <row r="700" customFormat="false" ht="15" hidden="false" customHeight="false" outlineLevel="0" collapsed="false">
      <c r="A700" s="14"/>
      <c r="B700" s="15"/>
      <c r="C700" s="14"/>
      <c r="D700" s="14"/>
      <c r="E700" s="14"/>
      <c r="F700" s="14"/>
      <c r="G700" s="14"/>
      <c r="H700" s="14"/>
      <c r="I700" s="16"/>
      <c r="J700" s="17"/>
      <c r="K700" s="14"/>
      <c r="L700" s="15"/>
      <c r="M700" s="17"/>
      <c r="N700" s="14"/>
      <c r="O700" s="15"/>
      <c r="P700" s="14"/>
      <c r="Q700" s="16"/>
      <c r="R700" s="13" t="str">
        <f aca="false">IF(AND(B700&lt;&gt;"",L700&lt;&gt;""),L700-B700,"")</f>
        <v/>
      </c>
      <c r="S700" s="13" t="str">
        <f aca="true">IF(B700="","",IF(O700&lt;&gt;"",O700-B700,TODAY()-B700))</f>
        <v/>
      </c>
      <c r="T700" s="13" t="str">
        <f aca="false">IF(A700="","",SUMIF('Time Log'!$C$5:$C$1004,A700,'Time Log'!$E$5:$E$1004))</f>
        <v/>
      </c>
    </row>
    <row r="701" customFormat="false" ht="15" hidden="false" customHeight="false" outlineLevel="0" collapsed="false">
      <c r="A701" s="14"/>
      <c r="B701" s="15"/>
      <c r="C701" s="14"/>
      <c r="D701" s="14"/>
      <c r="E701" s="14"/>
      <c r="F701" s="14"/>
      <c r="G701" s="14"/>
      <c r="H701" s="14"/>
      <c r="I701" s="16"/>
      <c r="J701" s="17"/>
      <c r="K701" s="14"/>
      <c r="L701" s="15"/>
      <c r="M701" s="17"/>
      <c r="N701" s="14"/>
      <c r="O701" s="15"/>
      <c r="P701" s="14"/>
      <c r="Q701" s="16"/>
      <c r="R701" s="13" t="str">
        <f aca="false">IF(AND(B701&lt;&gt;"",L701&lt;&gt;""),L701-B701,"")</f>
        <v/>
      </c>
      <c r="S701" s="13" t="str">
        <f aca="true">IF(B701="","",IF(O701&lt;&gt;"",O701-B701,TODAY()-B701))</f>
        <v/>
      </c>
      <c r="T701" s="13" t="str">
        <f aca="false">IF(A701="","",SUMIF('Time Log'!$C$5:$C$1004,A701,'Time Log'!$E$5:$E$1004))</f>
        <v/>
      </c>
    </row>
    <row r="702" customFormat="false" ht="15" hidden="false" customHeight="false" outlineLevel="0" collapsed="false">
      <c r="A702" s="14"/>
      <c r="B702" s="15"/>
      <c r="C702" s="14"/>
      <c r="D702" s="14"/>
      <c r="E702" s="14"/>
      <c r="F702" s="14"/>
      <c r="G702" s="14"/>
      <c r="H702" s="14"/>
      <c r="I702" s="16"/>
      <c r="J702" s="17"/>
      <c r="K702" s="14"/>
      <c r="L702" s="15"/>
      <c r="M702" s="17"/>
      <c r="N702" s="14"/>
      <c r="O702" s="15"/>
      <c r="P702" s="14"/>
      <c r="Q702" s="16"/>
      <c r="R702" s="13" t="str">
        <f aca="false">IF(AND(B702&lt;&gt;"",L702&lt;&gt;""),L702-B702,"")</f>
        <v/>
      </c>
      <c r="S702" s="13" t="str">
        <f aca="true">IF(B702="","",IF(O702&lt;&gt;"",O702-B702,TODAY()-B702))</f>
        <v/>
      </c>
      <c r="T702" s="13" t="str">
        <f aca="false">IF(A702="","",SUMIF('Time Log'!$C$5:$C$1004,A702,'Time Log'!$E$5:$E$1004))</f>
        <v/>
      </c>
    </row>
    <row r="703" customFormat="false" ht="15" hidden="false" customHeight="false" outlineLevel="0" collapsed="false">
      <c r="A703" s="14"/>
      <c r="B703" s="15"/>
      <c r="C703" s="14"/>
      <c r="D703" s="14"/>
      <c r="E703" s="14"/>
      <c r="F703" s="14"/>
      <c r="G703" s="14"/>
      <c r="H703" s="14"/>
      <c r="I703" s="16"/>
      <c r="J703" s="17"/>
      <c r="K703" s="14"/>
      <c r="L703" s="15"/>
      <c r="M703" s="17"/>
      <c r="N703" s="14"/>
      <c r="O703" s="15"/>
      <c r="P703" s="14"/>
      <c r="Q703" s="16"/>
      <c r="R703" s="13" t="str">
        <f aca="false">IF(AND(B703&lt;&gt;"",L703&lt;&gt;""),L703-B703,"")</f>
        <v/>
      </c>
      <c r="S703" s="13" t="str">
        <f aca="true">IF(B703="","",IF(O703&lt;&gt;"",O703-B703,TODAY()-B703))</f>
        <v/>
      </c>
      <c r="T703" s="13" t="str">
        <f aca="false">IF(A703="","",SUMIF('Time Log'!$C$5:$C$1004,A703,'Time Log'!$E$5:$E$1004))</f>
        <v/>
      </c>
    </row>
    <row r="704" customFormat="false" ht="15" hidden="false" customHeight="false" outlineLevel="0" collapsed="false">
      <c r="A704" s="14"/>
      <c r="B704" s="15"/>
      <c r="C704" s="14"/>
      <c r="D704" s="14"/>
      <c r="E704" s="14"/>
      <c r="F704" s="14"/>
      <c r="G704" s="14"/>
      <c r="H704" s="14"/>
      <c r="I704" s="16"/>
      <c r="J704" s="17"/>
      <c r="K704" s="14"/>
      <c r="L704" s="15"/>
      <c r="M704" s="17"/>
      <c r="N704" s="14"/>
      <c r="O704" s="15"/>
      <c r="P704" s="14"/>
      <c r="Q704" s="16"/>
      <c r="R704" s="13" t="str">
        <f aca="false">IF(AND(B704&lt;&gt;"",L704&lt;&gt;""),L704-B704,"")</f>
        <v/>
      </c>
      <c r="S704" s="13" t="str">
        <f aca="true">IF(B704="","",IF(O704&lt;&gt;"",O704-B704,TODAY()-B704))</f>
        <v/>
      </c>
      <c r="T704" s="13" t="str">
        <f aca="false">IF(A704="","",SUMIF('Time Log'!$C$5:$C$1004,A704,'Time Log'!$E$5:$E$1004))</f>
        <v/>
      </c>
    </row>
    <row r="705" customFormat="false" ht="15" hidden="false" customHeight="false" outlineLevel="0" collapsed="false">
      <c r="A705" s="14"/>
      <c r="B705" s="15"/>
      <c r="C705" s="14"/>
      <c r="D705" s="14"/>
      <c r="E705" s="14"/>
      <c r="F705" s="14"/>
      <c r="G705" s="14"/>
      <c r="H705" s="14"/>
      <c r="I705" s="16"/>
      <c r="J705" s="17"/>
      <c r="K705" s="14"/>
      <c r="L705" s="15"/>
      <c r="M705" s="17"/>
      <c r="N705" s="14"/>
      <c r="O705" s="15"/>
      <c r="P705" s="14"/>
      <c r="Q705" s="16"/>
      <c r="R705" s="13" t="str">
        <f aca="false">IF(AND(B705&lt;&gt;"",L705&lt;&gt;""),L705-B705,"")</f>
        <v/>
      </c>
      <c r="S705" s="13" t="str">
        <f aca="true">IF(B705="","",IF(O705&lt;&gt;"",O705-B705,TODAY()-B705))</f>
        <v/>
      </c>
      <c r="T705" s="13" t="str">
        <f aca="false">IF(A705="","",SUMIF('Time Log'!$C$5:$C$1004,A705,'Time Log'!$E$5:$E$1004))</f>
        <v/>
      </c>
    </row>
    <row r="706" customFormat="false" ht="15" hidden="false" customHeight="false" outlineLevel="0" collapsed="false">
      <c r="A706" s="14"/>
      <c r="B706" s="15"/>
      <c r="C706" s="14"/>
      <c r="D706" s="14"/>
      <c r="E706" s="14"/>
      <c r="F706" s="14"/>
      <c r="G706" s="14"/>
      <c r="H706" s="14"/>
      <c r="I706" s="16"/>
      <c r="J706" s="17"/>
      <c r="K706" s="14"/>
      <c r="L706" s="15"/>
      <c r="M706" s="17"/>
      <c r="N706" s="14"/>
      <c r="O706" s="15"/>
      <c r="P706" s="14"/>
      <c r="Q706" s="16"/>
      <c r="R706" s="13" t="str">
        <f aca="false">IF(AND(B706&lt;&gt;"",L706&lt;&gt;""),L706-B706,"")</f>
        <v/>
      </c>
      <c r="S706" s="13" t="str">
        <f aca="true">IF(B706="","",IF(O706&lt;&gt;"",O706-B706,TODAY()-B706))</f>
        <v/>
      </c>
      <c r="T706" s="13" t="str">
        <f aca="false">IF(A706="","",SUMIF('Time Log'!$C$5:$C$1004,A706,'Time Log'!$E$5:$E$1004))</f>
        <v/>
      </c>
    </row>
    <row r="707" customFormat="false" ht="15" hidden="false" customHeight="false" outlineLevel="0" collapsed="false">
      <c r="A707" s="14"/>
      <c r="B707" s="15"/>
      <c r="C707" s="14"/>
      <c r="D707" s="14"/>
      <c r="E707" s="14"/>
      <c r="F707" s="14"/>
      <c r="G707" s="14"/>
      <c r="H707" s="14"/>
      <c r="I707" s="16"/>
      <c r="J707" s="17"/>
      <c r="K707" s="14"/>
      <c r="L707" s="15"/>
      <c r="M707" s="17"/>
      <c r="N707" s="14"/>
      <c r="O707" s="15"/>
      <c r="P707" s="14"/>
      <c r="Q707" s="16"/>
      <c r="R707" s="13" t="str">
        <f aca="false">IF(AND(B707&lt;&gt;"",L707&lt;&gt;""),L707-B707,"")</f>
        <v/>
      </c>
      <c r="S707" s="13" t="str">
        <f aca="true">IF(B707="","",IF(O707&lt;&gt;"",O707-B707,TODAY()-B707))</f>
        <v/>
      </c>
      <c r="T707" s="13" t="str">
        <f aca="false">IF(A707="","",SUMIF('Time Log'!$C$5:$C$1004,A707,'Time Log'!$E$5:$E$1004))</f>
        <v/>
      </c>
    </row>
    <row r="708" customFormat="false" ht="15" hidden="false" customHeight="false" outlineLevel="0" collapsed="false">
      <c r="A708" s="14"/>
      <c r="B708" s="15"/>
      <c r="C708" s="14"/>
      <c r="D708" s="14"/>
      <c r="E708" s="14"/>
      <c r="F708" s="14"/>
      <c r="G708" s="14"/>
      <c r="H708" s="14"/>
      <c r="I708" s="16"/>
      <c r="J708" s="17"/>
      <c r="K708" s="14"/>
      <c r="L708" s="15"/>
      <c r="M708" s="17"/>
      <c r="N708" s="14"/>
      <c r="O708" s="15"/>
      <c r="P708" s="14"/>
      <c r="Q708" s="16"/>
      <c r="R708" s="13" t="str">
        <f aca="false">IF(AND(B708&lt;&gt;"",L708&lt;&gt;""),L708-B708,"")</f>
        <v/>
      </c>
      <c r="S708" s="13" t="str">
        <f aca="true">IF(B708="","",IF(O708&lt;&gt;"",O708-B708,TODAY()-B708))</f>
        <v/>
      </c>
      <c r="T708" s="13" t="str">
        <f aca="false">IF(A708="","",SUMIF('Time Log'!$C$5:$C$1004,A708,'Time Log'!$E$5:$E$1004))</f>
        <v/>
      </c>
    </row>
    <row r="709" customFormat="false" ht="15" hidden="false" customHeight="false" outlineLevel="0" collapsed="false">
      <c r="A709" s="14"/>
      <c r="B709" s="15"/>
      <c r="C709" s="14"/>
      <c r="D709" s="14"/>
      <c r="E709" s="14"/>
      <c r="F709" s="14"/>
      <c r="G709" s="14"/>
      <c r="H709" s="14"/>
      <c r="I709" s="16"/>
      <c r="J709" s="17"/>
      <c r="K709" s="14"/>
      <c r="L709" s="15"/>
      <c r="M709" s="17"/>
      <c r="N709" s="14"/>
      <c r="O709" s="15"/>
      <c r="P709" s="14"/>
      <c r="Q709" s="16"/>
      <c r="R709" s="13" t="str">
        <f aca="false">IF(AND(B709&lt;&gt;"",L709&lt;&gt;""),L709-B709,"")</f>
        <v/>
      </c>
      <c r="S709" s="13" t="str">
        <f aca="true">IF(B709="","",IF(O709&lt;&gt;"",O709-B709,TODAY()-B709))</f>
        <v/>
      </c>
      <c r="T709" s="13" t="str">
        <f aca="false">IF(A709="","",SUMIF('Time Log'!$C$5:$C$1004,A709,'Time Log'!$E$5:$E$1004))</f>
        <v/>
      </c>
    </row>
    <row r="710" customFormat="false" ht="15" hidden="false" customHeight="false" outlineLevel="0" collapsed="false">
      <c r="A710" s="14"/>
      <c r="B710" s="15"/>
      <c r="C710" s="14"/>
      <c r="D710" s="14"/>
      <c r="E710" s="14"/>
      <c r="F710" s="14"/>
      <c r="G710" s="14"/>
      <c r="H710" s="14"/>
      <c r="I710" s="16"/>
      <c r="J710" s="17"/>
      <c r="K710" s="14"/>
      <c r="L710" s="15"/>
      <c r="M710" s="17"/>
      <c r="N710" s="14"/>
      <c r="O710" s="15"/>
      <c r="P710" s="14"/>
      <c r="Q710" s="16"/>
      <c r="R710" s="13" t="str">
        <f aca="false">IF(AND(B710&lt;&gt;"",L710&lt;&gt;""),L710-B710,"")</f>
        <v/>
      </c>
      <c r="S710" s="13" t="str">
        <f aca="true">IF(B710="","",IF(O710&lt;&gt;"",O710-B710,TODAY()-B710))</f>
        <v/>
      </c>
      <c r="T710" s="13" t="str">
        <f aca="false">IF(A710="","",SUMIF('Time Log'!$C$5:$C$1004,A710,'Time Log'!$E$5:$E$1004))</f>
        <v/>
      </c>
    </row>
    <row r="711" customFormat="false" ht="15" hidden="false" customHeight="false" outlineLevel="0" collapsed="false">
      <c r="A711" s="14"/>
      <c r="B711" s="15"/>
      <c r="C711" s="14"/>
      <c r="D711" s="14"/>
      <c r="E711" s="14"/>
      <c r="F711" s="14"/>
      <c r="G711" s="14"/>
      <c r="H711" s="14"/>
      <c r="I711" s="16"/>
      <c r="J711" s="17"/>
      <c r="K711" s="14"/>
      <c r="L711" s="15"/>
      <c r="M711" s="17"/>
      <c r="N711" s="14"/>
      <c r="O711" s="15"/>
      <c r="P711" s="14"/>
      <c r="Q711" s="16"/>
      <c r="R711" s="13" t="str">
        <f aca="false">IF(AND(B711&lt;&gt;"",L711&lt;&gt;""),L711-B711,"")</f>
        <v/>
      </c>
      <c r="S711" s="13" t="str">
        <f aca="true">IF(B711="","",IF(O711&lt;&gt;"",O711-B711,TODAY()-B711))</f>
        <v/>
      </c>
      <c r="T711" s="13" t="str">
        <f aca="false">IF(A711="","",SUMIF('Time Log'!$C$5:$C$1004,A711,'Time Log'!$E$5:$E$1004))</f>
        <v/>
      </c>
    </row>
    <row r="712" customFormat="false" ht="15" hidden="false" customHeight="false" outlineLevel="0" collapsed="false">
      <c r="A712" s="14"/>
      <c r="B712" s="15"/>
      <c r="C712" s="14"/>
      <c r="D712" s="14"/>
      <c r="E712" s="14"/>
      <c r="F712" s="14"/>
      <c r="G712" s="14"/>
      <c r="H712" s="14"/>
      <c r="I712" s="16"/>
      <c r="J712" s="17"/>
      <c r="K712" s="14"/>
      <c r="L712" s="15"/>
      <c r="M712" s="17"/>
      <c r="N712" s="14"/>
      <c r="O712" s="15"/>
      <c r="P712" s="14"/>
      <c r="Q712" s="16"/>
      <c r="R712" s="13" t="str">
        <f aca="false">IF(AND(B712&lt;&gt;"",L712&lt;&gt;""),L712-B712,"")</f>
        <v/>
      </c>
      <c r="S712" s="13" t="str">
        <f aca="true">IF(B712="","",IF(O712&lt;&gt;"",O712-B712,TODAY()-B712))</f>
        <v/>
      </c>
      <c r="T712" s="13" t="str">
        <f aca="false">IF(A712="","",SUMIF('Time Log'!$C$5:$C$1004,A712,'Time Log'!$E$5:$E$1004))</f>
        <v/>
      </c>
    </row>
    <row r="713" customFormat="false" ht="15" hidden="false" customHeight="false" outlineLevel="0" collapsed="false">
      <c r="A713" s="14"/>
      <c r="B713" s="15"/>
      <c r="C713" s="14"/>
      <c r="D713" s="14"/>
      <c r="E713" s="14"/>
      <c r="F713" s="14"/>
      <c r="G713" s="14"/>
      <c r="H713" s="14"/>
      <c r="I713" s="16"/>
      <c r="J713" s="17"/>
      <c r="K713" s="14"/>
      <c r="L713" s="15"/>
      <c r="M713" s="17"/>
      <c r="N713" s="14"/>
      <c r="O713" s="15"/>
      <c r="P713" s="14"/>
      <c r="Q713" s="16"/>
      <c r="R713" s="13" t="str">
        <f aca="false">IF(AND(B713&lt;&gt;"",L713&lt;&gt;""),L713-B713,"")</f>
        <v/>
      </c>
      <c r="S713" s="13" t="str">
        <f aca="true">IF(B713="","",IF(O713&lt;&gt;"",O713-B713,TODAY()-B713))</f>
        <v/>
      </c>
      <c r="T713" s="13" t="str">
        <f aca="false">IF(A713="","",SUMIF('Time Log'!$C$5:$C$1004,A713,'Time Log'!$E$5:$E$1004))</f>
        <v/>
      </c>
    </row>
    <row r="714" customFormat="false" ht="15" hidden="false" customHeight="false" outlineLevel="0" collapsed="false">
      <c r="A714" s="14"/>
      <c r="B714" s="15"/>
      <c r="C714" s="14"/>
      <c r="D714" s="14"/>
      <c r="E714" s="14"/>
      <c r="F714" s="14"/>
      <c r="G714" s="14"/>
      <c r="H714" s="14"/>
      <c r="I714" s="16"/>
      <c r="J714" s="17"/>
      <c r="K714" s="14"/>
      <c r="L714" s="15"/>
      <c r="M714" s="17"/>
      <c r="N714" s="14"/>
      <c r="O714" s="15"/>
      <c r="P714" s="14"/>
      <c r="Q714" s="16"/>
      <c r="R714" s="13" t="str">
        <f aca="false">IF(AND(B714&lt;&gt;"",L714&lt;&gt;""),L714-B714,"")</f>
        <v/>
      </c>
      <c r="S714" s="13" t="str">
        <f aca="true">IF(B714="","",IF(O714&lt;&gt;"",O714-B714,TODAY()-B714))</f>
        <v/>
      </c>
      <c r="T714" s="13" t="str">
        <f aca="false">IF(A714="","",SUMIF('Time Log'!$C$5:$C$1004,A714,'Time Log'!$E$5:$E$1004))</f>
        <v/>
      </c>
    </row>
    <row r="715" customFormat="false" ht="15" hidden="false" customHeight="false" outlineLevel="0" collapsed="false">
      <c r="A715" s="14"/>
      <c r="B715" s="15"/>
      <c r="C715" s="14"/>
      <c r="D715" s="14"/>
      <c r="E715" s="14"/>
      <c r="F715" s="14"/>
      <c r="G715" s="14"/>
      <c r="H715" s="14"/>
      <c r="I715" s="16"/>
      <c r="J715" s="17"/>
      <c r="K715" s="14"/>
      <c r="L715" s="15"/>
      <c r="M715" s="17"/>
      <c r="N715" s="14"/>
      <c r="O715" s="15"/>
      <c r="P715" s="14"/>
      <c r="Q715" s="16"/>
      <c r="R715" s="13" t="str">
        <f aca="false">IF(AND(B715&lt;&gt;"",L715&lt;&gt;""),L715-B715,"")</f>
        <v/>
      </c>
      <c r="S715" s="13" t="str">
        <f aca="true">IF(B715="","",IF(O715&lt;&gt;"",O715-B715,TODAY()-B715))</f>
        <v/>
      </c>
      <c r="T715" s="13" t="str">
        <f aca="false">IF(A715="","",SUMIF('Time Log'!$C$5:$C$1004,A715,'Time Log'!$E$5:$E$1004))</f>
        <v/>
      </c>
    </row>
    <row r="716" customFormat="false" ht="15" hidden="false" customHeight="false" outlineLevel="0" collapsed="false">
      <c r="A716" s="14"/>
      <c r="B716" s="15"/>
      <c r="C716" s="14"/>
      <c r="D716" s="14"/>
      <c r="E716" s="14"/>
      <c r="F716" s="14"/>
      <c r="G716" s="14"/>
      <c r="H716" s="14"/>
      <c r="I716" s="16"/>
      <c r="J716" s="17"/>
      <c r="K716" s="14"/>
      <c r="L716" s="15"/>
      <c r="M716" s="17"/>
      <c r="N716" s="14"/>
      <c r="O716" s="15"/>
      <c r="P716" s="14"/>
      <c r="Q716" s="16"/>
      <c r="R716" s="13" t="str">
        <f aca="false">IF(AND(B716&lt;&gt;"",L716&lt;&gt;""),L716-B716,"")</f>
        <v/>
      </c>
      <c r="S716" s="13" t="str">
        <f aca="true">IF(B716="","",IF(O716&lt;&gt;"",O716-B716,TODAY()-B716))</f>
        <v/>
      </c>
      <c r="T716" s="13" t="str">
        <f aca="false">IF(A716="","",SUMIF('Time Log'!$C$5:$C$1004,A716,'Time Log'!$E$5:$E$1004))</f>
        <v/>
      </c>
    </row>
    <row r="717" customFormat="false" ht="15" hidden="false" customHeight="false" outlineLevel="0" collapsed="false">
      <c r="A717" s="14"/>
      <c r="B717" s="15"/>
      <c r="C717" s="14"/>
      <c r="D717" s="14"/>
      <c r="E717" s="14"/>
      <c r="F717" s="14"/>
      <c r="G717" s="14"/>
      <c r="H717" s="14"/>
      <c r="I717" s="16"/>
      <c r="J717" s="17"/>
      <c r="K717" s="14"/>
      <c r="L717" s="15"/>
      <c r="M717" s="17"/>
      <c r="N717" s="14"/>
      <c r="O717" s="15"/>
      <c r="P717" s="14"/>
      <c r="Q717" s="16"/>
      <c r="R717" s="13" t="str">
        <f aca="false">IF(AND(B717&lt;&gt;"",L717&lt;&gt;""),L717-B717,"")</f>
        <v/>
      </c>
      <c r="S717" s="13" t="str">
        <f aca="true">IF(B717="","",IF(O717&lt;&gt;"",O717-B717,TODAY()-B717))</f>
        <v/>
      </c>
      <c r="T717" s="13" t="str">
        <f aca="false">IF(A717="","",SUMIF('Time Log'!$C$5:$C$1004,A717,'Time Log'!$E$5:$E$1004))</f>
        <v/>
      </c>
    </row>
    <row r="718" customFormat="false" ht="15" hidden="false" customHeight="false" outlineLevel="0" collapsed="false">
      <c r="A718" s="14"/>
      <c r="B718" s="15"/>
      <c r="C718" s="14"/>
      <c r="D718" s="14"/>
      <c r="E718" s="14"/>
      <c r="F718" s="14"/>
      <c r="G718" s="14"/>
      <c r="H718" s="14"/>
      <c r="I718" s="16"/>
      <c r="J718" s="17"/>
      <c r="K718" s="14"/>
      <c r="L718" s="15"/>
      <c r="M718" s="17"/>
      <c r="N718" s="14"/>
      <c r="O718" s="15"/>
      <c r="P718" s="14"/>
      <c r="Q718" s="16"/>
      <c r="R718" s="13" t="str">
        <f aca="false">IF(AND(B718&lt;&gt;"",L718&lt;&gt;""),L718-B718,"")</f>
        <v/>
      </c>
      <c r="S718" s="13" t="str">
        <f aca="true">IF(B718="","",IF(O718&lt;&gt;"",O718-B718,TODAY()-B718))</f>
        <v/>
      </c>
      <c r="T718" s="13" t="str">
        <f aca="false">IF(A718="","",SUMIF('Time Log'!$C$5:$C$1004,A718,'Time Log'!$E$5:$E$1004))</f>
        <v/>
      </c>
    </row>
    <row r="719" customFormat="false" ht="15" hidden="false" customHeight="false" outlineLevel="0" collapsed="false">
      <c r="A719" s="14"/>
      <c r="B719" s="15"/>
      <c r="C719" s="14"/>
      <c r="D719" s="14"/>
      <c r="E719" s="14"/>
      <c r="F719" s="14"/>
      <c r="G719" s="14"/>
      <c r="H719" s="14"/>
      <c r="I719" s="16"/>
      <c r="J719" s="17"/>
      <c r="K719" s="14"/>
      <c r="L719" s="15"/>
      <c r="M719" s="17"/>
      <c r="N719" s="14"/>
      <c r="O719" s="15"/>
      <c r="P719" s="14"/>
      <c r="Q719" s="16"/>
      <c r="R719" s="13" t="str">
        <f aca="false">IF(AND(B719&lt;&gt;"",L719&lt;&gt;""),L719-B719,"")</f>
        <v/>
      </c>
      <c r="S719" s="13" t="str">
        <f aca="true">IF(B719="","",IF(O719&lt;&gt;"",O719-B719,TODAY()-B719))</f>
        <v/>
      </c>
      <c r="T719" s="13" t="str">
        <f aca="false">IF(A719="","",SUMIF('Time Log'!$C$5:$C$1004,A719,'Time Log'!$E$5:$E$1004))</f>
        <v/>
      </c>
    </row>
    <row r="720" customFormat="false" ht="15" hidden="false" customHeight="false" outlineLevel="0" collapsed="false">
      <c r="A720" s="14"/>
      <c r="B720" s="15"/>
      <c r="C720" s="14"/>
      <c r="D720" s="14"/>
      <c r="E720" s="14"/>
      <c r="F720" s="14"/>
      <c r="G720" s="14"/>
      <c r="H720" s="14"/>
      <c r="I720" s="16"/>
      <c r="J720" s="17"/>
      <c r="K720" s="14"/>
      <c r="L720" s="15"/>
      <c r="M720" s="17"/>
      <c r="N720" s="14"/>
      <c r="O720" s="15"/>
      <c r="P720" s="14"/>
      <c r="Q720" s="16"/>
      <c r="R720" s="13" t="str">
        <f aca="false">IF(AND(B720&lt;&gt;"",L720&lt;&gt;""),L720-B720,"")</f>
        <v/>
      </c>
      <c r="S720" s="13" t="str">
        <f aca="true">IF(B720="","",IF(O720&lt;&gt;"",O720-B720,TODAY()-B720))</f>
        <v/>
      </c>
      <c r="T720" s="13" t="str">
        <f aca="false">IF(A720="","",SUMIF('Time Log'!$C$5:$C$1004,A720,'Time Log'!$E$5:$E$1004))</f>
        <v/>
      </c>
    </row>
    <row r="721" customFormat="false" ht="15" hidden="false" customHeight="false" outlineLevel="0" collapsed="false">
      <c r="A721" s="14"/>
      <c r="B721" s="15"/>
      <c r="C721" s="14"/>
      <c r="D721" s="14"/>
      <c r="E721" s="14"/>
      <c r="F721" s="14"/>
      <c r="G721" s="14"/>
      <c r="H721" s="14"/>
      <c r="I721" s="16"/>
      <c r="J721" s="17"/>
      <c r="K721" s="14"/>
      <c r="L721" s="15"/>
      <c r="M721" s="17"/>
      <c r="N721" s="14"/>
      <c r="O721" s="15"/>
      <c r="P721" s="14"/>
      <c r="Q721" s="16"/>
      <c r="R721" s="13" t="str">
        <f aca="false">IF(AND(B721&lt;&gt;"",L721&lt;&gt;""),L721-B721,"")</f>
        <v/>
      </c>
      <c r="S721" s="13" t="str">
        <f aca="true">IF(B721="","",IF(O721&lt;&gt;"",O721-B721,TODAY()-B721))</f>
        <v/>
      </c>
      <c r="T721" s="13" t="str">
        <f aca="false">IF(A721="","",SUMIF('Time Log'!$C$5:$C$1004,A721,'Time Log'!$E$5:$E$1004))</f>
        <v/>
      </c>
    </row>
    <row r="722" customFormat="false" ht="15" hidden="false" customHeight="false" outlineLevel="0" collapsed="false">
      <c r="A722" s="14"/>
      <c r="B722" s="15"/>
      <c r="C722" s="14"/>
      <c r="D722" s="14"/>
      <c r="E722" s="14"/>
      <c r="F722" s="14"/>
      <c r="G722" s="14"/>
      <c r="H722" s="14"/>
      <c r="I722" s="16"/>
      <c r="J722" s="17"/>
      <c r="K722" s="14"/>
      <c r="L722" s="15"/>
      <c r="M722" s="17"/>
      <c r="N722" s="14"/>
      <c r="O722" s="15"/>
      <c r="P722" s="14"/>
      <c r="Q722" s="16"/>
      <c r="R722" s="13" t="str">
        <f aca="false">IF(AND(B722&lt;&gt;"",L722&lt;&gt;""),L722-B722,"")</f>
        <v/>
      </c>
      <c r="S722" s="13" t="str">
        <f aca="true">IF(B722="","",IF(O722&lt;&gt;"",O722-B722,TODAY()-B722))</f>
        <v/>
      </c>
      <c r="T722" s="13" t="str">
        <f aca="false">IF(A722="","",SUMIF('Time Log'!$C$5:$C$1004,A722,'Time Log'!$E$5:$E$1004))</f>
        <v/>
      </c>
    </row>
    <row r="723" customFormat="false" ht="15" hidden="false" customHeight="false" outlineLevel="0" collapsed="false">
      <c r="A723" s="14"/>
      <c r="B723" s="15"/>
      <c r="C723" s="14"/>
      <c r="D723" s="14"/>
      <c r="E723" s="14"/>
      <c r="F723" s="14"/>
      <c r="G723" s="14"/>
      <c r="H723" s="14"/>
      <c r="I723" s="16"/>
      <c r="J723" s="17"/>
      <c r="K723" s="14"/>
      <c r="L723" s="15"/>
      <c r="M723" s="17"/>
      <c r="N723" s="14"/>
      <c r="O723" s="15"/>
      <c r="P723" s="14"/>
      <c r="Q723" s="16"/>
      <c r="R723" s="13" t="str">
        <f aca="false">IF(AND(B723&lt;&gt;"",L723&lt;&gt;""),L723-B723,"")</f>
        <v/>
      </c>
      <c r="S723" s="13" t="str">
        <f aca="true">IF(B723="","",IF(O723&lt;&gt;"",O723-B723,TODAY()-B723))</f>
        <v/>
      </c>
      <c r="T723" s="13" t="str">
        <f aca="false">IF(A723="","",SUMIF('Time Log'!$C$5:$C$1004,A723,'Time Log'!$E$5:$E$1004))</f>
        <v/>
      </c>
    </row>
    <row r="724" customFormat="false" ht="15" hidden="false" customHeight="false" outlineLevel="0" collapsed="false">
      <c r="A724" s="14"/>
      <c r="B724" s="15"/>
      <c r="C724" s="14"/>
      <c r="D724" s="14"/>
      <c r="E724" s="14"/>
      <c r="F724" s="14"/>
      <c r="G724" s="14"/>
      <c r="H724" s="14"/>
      <c r="I724" s="16"/>
      <c r="J724" s="17"/>
      <c r="K724" s="14"/>
      <c r="L724" s="15"/>
      <c r="M724" s="17"/>
      <c r="N724" s="14"/>
      <c r="O724" s="15"/>
      <c r="P724" s="14"/>
      <c r="Q724" s="16"/>
      <c r="R724" s="13" t="str">
        <f aca="false">IF(AND(B724&lt;&gt;"",L724&lt;&gt;""),L724-B724,"")</f>
        <v/>
      </c>
      <c r="S724" s="13" t="str">
        <f aca="true">IF(B724="","",IF(O724&lt;&gt;"",O724-B724,TODAY()-B724))</f>
        <v/>
      </c>
      <c r="T724" s="13" t="str">
        <f aca="false">IF(A724="","",SUMIF('Time Log'!$C$5:$C$1004,A724,'Time Log'!$E$5:$E$1004))</f>
        <v/>
      </c>
    </row>
    <row r="725" customFormat="false" ht="15" hidden="false" customHeight="false" outlineLevel="0" collapsed="false">
      <c r="A725" s="14"/>
      <c r="B725" s="15"/>
      <c r="C725" s="14"/>
      <c r="D725" s="14"/>
      <c r="E725" s="14"/>
      <c r="F725" s="14"/>
      <c r="G725" s="14"/>
      <c r="H725" s="14"/>
      <c r="I725" s="16"/>
      <c r="J725" s="17"/>
      <c r="K725" s="14"/>
      <c r="L725" s="15"/>
      <c r="M725" s="17"/>
      <c r="N725" s="14"/>
      <c r="O725" s="15"/>
      <c r="P725" s="14"/>
      <c r="Q725" s="16"/>
      <c r="R725" s="13" t="str">
        <f aca="false">IF(AND(B725&lt;&gt;"",L725&lt;&gt;""),L725-B725,"")</f>
        <v/>
      </c>
      <c r="S725" s="13" t="str">
        <f aca="true">IF(B725="","",IF(O725&lt;&gt;"",O725-B725,TODAY()-B725))</f>
        <v/>
      </c>
      <c r="T725" s="13" t="str">
        <f aca="false">IF(A725="","",SUMIF('Time Log'!$C$5:$C$1004,A725,'Time Log'!$E$5:$E$1004))</f>
        <v/>
      </c>
    </row>
    <row r="726" customFormat="false" ht="15" hidden="false" customHeight="false" outlineLevel="0" collapsed="false">
      <c r="A726" s="14"/>
      <c r="B726" s="15"/>
      <c r="C726" s="14"/>
      <c r="D726" s="14"/>
      <c r="E726" s="14"/>
      <c r="F726" s="14"/>
      <c r="G726" s="14"/>
      <c r="H726" s="14"/>
      <c r="I726" s="16"/>
      <c r="J726" s="17"/>
      <c r="K726" s="14"/>
      <c r="L726" s="15"/>
      <c r="M726" s="17"/>
      <c r="N726" s="14"/>
      <c r="O726" s="15"/>
      <c r="P726" s="14"/>
      <c r="Q726" s="16"/>
      <c r="R726" s="13" t="str">
        <f aca="false">IF(AND(B726&lt;&gt;"",L726&lt;&gt;""),L726-B726,"")</f>
        <v/>
      </c>
      <c r="S726" s="13" t="str">
        <f aca="true">IF(B726="","",IF(O726&lt;&gt;"",O726-B726,TODAY()-B726))</f>
        <v/>
      </c>
      <c r="T726" s="13" t="str">
        <f aca="false">IF(A726="","",SUMIF('Time Log'!$C$5:$C$1004,A726,'Time Log'!$E$5:$E$1004))</f>
        <v/>
      </c>
    </row>
    <row r="727" customFormat="false" ht="15" hidden="false" customHeight="false" outlineLevel="0" collapsed="false">
      <c r="A727" s="14"/>
      <c r="B727" s="15"/>
      <c r="C727" s="14"/>
      <c r="D727" s="14"/>
      <c r="E727" s="14"/>
      <c r="F727" s="14"/>
      <c r="G727" s="14"/>
      <c r="H727" s="14"/>
      <c r="I727" s="16"/>
      <c r="J727" s="17"/>
      <c r="K727" s="14"/>
      <c r="L727" s="15"/>
      <c r="M727" s="17"/>
      <c r="N727" s="14"/>
      <c r="O727" s="15"/>
      <c r="P727" s="14"/>
      <c r="Q727" s="16"/>
      <c r="R727" s="13" t="str">
        <f aca="false">IF(AND(B727&lt;&gt;"",L727&lt;&gt;""),L727-B727,"")</f>
        <v/>
      </c>
      <c r="S727" s="13" t="str">
        <f aca="true">IF(B727="","",IF(O727&lt;&gt;"",O727-B727,TODAY()-B727))</f>
        <v/>
      </c>
      <c r="T727" s="13" t="str">
        <f aca="false">IF(A727="","",SUMIF('Time Log'!$C$5:$C$1004,A727,'Time Log'!$E$5:$E$1004))</f>
        <v/>
      </c>
    </row>
    <row r="728" customFormat="false" ht="15" hidden="false" customHeight="false" outlineLevel="0" collapsed="false">
      <c r="A728" s="14"/>
      <c r="B728" s="15"/>
      <c r="C728" s="14"/>
      <c r="D728" s="14"/>
      <c r="E728" s="14"/>
      <c r="F728" s="14"/>
      <c r="G728" s="14"/>
      <c r="H728" s="14"/>
      <c r="I728" s="16"/>
      <c r="J728" s="17"/>
      <c r="K728" s="14"/>
      <c r="L728" s="15"/>
      <c r="M728" s="17"/>
      <c r="N728" s="14"/>
      <c r="O728" s="15"/>
      <c r="P728" s="14"/>
      <c r="Q728" s="16"/>
      <c r="R728" s="13" t="str">
        <f aca="false">IF(AND(B728&lt;&gt;"",L728&lt;&gt;""),L728-B728,"")</f>
        <v/>
      </c>
      <c r="S728" s="13" t="str">
        <f aca="true">IF(B728="","",IF(O728&lt;&gt;"",O728-B728,TODAY()-B728))</f>
        <v/>
      </c>
      <c r="T728" s="13" t="str">
        <f aca="false">IF(A728="","",SUMIF('Time Log'!$C$5:$C$1004,A728,'Time Log'!$E$5:$E$1004))</f>
        <v/>
      </c>
    </row>
    <row r="729" customFormat="false" ht="15" hidden="false" customHeight="false" outlineLevel="0" collapsed="false">
      <c r="A729" s="14"/>
      <c r="B729" s="15"/>
      <c r="C729" s="14"/>
      <c r="D729" s="14"/>
      <c r="E729" s="14"/>
      <c r="F729" s="14"/>
      <c r="G729" s="14"/>
      <c r="H729" s="14"/>
      <c r="I729" s="16"/>
      <c r="J729" s="17"/>
      <c r="K729" s="14"/>
      <c r="L729" s="15"/>
      <c r="M729" s="17"/>
      <c r="N729" s="14"/>
      <c r="O729" s="15"/>
      <c r="P729" s="14"/>
      <c r="Q729" s="16"/>
      <c r="R729" s="13" t="str">
        <f aca="false">IF(AND(B729&lt;&gt;"",L729&lt;&gt;""),L729-B729,"")</f>
        <v/>
      </c>
      <c r="S729" s="13" t="str">
        <f aca="true">IF(B729="","",IF(O729&lt;&gt;"",O729-B729,TODAY()-B729))</f>
        <v/>
      </c>
      <c r="T729" s="13" t="str">
        <f aca="false">IF(A729="","",SUMIF('Time Log'!$C$5:$C$1004,A729,'Time Log'!$E$5:$E$1004))</f>
        <v/>
      </c>
    </row>
    <row r="730" customFormat="false" ht="15" hidden="false" customHeight="false" outlineLevel="0" collapsed="false">
      <c r="A730" s="14"/>
      <c r="B730" s="15"/>
      <c r="C730" s="14"/>
      <c r="D730" s="14"/>
      <c r="E730" s="14"/>
      <c r="F730" s="14"/>
      <c r="G730" s="14"/>
      <c r="H730" s="14"/>
      <c r="I730" s="16"/>
      <c r="J730" s="17"/>
      <c r="K730" s="14"/>
      <c r="L730" s="15"/>
      <c r="M730" s="17"/>
      <c r="N730" s="14"/>
      <c r="O730" s="15"/>
      <c r="P730" s="14"/>
      <c r="Q730" s="16"/>
      <c r="R730" s="13" t="str">
        <f aca="false">IF(AND(B730&lt;&gt;"",L730&lt;&gt;""),L730-B730,"")</f>
        <v/>
      </c>
      <c r="S730" s="13" t="str">
        <f aca="true">IF(B730="","",IF(O730&lt;&gt;"",O730-B730,TODAY()-B730))</f>
        <v/>
      </c>
      <c r="T730" s="13" t="str">
        <f aca="false">IF(A730="","",SUMIF('Time Log'!$C$5:$C$1004,A730,'Time Log'!$E$5:$E$1004))</f>
        <v/>
      </c>
    </row>
    <row r="731" customFormat="false" ht="15" hidden="false" customHeight="false" outlineLevel="0" collapsed="false">
      <c r="A731" s="14"/>
      <c r="B731" s="15"/>
      <c r="C731" s="14"/>
      <c r="D731" s="14"/>
      <c r="E731" s="14"/>
      <c r="F731" s="14"/>
      <c r="G731" s="14"/>
      <c r="H731" s="14"/>
      <c r="I731" s="16"/>
      <c r="J731" s="17"/>
      <c r="K731" s="14"/>
      <c r="L731" s="15"/>
      <c r="M731" s="17"/>
      <c r="N731" s="14"/>
      <c r="O731" s="15"/>
      <c r="P731" s="14"/>
      <c r="Q731" s="16"/>
      <c r="R731" s="13" t="str">
        <f aca="false">IF(AND(B731&lt;&gt;"",L731&lt;&gt;""),L731-B731,"")</f>
        <v/>
      </c>
      <c r="S731" s="13" t="str">
        <f aca="true">IF(B731="","",IF(O731&lt;&gt;"",O731-B731,TODAY()-B731))</f>
        <v/>
      </c>
      <c r="T731" s="13" t="str">
        <f aca="false">IF(A731="","",SUMIF('Time Log'!$C$5:$C$1004,A731,'Time Log'!$E$5:$E$1004))</f>
        <v/>
      </c>
    </row>
    <row r="732" customFormat="false" ht="15" hidden="false" customHeight="false" outlineLevel="0" collapsed="false">
      <c r="A732" s="14"/>
      <c r="B732" s="15"/>
      <c r="C732" s="14"/>
      <c r="D732" s="14"/>
      <c r="E732" s="14"/>
      <c r="F732" s="14"/>
      <c r="G732" s="14"/>
      <c r="H732" s="14"/>
      <c r="I732" s="16"/>
      <c r="J732" s="17"/>
      <c r="K732" s="14"/>
      <c r="L732" s="15"/>
      <c r="M732" s="17"/>
      <c r="N732" s="14"/>
      <c r="O732" s="15"/>
      <c r="P732" s="14"/>
      <c r="Q732" s="16"/>
      <c r="R732" s="13" t="str">
        <f aca="false">IF(AND(B732&lt;&gt;"",L732&lt;&gt;""),L732-B732,"")</f>
        <v/>
      </c>
      <c r="S732" s="13" t="str">
        <f aca="true">IF(B732="","",IF(O732&lt;&gt;"",O732-B732,TODAY()-B732))</f>
        <v/>
      </c>
      <c r="T732" s="13" t="str">
        <f aca="false">IF(A732="","",SUMIF('Time Log'!$C$5:$C$1004,A732,'Time Log'!$E$5:$E$1004))</f>
        <v/>
      </c>
    </row>
    <row r="733" customFormat="false" ht="15" hidden="false" customHeight="false" outlineLevel="0" collapsed="false">
      <c r="A733" s="14"/>
      <c r="B733" s="15"/>
      <c r="C733" s="14"/>
      <c r="D733" s="14"/>
      <c r="E733" s="14"/>
      <c r="F733" s="14"/>
      <c r="G733" s="14"/>
      <c r="H733" s="14"/>
      <c r="I733" s="16"/>
      <c r="J733" s="17"/>
      <c r="K733" s="14"/>
      <c r="L733" s="15"/>
      <c r="M733" s="17"/>
      <c r="N733" s="14"/>
      <c r="O733" s="15"/>
      <c r="P733" s="14"/>
      <c r="Q733" s="16"/>
      <c r="R733" s="13" t="str">
        <f aca="false">IF(AND(B733&lt;&gt;"",L733&lt;&gt;""),L733-B733,"")</f>
        <v/>
      </c>
      <c r="S733" s="13" t="str">
        <f aca="true">IF(B733="","",IF(O733&lt;&gt;"",O733-B733,TODAY()-B733))</f>
        <v/>
      </c>
      <c r="T733" s="13" t="str">
        <f aca="false">IF(A733="","",SUMIF('Time Log'!$C$5:$C$1004,A733,'Time Log'!$E$5:$E$1004))</f>
        <v/>
      </c>
    </row>
    <row r="734" customFormat="false" ht="15" hidden="false" customHeight="false" outlineLevel="0" collapsed="false">
      <c r="A734" s="14"/>
      <c r="B734" s="15"/>
      <c r="C734" s="14"/>
      <c r="D734" s="14"/>
      <c r="E734" s="14"/>
      <c r="F734" s="14"/>
      <c r="G734" s="14"/>
      <c r="H734" s="14"/>
      <c r="I734" s="16"/>
      <c r="J734" s="17"/>
      <c r="K734" s="14"/>
      <c r="L734" s="15"/>
      <c r="M734" s="17"/>
      <c r="N734" s="14"/>
      <c r="O734" s="15"/>
      <c r="P734" s="14"/>
      <c r="Q734" s="16"/>
      <c r="R734" s="13" t="str">
        <f aca="false">IF(AND(B734&lt;&gt;"",L734&lt;&gt;""),L734-B734,"")</f>
        <v/>
      </c>
      <c r="S734" s="13" t="str">
        <f aca="true">IF(B734="","",IF(O734&lt;&gt;"",O734-B734,TODAY()-B734))</f>
        <v/>
      </c>
      <c r="T734" s="13" t="str">
        <f aca="false">IF(A734="","",SUMIF('Time Log'!$C$5:$C$1004,A734,'Time Log'!$E$5:$E$1004))</f>
        <v/>
      </c>
    </row>
    <row r="735" customFormat="false" ht="15" hidden="false" customHeight="false" outlineLevel="0" collapsed="false">
      <c r="A735" s="14"/>
      <c r="B735" s="15"/>
      <c r="C735" s="14"/>
      <c r="D735" s="14"/>
      <c r="E735" s="14"/>
      <c r="F735" s="14"/>
      <c r="G735" s="14"/>
      <c r="H735" s="14"/>
      <c r="I735" s="16"/>
      <c r="J735" s="17"/>
      <c r="K735" s="14"/>
      <c r="L735" s="15"/>
      <c r="M735" s="17"/>
      <c r="N735" s="14"/>
      <c r="O735" s="15"/>
      <c r="P735" s="14"/>
      <c r="Q735" s="16"/>
      <c r="R735" s="13" t="str">
        <f aca="false">IF(AND(B735&lt;&gt;"",L735&lt;&gt;""),L735-B735,"")</f>
        <v/>
      </c>
      <c r="S735" s="13" t="str">
        <f aca="true">IF(B735="","",IF(O735&lt;&gt;"",O735-B735,TODAY()-B735))</f>
        <v/>
      </c>
      <c r="T735" s="13" t="str">
        <f aca="false">IF(A735="","",SUMIF('Time Log'!$C$5:$C$1004,A735,'Time Log'!$E$5:$E$1004))</f>
        <v/>
      </c>
    </row>
    <row r="736" customFormat="false" ht="15" hidden="false" customHeight="false" outlineLevel="0" collapsed="false">
      <c r="A736" s="14"/>
      <c r="B736" s="15"/>
      <c r="C736" s="14"/>
      <c r="D736" s="14"/>
      <c r="E736" s="14"/>
      <c r="F736" s="14"/>
      <c r="G736" s="14"/>
      <c r="H736" s="14"/>
      <c r="I736" s="16"/>
      <c r="J736" s="17"/>
      <c r="K736" s="14"/>
      <c r="L736" s="15"/>
      <c r="M736" s="17"/>
      <c r="N736" s="14"/>
      <c r="O736" s="15"/>
      <c r="P736" s="14"/>
      <c r="Q736" s="16"/>
      <c r="R736" s="13" t="str">
        <f aca="false">IF(AND(B736&lt;&gt;"",L736&lt;&gt;""),L736-B736,"")</f>
        <v/>
      </c>
      <c r="S736" s="13" t="str">
        <f aca="true">IF(B736="","",IF(O736&lt;&gt;"",O736-B736,TODAY()-B736))</f>
        <v/>
      </c>
      <c r="T736" s="13" t="str">
        <f aca="false">IF(A736="","",SUMIF('Time Log'!$C$5:$C$1004,A736,'Time Log'!$E$5:$E$1004))</f>
        <v/>
      </c>
    </row>
    <row r="737" customFormat="false" ht="15" hidden="false" customHeight="false" outlineLevel="0" collapsed="false">
      <c r="A737" s="14"/>
      <c r="B737" s="15"/>
      <c r="C737" s="14"/>
      <c r="D737" s="14"/>
      <c r="E737" s="14"/>
      <c r="F737" s="14"/>
      <c r="G737" s="14"/>
      <c r="H737" s="14"/>
      <c r="I737" s="16"/>
      <c r="J737" s="17"/>
      <c r="K737" s="14"/>
      <c r="L737" s="15"/>
      <c r="M737" s="17"/>
      <c r="N737" s="14"/>
      <c r="O737" s="15"/>
      <c r="P737" s="14"/>
      <c r="Q737" s="16"/>
      <c r="R737" s="13" t="str">
        <f aca="false">IF(AND(B737&lt;&gt;"",L737&lt;&gt;""),L737-B737,"")</f>
        <v/>
      </c>
      <c r="S737" s="13" t="str">
        <f aca="true">IF(B737="","",IF(O737&lt;&gt;"",O737-B737,TODAY()-B737))</f>
        <v/>
      </c>
      <c r="T737" s="13" t="str">
        <f aca="false">IF(A737="","",SUMIF('Time Log'!$C$5:$C$1004,A737,'Time Log'!$E$5:$E$1004))</f>
        <v/>
      </c>
    </row>
    <row r="738" customFormat="false" ht="15" hidden="false" customHeight="false" outlineLevel="0" collapsed="false">
      <c r="A738" s="14"/>
      <c r="B738" s="15"/>
      <c r="C738" s="14"/>
      <c r="D738" s="14"/>
      <c r="E738" s="14"/>
      <c r="F738" s="14"/>
      <c r="G738" s="14"/>
      <c r="H738" s="14"/>
      <c r="I738" s="16"/>
      <c r="J738" s="17"/>
      <c r="K738" s="14"/>
      <c r="L738" s="15"/>
      <c r="M738" s="17"/>
      <c r="N738" s="14"/>
      <c r="O738" s="15"/>
      <c r="P738" s="14"/>
      <c r="Q738" s="16"/>
      <c r="R738" s="13" t="str">
        <f aca="false">IF(AND(B738&lt;&gt;"",L738&lt;&gt;""),L738-B738,"")</f>
        <v/>
      </c>
      <c r="S738" s="13" t="str">
        <f aca="true">IF(B738="","",IF(O738&lt;&gt;"",O738-B738,TODAY()-B738))</f>
        <v/>
      </c>
      <c r="T738" s="13" t="str">
        <f aca="false">IF(A738="","",SUMIF('Time Log'!$C$5:$C$1004,A738,'Time Log'!$E$5:$E$1004))</f>
        <v/>
      </c>
    </row>
    <row r="739" customFormat="false" ht="15" hidden="false" customHeight="false" outlineLevel="0" collapsed="false">
      <c r="A739" s="14"/>
      <c r="B739" s="15"/>
      <c r="C739" s="14"/>
      <c r="D739" s="14"/>
      <c r="E739" s="14"/>
      <c r="F739" s="14"/>
      <c r="G739" s="14"/>
      <c r="H739" s="14"/>
      <c r="I739" s="16"/>
      <c r="J739" s="17"/>
      <c r="K739" s="14"/>
      <c r="L739" s="15"/>
      <c r="M739" s="17"/>
      <c r="N739" s="14"/>
      <c r="O739" s="15"/>
      <c r="P739" s="14"/>
      <c r="Q739" s="16"/>
      <c r="R739" s="13" t="str">
        <f aca="false">IF(AND(B739&lt;&gt;"",L739&lt;&gt;""),L739-B739,"")</f>
        <v/>
      </c>
      <c r="S739" s="13" t="str">
        <f aca="true">IF(B739="","",IF(O739&lt;&gt;"",O739-B739,TODAY()-B739))</f>
        <v/>
      </c>
      <c r="T739" s="13" t="str">
        <f aca="false">IF(A739="","",SUMIF('Time Log'!$C$5:$C$1004,A739,'Time Log'!$E$5:$E$1004))</f>
        <v/>
      </c>
    </row>
    <row r="740" customFormat="false" ht="15" hidden="false" customHeight="false" outlineLevel="0" collapsed="false">
      <c r="A740" s="14"/>
      <c r="B740" s="15"/>
      <c r="C740" s="14"/>
      <c r="D740" s="14"/>
      <c r="E740" s="14"/>
      <c r="F740" s="14"/>
      <c r="G740" s="14"/>
      <c r="H740" s="14"/>
      <c r="I740" s="16"/>
      <c r="J740" s="17"/>
      <c r="K740" s="14"/>
      <c r="L740" s="15"/>
      <c r="M740" s="17"/>
      <c r="N740" s="14"/>
      <c r="O740" s="15"/>
      <c r="P740" s="14"/>
      <c r="Q740" s="16"/>
      <c r="R740" s="13" t="str">
        <f aca="false">IF(AND(B740&lt;&gt;"",L740&lt;&gt;""),L740-B740,"")</f>
        <v/>
      </c>
      <c r="S740" s="13" t="str">
        <f aca="true">IF(B740="","",IF(O740&lt;&gt;"",O740-B740,TODAY()-B740))</f>
        <v/>
      </c>
      <c r="T740" s="13" t="str">
        <f aca="false">IF(A740="","",SUMIF('Time Log'!$C$5:$C$1004,A740,'Time Log'!$E$5:$E$1004))</f>
        <v/>
      </c>
    </row>
    <row r="741" customFormat="false" ht="15" hidden="false" customHeight="false" outlineLevel="0" collapsed="false">
      <c r="A741" s="14"/>
      <c r="B741" s="15"/>
      <c r="C741" s="14"/>
      <c r="D741" s="14"/>
      <c r="E741" s="14"/>
      <c r="F741" s="14"/>
      <c r="G741" s="14"/>
      <c r="H741" s="14"/>
      <c r="I741" s="16"/>
      <c r="J741" s="17"/>
      <c r="K741" s="14"/>
      <c r="L741" s="15"/>
      <c r="M741" s="17"/>
      <c r="N741" s="14"/>
      <c r="O741" s="15"/>
      <c r="P741" s="14"/>
      <c r="Q741" s="16"/>
      <c r="R741" s="13" t="str">
        <f aca="false">IF(AND(B741&lt;&gt;"",L741&lt;&gt;""),L741-B741,"")</f>
        <v/>
      </c>
      <c r="S741" s="13" t="str">
        <f aca="true">IF(B741="","",IF(O741&lt;&gt;"",O741-B741,TODAY()-B741))</f>
        <v/>
      </c>
      <c r="T741" s="13" t="str">
        <f aca="false">IF(A741="","",SUMIF('Time Log'!$C$5:$C$1004,A741,'Time Log'!$E$5:$E$1004))</f>
        <v/>
      </c>
    </row>
    <row r="742" customFormat="false" ht="15" hidden="false" customHeight="false" outlineLevel="0" collapsed="false">
      <c r="A742" s="14"/>
      <c r="B742" s="15"/>
      <c r="C742" s="14"/>
      <c r="D742" s="14"/>
      <c r="E742" s="14"/>
      <c r="F742" s="14"/>
      <c r="G742" s="14"/>
      <c r="H742" s="14"/>
      <c r="I742" s="16"/>
      <c r="J742" s="17"/>
      <c r="K742" s="14"/>
      <c r="L742" s="15"/>
      <c r="M742" s="17"/>
      <c r="N742" s="14"/>
      <c r="O742" s="15"/>
      <c r="P742" s="14"/>
      <c r="Q742" s="16"/>
      <c r="R742" s="13" t="str">
        <f aca="false">IF(AND(B742&lt;&gt;"",L742&lt;&gt;""),L742-B742,"")</f>
        <v/>
      </c>
      <c r="S742" s="13" t="str">
        <f aca="true">IF(B742="","",IF(O742&lt;&gt;"",O742-B742,TODAY()-B742))</f>
        <v/>
      </c>
      <c r="T742" s="13" t="str">
        <f aca="false">IF(A742="","",SUMIF('Time Log'!$C$5:$C$1004,A742,'Time Log'!$E$5:$E$1004))</f>
        <v/>
      </c>
    </row>
    <row r="743" customFormat="false" ht="15" hidden="false" customHeight="false" outlineLevel="0" collapsed="false">
      <c r="A743" s="14"/>
      <c r="B743" s="15"/>
      <c r="C743" s="14"/>
      <c r="D743" s="14"/>
      <c r="E743" s="14"/>
      <c r="F743" s="14"/>
      <c r="G743" s="14"/>
      <c r="H743" s="14"/>
      <c r="I743" s="16"/>
      <c r="J743" s="17"/>
      <c r="K743" s="14"/>
      <c r="L743" s="15"/>
      <c r="M743" s="17"/>
      <c r="N743" s="14"/>
      <c r="O743" s="15"/>
      <c r="P743" s="14"/>
      <c r="Q743" s="16"/>
      <c r="R743" s="13" t="str">
        <f aca="false">IF(AND(B743&lt;&gt;"",L743&lt;&gt;""),L743-B743,"")</f>
        <v/>
      </c>
      <c r="S743" s="13" t="str">
        <f aca="true">IF(B743="","",IF(O743&lt;&gt;"",O743-B743,TODAY()-B743))</f>
        <v/>
      </c>
      <c r="T743" s="13" t="str">
        <f aca="false">IF(A743="","",SUMIF('Time Log'!$C$5:$C$1004,A743,'Time Log'!$E$5:$E$1004))</f>
        <v/>
      </c>
    </row>
    <row r="744" customFormat="false" ht="15" hidden="false" customHeight="false" outlineLevel="0" collapsed="false">
      <c r="A744" s="14"/>
      <c r="B744" s="15"/>
      <c r="C744" s="14"/>
      <c r="D744" s="14"/>
      <c r="E744" s="14"/>
      <c r="F744" s="14"/>
      <c r="G744" s="14"/>
      <c r="H744" s="14"/>
      <c r="I744" s="16"/>
      <c r="J744" s="17"/>
      <c r="K744" s="14"/>
      <c r="L744" s="15"/>
      <c r="M744" s="17"/>
      <c r="N744" s="14"/>
      <c r="O744" s="15"/>
      <c r="P744" s="14"/>
      <c r="Q744" s="16"/>
      <c r="R744" s="13" t="str">
        <f aca="false">IF(AND(B744&lt;&gt;"",L744&lt;&gt;""),L744-B744,"")</f>
        <v/>
      </c>
      <c r="S744" s="13" t="str">
        <f aca="true">IF(B744="","",IF(O744&lt;&gt;"",O744-B744,TODAY()-B744))</f>
        <v/>
      </c>
      <c r="T744" s="13" t="str">
        <f aca="false">IF(A744="","",SUMIF('Time Log'!$C$5:$C$1004,A744,'Time Log'!$E$5:$E$1004))</f>
        <v/>
      </c>
    </row>
    <row r="745" customFormat="false" ht="15" hidden="false" customHeight="false" outlineLevel="0" collapsed="false">
      <c r="A745" s="14"/>
      <c r="B745" s="15"/>
      <c r="C745" s="14"/>
      <c r="D745" s="14"/>
      <c r="E745" s="14"/>
      <c r="F745" s="14"/>
      <c r="G745" s="14"/>
      <c r="H745" s="14"/>
      <c r="I745" s="16"/>
      <c r="J745" s="17"/>
      <c r="K745" s="14"/>
      <c r="L745" s="15"/>
      <c r="M745" s="17"/>
      <c r="N745" s="14"/>
      <c r="O745" s="15"/>
      <c r="P745" s="14"/>
      <c r="Q745" s="16"/>
      <c r="R745" s="13" t="str">
        <f aca="false">IF(AND(B745&lt;&gt;"",L745&lt;&gt;""),L745-B745,"")</f>
        <v/>
      </c>
      <c r="S745" s="13" t="str">
        <f aca="true">IF(B745="","",IF(O745&lt;&gt;"",O745-B745,TODAY()-B745))</f>
        <v/>
      </c>
      <c r="T745" s="13" t="str">
        <f aca="false">IF(A745="","",SUMIF('Time Log'!$C$5:$C$1004,A745,'Time Log'!$E$5:$E$1004))</f>
        <v/>
      </c>
    </row>
    <row r="746" customFormat="false" ht="15" hidden="false" customHeight="false" outlineLevel="0" collapsed="false">
      <c r="A746" s="14"/>
      <c r="B746" s="15"/>
      <c r="C746" s="14"/>
      <c r="D746" s="14"/>
      <c r="E746" s="14"/>
      <c r="F746" s="14"/>
      <c r="G746" s="14"/>
      <c r="H746" s="14"/>
      <c r="I746" s="16"/>
      <c r="J746" s="17"/>
      <c r="K746" s="14"/>
      <c r="L746" s="15"/>
      <c r="M746" s="17"/>
      <c r="N746" s="14"/>
      <c r="O746" s="15"/>
      <c r="P746" s="14"/>
      <c r="Q746" s="16"/>
      <c r="R746" s="13" t="str">
        <f aca="false">IF(AND(B746&lt;&gt;"",L746&lt;&gt;""),L746-B746,"")</f>
        <v/>
      </c>
      <c r="S746" s="13" t="str">
        <f aca="true">IF(B746="","",IF(O746&lt;&gt;"",O746-B746,TODAY()-B746))</f>
        <v/>
      </c>
      <c r="T746" s="13" t="str">
        <f aca="false">IF(A746="","",SUMIF('Time Log'!$C$5:$C$1004,A746,'Time Log'!$E$5:$E$1004))</f>
        <v/>
      </c>
    </row>
    <row r="747" customFormat="false" ht="15" hidden="false" customHeight="false" outlineLevel="0" collapsed="false">
      <c r="A747" s="14"/>
      <c r="B747" s="15"/>
      <c r="C747" s="14"/>
      <c r="D747" s="14"/>
      <c r="E747" s="14"/>
      <c r="F747" s="14"/>
      <c r="G747" s="14"/>
      <c r="H747" s="14"/>
      <c r="I747" s="16"/>
      <c r="J747" s="17"/>
      <c r="K747" s="14"/>
      <c r="L747" s="15"/>
      <c r="M747" s="17"/>
      <c r="N747" s="14"/>
      <c r="O747" s="15"/>
      <c r="P747" s="14"/>
      <c r="Q747" s="16"/>
      <c r="R747" s="13" t="str">
        <f aca="false">IF(AND(B747&lt;&gt;"",L747&lt;&gt;""),L747-B747,"")</f>
        <v/>
      </c>
      <c r="S747" s="13" t="str">
        <f aca="true">IF(B747="","",IF(O747&lt;&gt;"",O747-B747,TODAY()-B747))</f>
        <v/>
      </c>
      <c r="T747" s="13" t="str">
        <f aca="false">IF(A747="","",SUMIF('Time Log'!$C$5:$C$1004,A747,'Time Log'!$E$5:$E$1004))</f>
        <v/>
      </c>
    </row>
    <row r="748" customFormat="false" ht="15" hidden="false" customHeight="false" outlineLevel="0" collapsed="false">
      <c r="A748" s="14"/>
      <c r="B748" s="15"/>
      <c r="C748" s="14"/>
      <c r="D748" s="14"/>
      <c r="E748" s="14"/>
      <c r="F748" s="14"/>
      <c r="G748" s="14"/>
      <c r="H748" s="14"/>
      <c r="I748" s="16"/>
      <c r="J748" s="17"/>
      <c r="K748" s="14"/>
      <c r="L748" s="15"/>
      <c r="M748" s="17"/>
      <c r="N748" s="14"/>
      <c r="O748" s="15"/>
      <c r="P748" s="14"/>
      <c r="Q748" s="16"/>
      <c r="R748" s="13" t="str">
        <f aca="false">IF(AND(B748&lt;&gt;"",L748&lt;&gt;""),L748-B748,"")</f>
        <v/>
      </c>
      <c r="S748" s="13" t="str">
        <f aca="true">IF(B748="","",IF(O748&lt;&gt;"",O748-B748,TODAY()-B748))</f>
        <v/>
      </c>
      <c r="T748" s="13" t="str">
        <f aca="false">IF(A748="","",SUMIF('Time Log'!$C$5:$C$1004,A748,'Time Log'!$E$5:$E$1004))</f>
        <v/>
      </c>
    </row>
    <row r="749" customFormat="false" ht="15" hidden="false" customHeight="false" outlineLevel="0" collapsed="false">
      <c r="A749" s="14"/>
      <c r="B749" s="15"/>
      <c r="C749" s="14"/>
      <c r="D749" s="14"/>
      <c r="E749" s="14"/>
      <c r="F749" s="14"/>
      <c r="G749" s="14"/>
      <c r="H749" s="14"/>
      <c r="I749" s="16"/>
      <c r="J749" s="17"/>
      <c r="K749" s="14"/>
      <c r="L749" s="15"/>
      <c r="M749" s="17"/>
      <c r="N749" s="14"/>
      <c r="O749" s="15"/>
      <c r="P749" s="14"/>
      <c r="Q749" s="16"/>
      <c r="R749" s="13" t="str">
        <f aca="false">IF(AND(B749&lt;&gt;"",L749&lt;&gt;""),L749-B749,"")</f>
        <v/>
      </c>
      <c r="S749" s="13" t="str">
        <f aca="true">IF(B749="","",IF(O749&lt;&gt;"",O749-B749,TODAY()-B749))</f>
        <v/>
      </c>
      <c r="T749" s="13" t="str">
        <f aca="false">IF(A749="","",SUMIF('Time Log'!$C$5:$C$1004,A749,'Time Log'!$E$5:$E$1004))</f>
        <v/>
      </c>
    </row>
    <row r="750" customFormat="false" ht="15" hidden="false" customHeight="false" outlineLevel="0" collapsed="false">
      <c r="A750" s="14"/>
      <c r="B750" s="15"/>
      <c r="C750" s="14"/>
      <c r="D750" s="14"/>
      <c r="E750" s="14"/>
      <c r="F750" s="14"/>
      <c r="G750" s="14"/>
      <c r="H750" s="14"/>
      <c r="I750" s="16"/>
      <c r="J750" s="17"/>
      <c r="K750" s="14"/>
      <c r="L750" s="15"/>
      <c r="M750" s="17"/>
      <c r="N750" s="14"/>
      <c r="O750" s="15"/>
      <c r="P750" s="14"/>
      <c r="Q750" s="16"/>
      <c r="R750" s="13" t="str">
        <f aca="false">IF(AND(B750&lt;&gt;"",L750&lt;&gt;""),L750-B750,"")</f>
        <v/>
      </c>
      <c r="S750" s="13" t="str">
        <f aca="true">IF(B750="","",IF(O750&lt;&gt;"",O750-B750,TODAY()-B750))</f>
        <v/>
      </c>
      <c r="T750" s="13" t="str">
        <f aca="false">IF(A750="","",SUMIF('Time Log'!$C$5:$C$1004,A750,'Time Log'!$E$5:$E$1004))</f>
        <v/>
      </c>
    </row>
    <row r="751" customFormat="false" ht="15" hidden="false" customHeight="false" outlineLevel="0" collapsed="false">
      <c r="A751" s="14"/>
      <c r="B751" s="15"/>
      <c r="C751" s="14"/>
      <c r="D751" s="14"/>
      <c r="E751" s="14"/>
      <c r="F751" s="14"/>
      <c r="G751" s="14"/>
      <c r="H751" s="14"/>
      <c r="I751" s="16"/>
      <c r="J751" s="17"/>
      <c r="K751" s="14"/>
      <c r="L751" s="15"/>
      <c r="M751" s="17"/>
      <c r="N751" s="14"/>
      <c r="O751" s="15"/>
      <c r="P751" s="14"/>
      <c r="Q751" s="16"/>
      <c r="R751" s="13" t="str">
        <f aca="false">IF(AND(B751&lt;&gt;"",L751&lt;&gt;""),L751-B751,"")</f>
        <v/>
      </c>
      <c r="S751" s="13" t="str">
        <f aca="true">IF(B751="","",IF(O751&lt;&gt;"",O751-B751,TODAY()-B751))</f>
        <v/>
      </c>
      <c r="T751" s="13" t="str">
        <f aca="false">IF(A751="","",SUMIF('Time Log'!$C$5:$C$1004,A751,'Time Log'!$E$5:$E$1004))</f>
        <v/>
      </c>
    </row>
    <row r="752" customFormat="false" ht="15" hidden="false" customHeight="false" outlineLevel="0" collapsed="false">
      <c r="A752" s="14"/>
      <c r="B752" s="15"/>
      <c r="C752" s="14"/>
      <c r="D752" s="14"/>
      <c r="E752" s="14"/>
      <c r="F752" s="14"/>
      <c r="G752" s="14"/>
      <c r="H752" s="14"/>
      <c r="I752" s="16"/>
      <c r="J752" s="17"/>
      <c r="K752" s="14"/>
      <c r="L752" s="15"/>
      <c r="M752" s="17"/>
      <c r="N752" s="14"/>
      <c r="O752" s="15"/>
      <c r="P752" s="14"/>
      <c r="Q752" s="16"/>
      <c r="R752" s="13" t="str">
        <f aca="false">IF(AND(B752&lt;&gt;"",L752&lt;&gt;""),L752-B752,"")</f>
        <v/>
      </c>
      <c r="S752" s="13" t="str">
        <f aca="true">IF(B752="","",IF(O752&lt;&gt;"",O752-B752,TODAY()-B752))</f>
        <v/>
      </c>
      <c r="T752" s="13" t="str">
        <f aca="false">IF(A752="","",SUMIF('Time Log'!$C$5:$C$1004,A752,'Time Log'!$E$5:$E$1004))</f>
        <v/>
      </c>
    </row>
    <row r="753" customFormat="false" ht="15" hidden="false" customHeight="false" outlineLevel="0" collapsed="false">
      <c r="A753" s="14"/>
      <c r="B753" s="15"/>
      <c r="C753" s="14"/>
      <c r="D753" s="14"/>
      <c r="E753" s="14"/>
      <c r="F753" s="14"/>
      <c r="G753" s="14"/>
      <c r="H753" s="14"/>
      <c r="I753" s="16"/>
      <c r="J753" s="17"/>
      <c r="K753" s="14"/>
      <c r="L753" s="15"/>
      <c r="M753" s="17"/>
      <c r="N753" s="14"/>
      <c r="O753" s="15"/>
      <c r="P753" s="14"/>
      <c r="Q753" s="16"/>
      <c r="R753" s="13" t="str">
        <f aca="false">IF(AND(B753&lt;&gt;"",L753&lt;&gt;""),L753-B753,"")</f>
        <v/>
      </c>
      <c r="S753" s="13" t="str">
        <f aca="true">IF(B753="","",IF(O753&lt;&gt;"",O753-B753,TODAY()-B753))</f>
        <v/>
      </c>
      <c r="T753" s="13" t="str">
        <f aca="false">IF(A753="","",SUMIF('Time Log'!$C$5:$C$1004,A753,'Time Log'!$E$5:$E$1004))</f>
        <v/>
      </c>
    </row>
    <row r="754" customFormat="false" ht="15" hidden="false" customHeight="false" outlineLevel="0" collapsed="false">
      <c r="A754" s="14"/>
      <c r="B754" s="15"/>
      <c r="C754" s="14"/>
      <c r="D754" s="14"/>
      <c r="E754" s="14"/>
      <c r="F754" s="14"/>
      <c r="G754" s="14"/>
      <c r="H754" s="14"/>
      <c r="I754" s="16"/>
      <c r="J754" s="17"/>
      <c r="K754" s="14"/>
      <c r="L754" s="15"/>
      <c r="M754" s="17"/>
      <c r="N754" s="14"/>
      <c r="O754" s="15"/>
      <c r="P754" s="14"/>
      <c r="Q754" s="16"/>
      <c r="R754" s="13" t="str">
        <f aca="false">IF(AND(B754&lt;&gt;"",L754&lt;&gt;""),L754-B754,"")</f>
        <v/>
      </c>
      <c r="S754" s="13" t="str">
        <f aca="true">IF(B754="","",IF(O754&lt;&gt;"",O754-B754,TODAY()-B754))</f>
        <v/>
      </c>
      <c r="T754" s="13" t="str">
        <f aca="false">IF(A754="","",SUMIF('Time Log'!$C$5:$C$1004,A754,'Time Log'!$E$5:$E$1004))</f>
        <v/>
      </c>
    </row>
    <row r="755" customFormat="false" ht="15" hidden="false" customHeight="false" outlineLevel="0" collapsed="false">
      <c r="A755" s="14"/>
      <c r="B755" s="15"/>
      <c r="C755" s="14"/>
      <c r="D755" s="14"/>
      <c r="E755" s="14"/>
      <c r="F755" s="14"/>
      <c r="G755" s="14"/>
      <c r="H755" s="14"/>
      <c r="I755" s="16"/>
      <c r="J755" s="17"/>
      <c r="K755" s="14"/>
      <c r="L755" s="15"/>
      <c r="M755" s="17"/>
      <c r="N755" s="14"/>
      <c r="O755" s="15"/>
      <c r="P755" s="14"/>
      <c r="Q755" s="16"/>
      <c r="R755" s="13" t="str">
        <f aca="false">IF(AND(B755&lt;&gt;"",L755&lt;&gt;""),L755-B755,"")</f>
        <v/>
      </c>
      <c r="S755" s="13" t="str">
        <f aca="true">IF(B755="","",IF(O755&lt;&gt;"",O755-B755,TODAY()-B755))</f>
        <v/>
      </c>
      <c r="T755" s="13" t="str">
        <f aca="false">IF(A755="","",SUMIF('Time Log'!$C$5:$C$1004,A755,'Time Log'!$E$5:$E$1004))</f>
        <v/>
      </c>
    </row>
    <row r="756" customFormat="false" ht="15" hidden="false" customHeight="false" outlineLevel="0" collapsed="false">
      <c r="A756" s="14"/>
      <c r="B756" s="15"/>
      <c r="C756" s="14"/>
      <c r="D756" s="14"/>
      <c r="E756" s="14"/>
      <c r="F756" s="14"/>
      <c r="G756" s="14"/>
      <c r="H756" s="14"/>
      <c r="I756" s="16"/>
      <c r="J756" s="17"/>
      <c r="K756" s="14"/>
      <c r="L756" s="15"/>
      <c r="M756" s="17"/>
      <c r="N756" s="14"/>
      <c r="O756" s="15"/>
      <c r="P756" s="14"/>
      <c r="Q756" s="16"/>
      <c r="R756" s="13" t="str">
        <f aca="false">IF(AND(B756&lt;&gt;"",L756&lt;&gt;""),L756-B756,"")</f>
        <v/>
      </c>
      <c r="S756" s="13" t="str">
        <f aca="true">IF(B756="","",IF(O756&lt;&gt;"",O756-B756,TODAY()-B756))</f>
        <v/>
      </c>
      <c r="T756" s="13" t="str">
        <f aca="false">IF(A756="","",SUMIF('Time Log'!$C$5:$C$1004,A756,'Time Log'!$E$5:$E$1004))</f>
        <v/>
      </c>
    </row>
    <row r="757" customFormat="false" ht="15" hidden="false" customHeight="false" outlineLevel="0" collapsed="false">
      <c r="A757" s="14"/>
      <c r="B757" s="15"/>
      <c r="C757" s="14"/>
      <c r="D757" s="14"/>
      <c r="E757" s="14"/>
      <c r="F757" s="14"/>
      <c r="G757" s="14"/>
      <c r="H757" s="14"/>
      <c r="I757" s="16"/>
      <c r="J757" s="17"/>
      <c r="K757" s="14"/>
      <c r="L757" s="15"/>
      <c r="M757" s="17"/>
      <c r="N757" s="14"/>
      <c r="O757" s="15"/>
      <c r="P757" s="14"/>
      <c r="Q757" s="16"/>
      <c r="R757" s="13" t="str">
        <f aca="false">IF(AND(B757&lt;&gt;"",L757&lt;&gt;""),L757-B757,"")</f>
        <v/>
      </c>
      <c r="S757" s="13" t="str">
        <f aca="true">IF(B757="","",IF(O757&lt;&gt;"",O757-B757,TODAY()-B757))</f>
        <v/>
      </c>
      <c r="T757" s="13" t="str">
        <f aca="false">IF(A757="","",SUMIF('Time Log'!$C$5:$C$1004,A757,'Time Log'!$E$5:$E$1004))</f>
        <v/>
      </c>
    </row>
    <row r="758" customFormat="false" ht="15" hidden="false" customHeight="false" outlineLevel="0" collapsed="false">
      <c r="A758" s="14"/>
      <c r="B758" s="15"/>
      <c r="C758" s="14"/>
      <c r="D758" s="14"/>
      <c r="E758" s="14"/>
      <c r="F758" s="14"/>
      <c r="G758" s="14"/>
      <c r="H758" s="14"/>
      <c r="I758" s="16"/>
      <c r="J758" s="17"/>
      <c r="K758" s="14"/>
      <c r="L758" s="15"/>
      <c r="M758" s="17"/>
      <c r="N758" s="14"/>
      <c r="O758" s="15"/>
      <c r="P758" s="14"/>
      <c r="Q758" s="16"/>
      <c r="R758" s="13" t="str">
        <f aca="false">IF(AND(B758&lt;&gt;"",L758&lt;&gt;""),L758-B758,"")</f>
        <v/>
      </c>
      <c r="S758" s="13" t="str">
        <f aca="true">IF(B758="","",IF(O758&lt;&gt;"",O758-B758,TODAY()-B758))</f>
        <v/>
      </c>
      <c r="T758" s="13" t="str">
        <f aca="false">IF(A758="","",SUMIF('Time Log'!$C$5:$C$1004,A758,'Time Log'!$E$5:$E$1004))</f>
        <v/>
      </c>
    </row>
    <row r="759" customFormat="false" ht="15" hidden="false" customHeight="false" outlineLevel="0" collapsed="false">
      <c r="A759" s="14"/>
      <c r="B759" s="15"/>
      <c r="C759" s="14"/>
      <c r="D759" s="14"/>
      <c r="E759" s="14"/>
      <c r="F759" s="14"/>
      <c r="G759" s="14"/>
      <c r="H759" s="14"/>
      <c r="I759" s="16"/>
      <c r="J759" s="17"/>
      <c r="K759" s="14"/>
      <c r="L759" s="15"/>
      <c r="M759" s="17"/>
      <c r="N759" s="14"/>
      <c r="O759" s="15"/>
      <c r="P759" s="14"/>
      <c r="Q759" s="16"/>
      <c r="R759" s="13" t="str">
        <f aca="false">IF(AND(B759&lt;&gt;"",L759&lt;&gt;""),L759-B759,"")</f>
        <v/>
      </c>
      <c r="S759" s="13" t="str">
        <f aca="true">IF(B759="","",IF(O759&lt;&gt;"",O759-B759,TODAY()-B759))</f>
        <v/>
      </c>
      <c r="T759" s="13" t="str">
        <f aca="false">IF(A759="","",SUMIF('Time Log'!$C$5:$C$1004,A759,'Time Log'!$E$5:$E$1004))</f>
        <v/>
      </c>
    </row>
    <row r="760" customFormat="false" ht="15" hidden="false" customHeight="false" outlineLevel="0" collapsed="false">
      <c r="A760" s="14"/>
      <c r="B760" s="15"/>
      <c r="C760" s="14"/>
      <c r="D760" s="14"/>
      <c r="E760" s="14"/>
      <c r="F760" s="14"/>
      <c r="G760" s="14"/>
      <c r="H760" s="14"/>
      <c r="I760" s="16"/>
      <c r="J760" s="17"/>
      <c r="K760" s="14"/>
      <c r="L760" s="15"/>
      <c r="M760" s="17"/>
      <c r="N760" s="14"/>
      <c r="O760" s="15"/>
      <c r="P760" s="14"/>
      <c r="Q760" s="16"/>
      <c r="R760" s="13" t="str">
        <f aca="false">IF(AND(B760&lt;&gt;"",L760&lt;&gt;""),L760-B760,"")</f>
        <v/>
      </c>
      <c r="S760" s="13" t="str">
        <f aca="true">IF(B760="","",IF(O760&lt;&gt;"",O760-B760,TODAY()-B760))</f>
        <v/>
      </c>
      <c r="T760" s="13" t="str">
        <f aca="false">IF(A760="","",SUMIF('Time Log'!$C$5:$C$1004,A760,'Time Log'!$E$5:$E$1004))</f>
        <v/>
      </c>
    </row>
    <row r="761" customFormat="false" ht="15" hidden="false" customHeight="false" outlineLevel="0" collapsed="false">
      <c r="A761" s="14"/>
      <c r="B761" s="15"/>
      <c r="C761" s="14"/>
      <c r="D761" s="14"/>
      <c r="E761" s="14"/>
      <c r="F761" s="14"/>
      <c r="G761" s="14"/>
      <c r="H761" s="14"/>
      <c r="I761" s="16"/>
      <c r="J761" s="17"/>
      <c r="K761" s="14"/>
      <c r="L761" s="15"/>
      <c r="M761" s="17"/>
      <c r="N761" s="14"/>
      <c r="O761" s="15"/>
      <c r="P761" s="14"/>
      <c r="Q761" s="16"/>
      <c r="R761" s="13" t="str">
        <f aca="false">IF(AND(B761&lt;&gt;"",L761&lt;&gt;""),L761-B761,"")</f>
        <v/>
      </c>
      <c r="S761" s="13" t="str">
        <f aca="true">IF(B761="","",IF(O761&lt;&gt;"",O761-B761,TODAY()-B761))</f>
        <v/>
      </c>
      <c r="T761" s="13" t="str">
        <f aca="false">IF(A761="","",SUMIF('Time Log'!$C$5:$C$1004,A761,'Time Log'!$E$5:$E$1004))</f>
        <v/>
      </c>
    </row>
    <row r="762" customFormat="false" ht="15" hidden="false" customHeight="false" outlineLevel="0" collapsed="false">
      <c r="A762" s="14"/>
      <c r="B762" s="15"/>
      <c r="C762" s="14"/>
      <c r="D762" s="14"/>
      <c r="E762" s="14"/>
      <c r="F762" s="14"/>
      <c r="G762" s="14"/>
      <c r="H762" s="14"/>
      <c r="I762" s="16"/>
      <c r="J762" s="17"/>
      <c r="K762" s="14"/>
      <c r="L762" s="15"/>
      <c r="M762" s="17"/>
      <c r="N762" s="14"/>
      <c r="O762" s="15"/>
      <c r="P762" s="14"/>
      <c r="Q762" s="16"/>
      <c r="R762" s="13" t="str">
        <f aca="false">IF(AND(B762&lt;&gt;"",L762&lt;&gt;""),L762-B762,"")</f>
        <v/>
      </c>
      <c r="S762" s="13" t="str">
        <f aca="true">IF(B762="","",IF(O762&lt;&gt;"",O762-B762,TODAY()-B762))</f>
        <v/>
      </c>
      <c r="T762" s="13" t="str">
        <f aca="false">IF(A762="","",SUMIF('Time Log'!$C$5:$C$1004,A762,'Time Log'!$E$5:$E$1004))</f>
        <v/>
      </c>
    </row>
    <row r="763" customFormat="false" ht="15" hidden="false" customHeight="false" outlineLevel="0" collapsed="false">
      <c r="A763" s="14"/>
      <c r="B763" s="15"/>
      <c r="C763" s="14"/>
      <c r="D763" s="14"/>
      <c r="E763" s="14"/>
      <c r="F763" s="14"/>
      <c r="G763" s="14"/>
      <c r="H763" s="14"/>
      <c r="I763" s="16"/>
      <c r="J763" s="17"/>
      <c r="K763" s="14"/>
      <c r="L763" s="15"/>
      <c r="M763" s="17"/>
      <c r="N763" s="14"/>
      <c r="O763" s="15"/>
      <c r="P763" s="14"/>
      <c r="Q763" s="16"/>
      <c r="R763" s="13" t="str">
        <f aca="false">IF(AND(B763&lt;&gt;"",L763&lt;&gt;""),L763-B763,"")</f>
        <v/>
      </c>
      <c r="S763" s="13" t="str">
        <f aca="true">IF(B763="","",IF(O763&lt;&gt;"",O763-B763,TODAY()-B763))</f>
        <v/>
      </c>
      <c r="T763" s="13" t="str">
        <f aca="false">IF(A763="","",SUMIF('Time Log'!$C$5:$C$1004,A763,'Time Log'!$E$5:$E$1004))</f>
        <v/>
      </c>
    </row>
    <row r="764" customFormat="false" ht="15" hidden="false" customHeight="false" outlineLevel="0" collapsed="false">
      <c r="A764" s="14"/>
      <c r="B764" s="15"/>
      <c r="C764" s="14"/>
      <c r="D764" s="14"/>
      <c r="E764" s="14"/>
      <c r="F764" s="14"/>
      <c r="G764" s="14"/>
      <c r="H764" s="14"/>
      <c r="I764" s="16"/>
      <c r="J764" s="17"/>
      <c r="K764" s="14"/>
      <c r="L764" s="15"/>
      <c r="M764" s="17"/>
      <c r="N764" s="14"/>
      <c r="O764" s="15"/>
      <c r="P764" s="14"/>
      <c r="Q764" s="16"/>
      <c r="R764" s="13" t="str">
        <f aca="false">IF(AND(B764&lt;&gt;"",L764&lt;&gt;""),L764-B764,"")</f>
        <v/>
      </c>
      <c r="S764" s="13" t="str">
        <f aca="true">IF(B764="","",IF(O764&lt;&gt;"",O764-B764,TODAY()-B764))</f>
        <v/>
      </c>
      <c r="T764" s="13" t="str">
        <f aca="false">IF(A764="","",SUMIF('Time Log'!$C$5:$C$1004,A764,'Time Log'!$E$5:$E$1004))</f>
        <v/>
      </c>
    </row>
    <row r="765" customFormat="false" ht="15" hidden="false" customHeight="false" outlineLevel="0" collapsed="false">
      <c r="A765" s="14"/>
      <c r="B765" s="15"/>
      <c r="C765" s="14"/>
      <c r="D765" s="14"/>
      <c r="E765" s="14"/>
      <c r="F765" s="14"/>
      <c r="G765" s="14"/>
      <c r="H765" s="14"/>
      <c r="I765" s="16"/>
      <c r="J765" s="17"/>
      <c r="K765" s="14"/>
      <c r="L765" s="15"/>
      <c r="M765" s="17"/>
      <c r="N765" s="14"/>
      <c r="O765" s="15"/>
      <c r="P765" s="14"/>
      <c r="Q765" s="16"/>
      <c r="R765" s="13" t="str">
        <f aca="false">IF(AND(B765&lt;&gt;"",L765&lt;&gt;""),L765-B765,"")</f>
        <v/>
      </c>
      <c r="S765" s="13" t="str">
        <f aca="true">IF(B765="","",IF(O765&lt;&gt;"",O765-B765,TODAY()-B765))</f>
        <v/>
      </c>
      <c r="T765" s="13" t="str">
        <f aca="false">IF(A765="","",SUMIF('Time Log'!$C$5:$C$1004,A765,'Time Log'!$E$5:$E$1004))</f>
        <v/>
      </c>
    </row>
    <row r="766" customFormat="false" ht="15" hidden="false" customHeight="false" outlineLevel="0" collapsed="false">
      <c r="A766" s="14"/>
      <c r="B766" s="15"/>
      <c r="C766" s="14"/>
      <c r="D766" s="14"/>
      <c r="E766" s="14"/>
      <c r="F766" s="14"/>
      <c r="G766" s="14"/>
      <c r="H766" s="14"/>
      <c r="I766" s="16"/>
      <c r="J766" s="17"/>
      <c r="K766" s="14"/>
      <c r="L766" s="15"/>
      <c r="M766" s="17"/>
      <c r="N766" s="14"/>
      <c r="O766" s="15"/>
      <c r="P766" s="14"/>
      <c r="Q766" s="16"/>
      <c r="R766" s="13" t="str">
        <f aca="false">IF(AND(B766&lt;&gt;"",L766&lt;&gt;""),L766-B766,"")</f>
        <v/>
      </c>
      <c r="S766" s="13" t="str">
        <f aca="true">IF(B766="","",IF(O766&lt;&gt;"",O766-B766,TODAY()-B766))</f>
        <v/>
      </c>
      <c r="T766" s="13" t="str">
        <f aca="false">IF(A766="","",SUMIF('Time Log'!$C$5:$C$1004,A766,'Time Log'!$E$5:$E$1004))</f>
        <v/>
      </c>
    </row>
    <row r="767" customFormat="false" ht="15" hidden="false" customHeight="false" outlineLevel="0" collapsed="false">
      <c r="A767" s="14"/>
      <c r="B767" s="15"/>
      <c r="C767" s="14"/>
      <c r="D767" s="14"/>
      <c r="E767" s="14"/>
      <c r="F767" s="14"/>
      <c r="G767" s="14"/>
      <c r="H767" s="14"/>
      <c r="I767" s="16"/>
      <c r="J767" s="17"/>
      <c r="K767" s="14"/>
      <c r="L767" s="15"/>
      <c r="M767" s="17"/>
      <c r="N767" s="14"/>
      <c r="O767" s="15"/>
      <c r="P767" s="14"/>
      <c r="Q767" s="16"/>
      <c r="R767" s="13" t="str">
        <f aca="false">IF(AND(B767&lt;&gt;"",L767&lt;&gt;""),L767-B767,"")</f>
        <v/>
      </c>
      <c r="S767" s="13" t="str">
        <f aca="true">IF(B767="","",IF(O767&lt;&gt;"",O767-B767,TODAY()-B767))</f>
        <v/>
      </c>
      <c r="T767" s="13" t="str">
        <f aca="false">IF(A767="","",SUMIF('Time Log'!$C$5:$C$1004,A767,'Time Log'!$E$5:$E$1004))</f>
        <v/>
      </c>
    </row>
    <row r="768" customFormat="false" ht="15" hidden="false" customHeight="false" outlineLevel="0" collapsed="false">
      <c r="A768" s="14"/>
      <c r="B768" s="15"/>
      <c r="C768" s="14"/>
      <c r="D768" s="14"/>
      <c r="E768" s="14"/>
      <c r="F768" s="14"/>
      <c r="G768" s="14"/>
      <c r="H768" s="14"/>
      <c r="I768" s="16"/>
      <c r="J768" s="17"/>
      <c r="K768" s="14"/>
      <c r="L768" s="15"/>
      <c r="M768" s="17"/>
      <c r="N768" s="14"/>
      <c r="O768" s="15"/>
      <c r="P768" s="14"/>
      <c r="Q768" s="16"/>
      <c r="R768" s="13" t="str">
        <f aca="false">IF(AND(B768&lt;&gt;"",L768&lt;&gt;""),L768-B768,"")</f>
        <v/>
      </c>
      <c r="S768" s="13" t="str">
        <f aca="true">IF(B768="","",IF(O768&lt;&gt;"",O768-B768,TODAY()-B768))</f>
        <v/>
      </c>
      <c r="T768" s="13" t="str">
        <f aca="false">IF(A768="","",SUMIF('Time Log'!$C$5:$C$1004,A768,'Time Log'!$E$5:$E$1004))</f>
        <v/>
      </c>
    </row>
    <row r="769" customFormat="false" ht="15" hidden="false" customHeight="false" outlineLevel="0" collapsed="false">
      <c r="A769" s="14"/>
      <c r="B769" s="15"/>
      <c r="C769" s="14"/>
      <c r="D769" s="14"/>
      <c r="E769" s="14"/>
      <c r="F769" s="14"/>
      <c r="G769" s="14"/>
      <c r="H769" s="14"/>
      <c r="I769" s="16"/>
      <c r="J769" s="17"/>
      <c r="K769" s="14"/>
      <c r="L769" s="15"/>
      <c r="M769" s="17"/>
      <c r="N769" s="14"/>
      <c r="O769" s="15"/>
      <c r="P769" s="14"/>
      <c r="Q769" s="16"/>
      <c r="R769" s="13" t="str">
        <f aca="false">IF(AND(B769&lt;&gt;"",L769&lt;&gt;""),L769-B769,"")</f>
        <v/>
      </c>
      <c r="S769" s="13" t="str">
        <f aca="true">IF(B769="","",IF(O769&lt;&gt;"",O769-B769,TODAY()-B769))</f>
        <v/>
      </c>
      <c r="T769" s="13" t="str">
        <f aca="false">IF(A769="","",SUMIF('Time Log'!$C$5:$C$1004,A769,'Time Log'!$E$5:$E$1004))</f>
        <v/>
      </c>
    </row>
    <row r="770" customFormat="false" ht="15" hidden="false" customHeight="false" outlineLevel="0" collapsed="false">
      <c r="A770" s="14"/>
      <c r="B770" s="15"/>
      <c r="C770" s="14"/>
      <c r="D770" s="14"/>
      <c r="E770" s="14"/>
      <c r="F770" s="14"/>
      <c r="G770" s="14"/>
      <c r="H770" s="14"/>
      <c r="I770" s="16"/>
      <c r="J770" s="17"/>
      <c r="K770" s="14"/>
      <c r="L770" s="15"/>
      <c r="M770" s="17"/>
      <c r="N770" s="14"/>
      <c r="O770" s="15"/>
      <c r="P770" s="14"/>
      <c r="Q770" s="16"/>
      <c r="R770" s="13" t="str">
        <f aca="false">IF(AND(B770&lt;&gt;"",L770&lt;&gt;""),L770-B770,"")</f>
        <v/>
      </c>
      <c r="S770" s="13" t="str">
        <f aca="true">IF(B770="","",IF(O770&lt;&gt;"",O770-B770,TODAY()-B770))</f>
        <v/>
      </c>
      <c r="T770" s="13" t="str">
        <f aca="false">IF(A770="","",SUMIF('Time Log'!$C$5:$C$1004,A770,'Time Log'!$E$5:$E$1004))</f>
        <v/>
      </c>
    </row>
    <row r="771" customFormat="false" ht="15" hidden="false" customHeight="false" outlineLevel="0" collapsed="false">
      <c r="A771" s="14"/>
      <c r="B771" s="15"/>
      <c r="C771" s="14"/>
      <c r="D771" s="14"/>
      <c r="E771" s="14"/>
      <c r="F771" s="14"/>
      <c r="G771" s="14"/>
      <c r="H771" s="14"/>
      <c r="I771" s="16"/>
      <c r="J771" s="17"/>
      <c r="K771" s="14"/>
      <c r="L771" s="15"/>
      <c r="M771" s="17"/>
      <c r="N771" s="14"/>
      <c r="O771" s="15"/>
      <c r="P771" s="14"/>
      <c r="Q771" s="16"/>
      <c r="R771" s="13" t="str">
        <f aca="false">IF(AND(B771&lt;&gt;"",L771&lt;&gt;""),L771-B771,"")</f>
        <v/>
      </c>
      <c r="S771" s="13" t="str">
        <f aca="true">IF(B771="","",IF(O771&lt;&gt;"",O771-B771,TODAY()-B771))</f>
        <v/>
      </c>
      <c r="T771" s="13" t="str">
        <f aca="false">IF(A771="","",SUMIF('Time Log'!$C$5:$C$1004,A771,'Time Log'!$E$5:$E$1004))</f>
        <v/>
      </c>
    </row>
    <row r="772" customFormat="false" ht="15" hidden="false" customHeight="false" outlineLevel="0" collapsed="false">
      <c r="A772" s="14"/>
      <c r="B772" s="15"/>
      <c r="C772" s="14"/>
      <c r="D772" s="14"/>
      <c r="E772" s="14"/>
      <c r="F772" s="14"/>
      <c r="G772" s="14"/>
      <c r="H772" s="14"/>
      <c r="I772" s="16"/>
      <c r="J772" s="17"/>
      <c r="K772" s="14"/>
      <c r="L772" s="15"/>
      <c r="M772" s="17"/>
      <c r="N772" s="14"/>
      <c r="O772" s="15"/>
      <c r="P772" s="14"/>
      <c r="Q772" s="16"/>
      <c r="R772" s="13" t="str">
        <f aca="false">IF(AND(B772&lt;&gt;"",L772&lt;&gt;""),L772-B772,"")</f>
        <v/>
      </c>
      <c r="S772" s="13" t="str">
        <f aca="true">IF(B772="","",IF(O772&lt;&gt;"",O772-B772,TODAY()-B772))</f>
        <v/>
      </c>
      <c r="T772" s="13" t="str">
        <f aca="false">IF(A772="","",SUMIF('Time Log'!$C$5:$C$1004,A772,'Time Log'!$E$5:$E$1004))</f>
        <v/>
      </c>
    </row>
    <row r="773" customFormat="false" ht="15" hidden="false" customHeight="false" outlineLevel="0" collapsed="false">
      <c r="A773" s="14"/>
      <c r="B773" s="15"/>
      <c r="C773" s="14"/>
      <c r="D773" s="14"/>
      <c r="E773" s="14"/>
      <c r="F773" s="14"/>
      <c r="G773" s="14"/>
      <c r="H773" s="14"/>
      <c r="I773" s="16"/>
      <c r="J773" s="17"/>
      <c r="K773" s="14"/>
      <c r="L773" s="15"/>
      <c r="M773" s="17"/>
      <c r="N773" s="14"/>
      <c r="O773" s="15"/>
      <c r="P773" s="14"/>
      <c r="Q773" s="16"/>
      <c r="R773" s="13" t="str">
        <f aca="false">IF(AND(B773&lt;&gt;"",L773&lt;&gt;""),L773-B773,"")</f>
        <v/>
      </c>
      <c r="S773" s="13" t="str">
        <f aca="true">IF(B773="","",IF(O773&lt;&gt;"",O773-B773,TODAY()-B773))</f>
        <v/>
      </c>
      <c r="T773" s="13" t="str">
        <f aca="false">IF(A773="","",SUMIF('Time Log'!$C$5:$C$1004,A773,'Time Log'!$E$5:$E$1004))</f>
        <v/>
      </c>
    </row>
    <row r="774" customFormat="false" ht="15" hidden="false" customHeight="false" outlineLevel="0" collapsed="false">
      <c r="A774" s="14"/>
      <c r="B774" s="15"/>
      <c r="C774" s="14"/>
      <c r="D774" s="14"/>
      <c r="E774" s="14"/>
      <c r="F774" s="14"/>
      <c r="G774" s="14"/>
      <c r="H774" s="14"/>
      <c r="I774" s="16"/>
      <c r="J774" s="17"/>
      <c r="K774" s="14"/>
      <c r="L774" s="15"/>
      <c r="M774" s="17"/>
      <c r="N774" s="14"/>
      <c r="O774" s="15"/>
      <c r="P774" s="14"/>
      <c r="Q774" s="16"/>
      <c r="R774" s="13" t="str">
        <f aca="false">IF(AND(B774&lt;&gt;"",L774&lt;&gt;""),L774-B774,"")</f>
        <v/>
      </c>
      <c r="S774" s="13" t="str">
        <f aca="true">IF(B774="","",IF(O774&lt;&gt;"",O774-B774,TODAY()-B774))</f>
        <v/>
      </c>
      <c r="T774" s="13" t="str">
        <f aca="false">IF(A774="","",SUMIF('Time Log'!$C$5:$C$1004,A774,'Time Log'!$E$5:$E$1004))</f>
        <v/>
      </c>
    </row>
    <row r="775" customFormat="false" ht="15" hidden="false" customHeight="false" outlineLevel="0" collapsed="false">
      <c r="A775" s="14"/>
      <c r="B775" s="15"/>
      <c r="C775" s="14"/>
      <c r="D775" s="14"/>
      <c r="E775" s="14"/>
      <c r="F775" s="14"/>
      <c r="G775" s="14"/>
      <c r="H775" s="14"/>
      <c r="I775" s="16"/>
      <c r="J775" s="17"/>
      <c r="K775" s="14"/>
      <c r="L775" s="15"/>
      <c r="M775" s="17"/>
      <c r="N775" s="14"/>
      <c r="O775" s="15"/>
      <c r="P775" s="14"/>
      <c r="Q775" s="16"/>
      <c r="R775" s="13" t="str">
        <f aca="false">IF(AND(B775&lt;&gt;"",L775&lt;&gt;""),L775-B775,"")</f>
        <v/>
      </c>
      <c r="S775" s="13" t="str">
        <f aca="true">IF(B775="","",IF(O775&lt;&gt;"",O775-B775,TODAY()-B775))</f>
        <v/>
      </c>
      <c r="T775" s="13" t="str">
        <f aca="false">IF(A775="","",SUMIF('Time Log'!$C$5:$C$1004,A775,'Time Log'!$E$5:$E$1004))</f>
        <v/>
      </c>
    </row>
    <row r="776" customFormat="false" ht="15" hidden="false" customHeight="false" outlineLevel="0" collapsed="false">
      <c r="A776" s="14"/>
      <c r="B776" s="15"/>
      <c r="C776" s="14"/>
      <c r="D776" s="14"/>
      <c r="E776" s="14"/>
      <c r="F776" s="14"/>
      <c r="G776" s="14"/>
      <c r="H776" s="14"/>
      <c r="I776" s="16"/>
      <c r="J776" s="17"/>
      <c r="K776" s="14"/>
      <c r="L776" s="15"/>
      <c r="M776" s="17"/>
      <c r="N776" s="14"/>
      <c r="O776" s="15"/>
      <c r="P776" s="14"/>
      <c r="Q776" s="16"/>
      <c r="R776" s="13" t="str">
        <f aca="false">IF(AND(B776&lt;&gt;"",L776&lt;&gt;""),L776-B776,"")</f>
        <v/>
      </c>
      <c r="S776" s="13" t="str">
        <f aca="true">IF(B776="","",IF(O776&lt;&gt;"",O776-B776,TODAY()-B776))</f>
        <v/>
      </c>
      <c r="T776" s="13" t="str">
        <f aca="false">IF(A776="","",SUMIF('Time Log'!$C$5:$C$1004,A776,'Time Log'!$E$5:$E$1004))</f>
        <v/>
      </c>
    </row>
    <row r="777" customFormat="false" ht="15" hidden="false" customHeight="false" outlineLevel="0" collapsed="false">
      <c r="A777" s="14"/>
      <c r="B777" s="15"/>
      <c r="C777" s="14"/>
      <c r="D777" s="14"/>
      <c r="E777" s="14"/>
      <c r="F777" s="14"/>
      <c r="G777" s="14"/>
      <c r="H777" s="14"/>
      <c r="I777" s="16"/>
      <c r="J777" s="17"/>
      <c r="K777" s="14"/>
      <c r="L777" s="15"/>
      <c r="M777" s="17"/>
      <c r="N777" s="14"/>
      <c r="O777" s="15"/>
      <c r="P777" s="14"/>
      <c r="Q777" s="16"/>
      <c r="R777" s="13" t="str">
        <f aca="false">IF(AND(B777&lt;&gt;"",L777&lt;&gt;""),L777-B777,"")</f>
        <v/>
      </c>
      <c r="S777" s="13" t="str">
        <f aca="true">IF(B777="","",IF(O777&lt;&gt;"",O777-B777,TODAY()-B777))</f>
        <v/>
      </c>
      <c r="T777" s="13" t="str">
        <f aca="false">IF(A777="","",SUMIF('Time Log'!$C$5:$C$1004,A777,'Time Log'!$E$5:$E$1004))</f>
        <v/>
      </c>
    </row>
    <row r="778" customFormat="false" ht="15" hidden="false" customHeight="false" outlineLevel="0" collapsed="false">
      <c r="A778" s="14"/>
      <c r="B778" s="15"/>
      <c r="C778" s="14"/>
      <c r="D778" s="14"/>
      <c r="E778" s="14"/>
      <c r="F778" s="14"/>
      <c r="G778" s="14"/>
      <c r="H778" s="14"/>
      <c r="I778" s="16"/>
      <c r="J778" s="17"/>
      <c r="K778" s="14"/>
      <c r="L778" s="15"/>
      <c r="M778" s="17"/>
      <c r="N778" s="14"/>
      <c r="O778" s="15"/>
      <c r="P778" s="14"/>
      <c r="Q778" s="16"/>
      <c r="R778" s="13" t="str">
        <f aca="false">IF(AND(B778&lt;&gt;"",L778&lt;&gt;""),L778-B778,"")</f>
        <v/>
      </c>
      <c r="S778" s="13" t="str">
        <f aca="true">IF(B778="","",IF(O778&lt;&gt;"",O778-B778,TODAY()-B778))</f>
        <v/>
      </c>
      <c r="T778" s="13" t="str">
        <f aca="false">IF(A778="","",SUMIF('Time Log'!$C$5:$C$1004,A778,'Time Log'!$E$5:$E$1004))</f>
        <v/>
      </c>
    </row>
    <row r="779" customFormat="false" ht="15" hidden="false" customHeight="false" outlineLevel="0" collapsed="false">
      <c r="A779" s="14"/>
      <c r="B779" s="15"/>
      <c r="C779" s="14"/>
      <c r="D779" s="14"/>
      <c r="E779" s="14"/>
      <c r="F779" s="14"/>
      <c r="G779" s="14"/>
      <c r="H779" s="14"/>
      <c r="I779" s="16"/>
      <c r="J779" s="17"/>
      <c r="K779" s="14"/>
      <c r="L779" s="15"/>
      <c r="M779" s="17"/>
      <c r="N779" s="14"/>
      <c r="O779" s="15"/>
      <c r="P779" s="14"/>
      <c r="Q779" s="16"/>
      <c r="R779" s="13" t="str">
        <f aca="false">IF(AND(B779&lt;&gt;"",L779&lt;&gt;""),L779-B779,"")</f>
        <v/>
      </c>
      <c r="S779" s="13" t="str">
        <f aca="true">IF(B779="","",IF(O779&lt;&gt;"",O779-B779,TODAY()-B779))</f>
        <v/>
      </c>
      <c r="T779" s="13" t="str">
        <f aca="false">IF(A779="","",SUMIF('Time Log'!$C$5:$C$1004,A779,'Time Log'!$E$5:$E$1004))</f>
        <v/>
      </c>
    </row>
    <row r="780" customFormat="false" ht="15" hidden="false" customHeight="false" outlineLevel="0" collapsed="false">
      <c r="A780" s="14"/>
      <c r="B780" s="15"/>
      <c r="C780" s="14"/>
      <c r="D780" s="14"/>
      <c r="E780" s="14"/>
      <c r="F780" s="14"/>
      <c r="G780" s="14"/>
      <c r="H780" s="14"/>
      <c r="I780" s="16"/>
      <c r="J780" s="17"/>
      <c r="K780" s="14"/>
      <c r="L780" s="15"/>
      <c r="M780" s="17"/>
      <c r="N780" s="14"/>
      <c r="O780" s="15"/>
      <c r="P780" s="14"/>
      <c r="Q780" s="16"/>
      <c r="R780" s="13" t="str">
        <f aca="false">IF(AND(B780&lt;&gt;"",L780&lt;&gt;""),L780-B780,"")</f>
        <v/>
      </c>
      <c r="S780" s="13" t="str">
        <f aca="true">IF(B780="","",IF(O780&lt;&gt;"",O780-B780,TODAY()-B780))</f>
        <v/>
      </c>
      <c r="T780" s="13" t="str">
        <f aca="false">IF(A780="","",SUMIF('Time Log'!$C$5:$C$1004,A780,'Time Log'!$E$5:$E$1004))</f>
        <v/>
      </c>
    </row>
    <row r="781" customFormat="false" ht="15" hidden="false" customHeight="false" outlineLevel="0" collapsed="false">
      <c r="A781" s="14"/>
      <c r="B781" s="15"/>
      <c r="C781" s="14"/>
      <c r="D781" s="14"/>
      <c r="E781" s="14"/>
      <c r="F781" s="14"/>
      <c r="G781" s="14"/>
      <c r="H781" s="14"/>
      <c r="I781" s="16"/>
      <c r="J781" s="17"/>
      <c r="K781" s="14"/>
      <c r="L781" s="15"/>
      <c r="M781" s="17"/>
      <c r="N781" s="14"/>
      <c r="O781" s="15"/>
      <c r="P781" s="14"/>
      <c r="Q781" s="16"/>
      <c r="R781" s="13" t="str">
        <f aca="false">IF(AND(B781&lt;&gt;"",L781&lt;&gt;""),L781-B781,"")</f>
        <v/>
      </c>
      <c r="S781" s="13" t="str">
        <f aca="true">IF(B781="","",IF(O781&lt;&gt;"",O781-B781,TODAY()-B781))</f>
        <v/>
      </c>
      <c r="T781" s="13" t="str">
        <f aca="false">IF(A781="","",SUMIF('Time Log'!$C$5:$C$1004,A781,'Time Log'!$E$5:$E$1004))</f>
        <v/>
      </c>
    </row>
    <row r="782" customFormat="false" ht="15" hidden="false" customHeight="false" outlineLevel="0" collapsed="false">
      <c r="A782" s="14"/>
      <c r="B782" s="15"/>
      <c r="C782" s="14"/>
      <c r="D782" s="14"/>
      <c r="E782" s="14"/>
      <c r="F782" s="14"/>
      <c r="G782" s="14"/>
      <c r="H782" s="14"/>
      <c r="I782" s="16"/>
      <c r="J782" s="17"/>
      <c r="K782" s="14"/>
      <c r="L782" s="15"/>
      <c r="M782" s="17"/>
      <c r="N782" s="14"/>
      <c r="O782" s="15"/>
      <c r="P782" s="14"/>
      <c r="Q782" s="16"/>
      <c r="R782" s="13" t="str">
        <f aca="false">IF(AND(B782&lt;&gt;"",L782&lt;&gt;""),L782-B782,"")</f>
        <v/>
      </c>
      <c r="S782" s="13" t="str">
        <f aca="true">IF(B782="","",IF(O782&lt;&gt;"",O782-B782,TODAY()-B782))</f>
        <v/>
      </c>
      <c r="T782" s="13" t="str">
        <f aca="false">IF(A782="","",SUMIF('Time Log'!$C$5:$C$1004,A782,'Time Log'!$E$5:$E$1004))</f>
        <v/>
      </c>
    </row>
    <row r="783" customFormat="false" ht="15" hidden="false" customHeight="false" outlineLevel="0" collapsed="false">
      <c r="A783" s="14"/>
      <c r="B783" s="15"/>
      <c r="C783" s="14"/>
      <c r="D783" s="14"/>
      <c r="E783" s="14"/>
      <c r="F783" s="14"/>
      <c r="G783" s="14"/>
      <c r="H783" s="14"/>
      <c r="I783" s="16"/>
      <c r="J783" s="17"/>
      <c r="K783" s="14"/>
      <c r="L783" s="15"/>
      <c r="M783" s="17"/>
      <c r="N783" s="14"/>
      <c r="O783" s="15"/>
      <c r="P783" s="14"/>
      <c r="Q783" s="16"/>
      <c r="R783" s="13" t="str">
        <f aca="false">IF(AND(B783&lt;&gt;"",L783&lt;&gt;""),L783-B783,"")</f>
        <v/>
      </c>
      <c r="S783" s="13" t="str">
        <f aca="true">IF(B783="","",IF(O783&lt;&gt;"",O783-B783,TODAY()-B783))</f>
        <v/>
      </c>
      <c r="T783" s="13" t="str">
        <f aca="false">IF(A783="","",SUMIF('Time Log'!$C$5:$C$1004,A783,'Time Log'!$E$5:$E$1004))</f>
        <v/>
      </c>
    </row>
    <row r="784" customFormat="false" ht="15" hidden="false" customHeight="false" outlineLevel="0" collapsed="false">
      <c r="A784" s="14"/>
      <c r="B784" s="15"/>
      <c r="C784" s="14"/>
      <c r="D784" s="14"/>
      <c r="E784" s="14"/>
      <c r="F784" s="14"/>
      <c r="G784" s="14"/>
      <c r="H784" s="14"/>
      <c r="I784" s="16"/>
      <c r="J784" s="17"/>
      <c r="K784" s="14"/>
      <c r="L784" s="15"/>
      <c r="M784" s="17"/>
      <c r="N784" s="14"/>
      <c r="O784" s="15"/>
      <c r="P784" s="14"/>
      <c r="Q784" s="16"/>
      <c r="R784" s="13" t="str">
        <f aca="false">IF(AND(B784&lt;&gt;"",L784&lt;&gt;""),L784-B784,"")</f>
        <v/>
      </c>
      <c r="S784" s="13" t="str">
        <f aca="true">IF(B784="","",IF(O784&lt;&gt;"",O784-B784,TODAY()-B784))</f>
        <v/>
      </c>
      <c r="T784" s="13" t="str">
        <f aca="false">IF(A784="","",SUMIF('Time Log'!$C$5:$C$1004,A784,'Time Log'!$E$5:$E$1004))</f>
        <v/>
      </c>
    </row>
    <row r="785" customFormat="false" ht="15" hidden="false" customHeight="false" outlineLevel="0" collapsed="false">
      <c r="A785" s="14"/>
      <c r="B785" s="15"/>
      <c r="C785" s="14"/>
      <c r="D785" s="14"/>
      <c r="E785" s="14"/>
      <c r="F785" s="14"/>
      <c r="G785" s="14"/>
      <c r="H785" s="14"/>
      <c r="I785" s="16"/>
      <c r="J785" s="17"/>
      <c r="K785" s="14"/>
      <c r="L785" s="15"/>
      <c r="M785" s="17"/>
      <c r="N785" s="14"/>
      <c r="O785" s="15"/>
      <c r="P785" s="14"/>
      <c r="Q785" s="16"/>
      <c r="R785" s="13" t="str">
        <f aca="false">IF(AND(B785&lt;&gt;"",L785&lt;&gt;""),L785-B785,"")</f>
        <v/>
      </c>
      <c r="S785" s="13" t="str">
        <f aca="true">IF(B785="","",IF(O785&lt;&gt;"",O785-B785,TODAY()-B785))</f>
        <v/>
      </c>
      <c r="T785" s="13" t="str">
        <f aca="false">IF(A785="","",SUMIF('Time Log'!$C$5:$C$1004,A785,'Time Log'!$E$5:$E$1004))</f>
        <v/>
      </c>
    </row>
    <row r="786" customFormat="false" ht="15" hidden="false" customHeight="false" outlineLevel="0" collapsed="false">
      <c r="A786" s="14"/>
      <c r="B786" s="15"/>
      <c r="C786" s="14"/>
      <c r="D786" s="14"/>
      <c r="E786" s="14"/>
      <c r="F786" s="14"/>
      <c r="G786" s="14"/>
      <c r="H786" s="14"/>
      <c r="I786" s="16"/>
      <c r="J786" s="17"/>
      <c r="K786" s="14"/>
      <c r="L786" s="15"/>
      <c r="M786" s="17"/>
      <c r="N786" s="14"/>
      <c r="O786" s="15"/>
      <c r="P786" s="14"/>
      <c r="Q786" s="16"/>
      <c r="R786" s="13" t="str">
        <f aca="false">IF(AND(B786&lt;&gt;"",L786&lt;&gt;""),L786-B786,"")</f>
        <v/>
      </c>
      <c r="S786" s="13" t="str">
        <f aca="true">IF(B786="","",IF(O786&lt;&gt;"",O786-B786,TODAY()-B786))</f>
        <v/>
      </c>
      <c r="T786" s="13" t="str">
        <f aca="false">IF(A786="","",SUMIF('Time Log'!$C$5:$C$1004,A786,'Time Log'!$E$5:$E$1004))</f>
        <v/>
      </c>
    </row>
    <row r="787" customFormat="false" ht="15" hidden="false" customHeight="false" outlineLevel="0" collapsed="false">
      <c r="A787" s="14"/>
      <c r="B787" s="15"/>
      <c r="C787" s="14"/>
      <c r="D787" s="14"/>
      <c r="E787" s="14"/>
      <c r="F787" s="14"/>
      <c r="G787" s="14"/>
      <c r="H787" s="14"/>
      <c r="I787" s="16"/>
      <c r="J787" s="17"/>
      <c r="K787" s="14"/>
      <c r="L787" s="15"/>
      <c r="M787" s="17"/>
      <c r="N787" s="14"/>
      <c r="O787" s="15"/>
      <c r="P787" s="14"/>
      <c r="Q787" s="16"/>
      <c r="R787" s="13" t="str">
        <f aca="false">IF(AND(B787&lt;&gt;"",L787&lt;&gt;""),L787-B787,"")</f>
        <v/>
      </c>
      <c r="S787" s="13" t="str">
        <f aca="true">IF(B787="","",IF(O787&lt;&gt;"",O787-B787,TODAY()-B787))</f>
        <v/>
      </c>
      <c r="T787" s="13" t="str">
        <f aca="false">IF(A787="","",SUMIF('Time Log'!$C$5:$C$1004,A787,'Time Log'!$E$5:$E$1004))</f>
        <v/>
      </c>
    </row>
    <row r="788" customFormat="false" ht="15" hidden="false" customHeight="false" outlineLevel="0" collapsed="false">
      <c r="A788" s="14"/>
      <c r="B788" s="15"/>
      <c r="C788" s="14"/>
      <c r="D788" s="14"/>
      <c r="E788" s="14"/>
      <c r="F788" s="14"/>
      <c r="G788" s="14"/>
      <c r="H788" s="14"/>
      <c r="I788" s="16"/>
      <c r="J788" s="17"/>
      <c r="K788" s="14"/>
      <c r="L788" s="15"/>
      <c r="M788" s="17"/>
      <c r="N788" s="14"/>
      <c r="O788" s="15"/>
      <c r="P788" s="14"/>
      <c r="Q788" s="16"/>
      <c r="R788" s="13" t="str">
        <f aca="false">IF(AND(B788&lt;&gt;"",L788&lt;&gt;""),L788-B788,"")</f>
        <v/>
      </c>
      <c r="S788" s="13" t="str">
        <f aca="true">IF(B788="","",IF(O788&lt;&gt;"",O788-B788,TODAY()-B788))</f>
        <v/>
      </c>
      <c r="T788" s="13" t="str">
        <f aca="false">IF(A788="","",SUMIF('Time Log'!$C$5:$C$1004,A788,'Time Log'!$E$5:$E$1004))</f>
        <v/>
      </c>
    </row>
    <row r="789" customFormat="false" ht="15" hidden="false" customHeight="false" outlineLevel="0" collapsed="false">
      <c r="A789" s="14"/>
      <c r="B789" s="15"/>
      <c r="C789" s="14"/>
      <c r="D789" s="14"/>
      <c r="E789" s="14"/>
      <c r="F789" s="14"/>
      <c r="G789" s="14"/>
      <c r="H789" s="14"/>
      <c r="I789" s="16"/>
      <c r="J789" s="17"/>
      <c r="K789" s="14"/>
      <c r="L789" s="15"/>
      <c r="M789" s="17"/>
      <c r="N789" s="14"/>
      <c r="O789" s="15"/>
      <c r="P789" s="14"/>
      <c r="Q789" s="16"/>
      <c r="R789" s="13" t="str">
        <f aca="false">IF(AND(B789&lt;&gt;"",L789&lt;&gt;""),L789-B789,"")</f>
        <v/>
      </c>
      <c r="S789" s="13" t="str">
        <f aca="true">IF(B789="","",IF(O789&lt;&gt;"",O789-B789,TODAY()-B789))</f>
        <v/>
      </c>
      <c r="T789" s="13" t="str">
        <f aca="false">IF(A789="","",SUMIF('Time Log'!$C$5:$C$1004,A789,'Time Log'!$E$5:$E$1004))</f>
        <v/>
      </c>
    </row>
    <row r="790" customFormat="false" ht="15" hidden="false" customHeight="false" outlineLevel="0" collapsed="false">
      <c r="A790" s="14"/>
      <c r="B790" s="15"/>
      <c r="C790" s="14"/>
      <c r="D790" s="14"/>
      <c r="E790" s="14"/>
      <c r="F790" s="14"/>
      <c r="G790" s="14"/>
      <c r="H790" s="14"/>
      <c r="I790" s="16"/>
      <c r="J790" s="17"/>
      <c r="K790" s="14"/>
      <c r="L790" s="15"/>
      <c r="M790" s="17"/>
      <c r="N790" s="14"/>
      <c r="O790" s="15"/>
      <c r="P790" s="14"/>
      <c r="Q790" s="16"/>
      <c r="R790" s="13" t="str">
        <f aca="false">IF(AND(B790&lt;&gt;"",L790&lt;&gt;""),L790-B790,"")</f>
        <v/>
      </c>
      <c r="S790" s="13" t="str">
        <f aca="true">IF(B790="","",IF(O790&lt;&gt;"",O790-B790,TODAY()-B790))</f>
        <v/>
      </c>
      <c r="T790" s="13" t="str">
        <f aca="false">IF(A790="","",SUMIF('Time Log'!$C$5:$C$1004,A790,'Time Log'!$E$5:$E$1004))</f>
        <v/>
      </c>
    </row>
    <row r="791" customFormat="false" ht="15" hidden="false" customHeight="false" outlineLevel="0" collapsed="false">
      <c r="A791" s="14"/>
      <c r="B791" s="15"/>
      <c r="C791" s="14"/>
      <c r="D791" s="14"/>
      <c r="E791" s="14"/>
      <c r="F791" s="14"/>
      <c r="G791" s="14"/>
      <c r="H791" s="14"/>
      <c r="I791" s="16"/>
      <c r="J791" s="17"/>
      <c r="K791" s="14"/>
      <c r="L791" s="15"/>
      <c r="M791" s="17"/>
      <c r="N791" s="14"/>
      <c r="O791" s="15"/>
      <c r="P791" s="14"/>
      <c r="Q791" s="16"/>
      <c r="R791" s="13" t="str">
        <f aca="false">IF(AND(B791&lt;&gt;"",L791&lt;&gt;""),L791-B791,"")</f>
        <v/>
      </c>
      <c r="S791" s="13" t="str">
        <f aca="true">IF(B791="","",IF(O791&lt;&gt;"",O791-B791,TODAY()-B791))</f>
        <v/>
      </c>
      <c r="T791" s="13" t="str">
        <f aca="false">IF(A791="","",SUMIF('Time Log'!$C$5:$C$1004,A791,'Time Log'!$E$5:$E$1004))</f>
        <v/>
      </c>
    </row>
    <row r="792" customFormat="false" ht="15" hidden="false" customHeight="false" outlineLevel="0" collapsed="false">
      <c r="A792" s="14"/>
      <c r="B792" s="15"/>
      <c r="C792" s="14"/>
      <c r="D792" s="14"/>
      <c r="E792" s="14"/>
      <c r="F792" s="14"/>
      <c r="G792" s="14"/>
      <c r="H792" s="14"/>
      <c r="I792" s="16"/>
      <c r="J792" s="17"/>
      <c r="K792" s="14"/>
      <c r="L792" s="15"/>
      <c r="M792" s="17"/>
      <c r="N792" s="14"/>
      <c r="O792" s="15"/>
      <c r="P792" s="14"/>
      <c r="Q792" s="16"/>
      <c r="R792" s="13" t="str">
        <f aca="false">IF(AND(B792&lt;&gt;"",L792&lt;&gt;""),L792-B792,"")</f>
        <v/>
      </c>
      <c r="S792" s="13" t="str">
        <f aca="true">IF(B792="","",IF(O792&lt;&gt;"",O792-B792,TODAY()-B792))</f>
        <v/>
      </c>
      <c r="T792" s="13" t="str">
        <f aca="false">IF(A792="","",SUMIF('Time Log'!$C$5:$C$1004,A792,'Time Log'!$E$5:$E$1004))</f>
        <v/>
      </c>
    </row>
    <row r="793" customFormat="false" ht="15" hidden="false" customHeight="false" outlineLevel="0" collapsed="false">
      <c r="A793" s="14"/>
      <c r="B793" s="15"/>
      <c r="C793" s="14"/>
      <c r="D793" s="14"/>
      <c r="E793" s="14"/>
      <c r="F793" s="14"/>
      <c r="G793" s="14"/>
      <c r="H793" s="14"/>
      <c r="I793" s="16"/>
      <c r="J793" s="17"/>
      <c r="K793" s="14"/>
      <c r="L793" s="15"/>
      <c r="M793" s="17"/>
      <c r="N793" s="14"/>
      <c r="O793" s="15"/>
      <c r="P793" s="14"/>
      <c r="Q793" s="16"/>
      <c r="R793" s="13" t="str">
        <f aca="false">IF(AND(B793&lt;&gt;"",L793&lt;&gt;""),L793-B793,"")</f>
        <v/>
      </c>
      <c r="S793" s="13" t="str">
        <f aca="true">IF(B793="","",IF(O793&lt;&gt;"",O793-B793,TODAY()-B793))</f>
        <v/>
      </c>
      <c r="T793" s="13" t="str">
        <f aca="false">IF(A793="","",SUMIF('Time Log'!$C$5:$C$1004,A793,'Time Log'!$E$5:$E$1004))</f>
        <v/>
      </c>
    </row>
    <row r="794" customFormat="false" ht="15" hidden="false" customHeight="false" outlineLevel="0" collapsed="false">
      <c r="A794" s="14"/>
      <c r="B794" s="15"/>
      <c r="C794" s="14"/>
      <c r="D794" s="14"/>
      <c r="E794" s="14"/>
      <c r="F794" s="14"/>
      <c r="G794" s="14"/>
      <c r="H794" s="14"/>
      <c r="I794" s="16"/>
      <c r="J794" s="17"/>
      <c r="K794" s="14"/>
      <c r="L794" s="15"/>
      <c r="M794" s="17"/>
      <c r="N794" s="14"/>
      <c r="O794" s="15"/>
      <c r="P794" s="14"/>
      <c r="Q794" s="16"/>
      <c r="R794" s="13" t="str">
        <f aca="false">IF(AND(B794&lt;&gt;"",L794&lt;&gt;""),L794-B794,"")</f>
        <v/>
      </c>
      <c r="S794" s="13" t="str">
        <f aca="true">IF(B794="","",IF(O794&lt;&gt;"",O794-B794,TODAY()-B794))</f>
        <v/>
      </c>
      <c r="T794" s="13" t="str">
        <f aca="false">IF(A794="","",SUMIF('Time Log'!$C$5:$C$1004,A794,'Time Log'!$E$5:$E$1004))</f>
        <v/>
      </c>
    </row>
    <row r="795" customFormat="false" ht="15" hidden="false" customHeight="false" outlineLevel="0" collapsed="false">
      <c r="A795" s="14"/>
      <c r="B795" s="15"/>
      <c r="C795" s="14"/>
      <c r="D795" s="14"/>
      <c r="E795" s="14"/>
      <c r="F795" s="14"/>
      <c r="G795" s="14"/>
      <c r="H795" s="14"/>
      <c r="I795" s="16"/>
      <c r="J795" s="17"/>
      <c r="K795" s="14"/>
      <c r="L795" s="15"/>
      <c r="M795" s="17"/>
      <c r="N795" s="14"/>
      <c r="O795" s="15"/>
      <c r="P795" s="14"/>
      <c r="Q795" s="16"/>
      <c r="R795" s="13" t="str">
        <f aca="false">IF(AND(B795&lt;&gt;"",L795&lt;&gt;""),L795-B795,"")</f>
        <v/>
      </c>
      <c r="S795" s="13" t="str">
        <f aca="true">IF(B795="","",IF(O795&lt;&gt;"",O795-B795,TODAY()-B795))</f>
        <v/>
      </c>
      <c r="T795" s="13" t="str">
        <f aca="false">IF(A795="","",SUMIF('Time Log'!$C$5:$C$1004,A795,'Time Log'!$E$5:$E$1004))</f>
        <v/>
      </c>
    </row>
    <row r="796" customFormat="false" ht="15" hidden="false" customHeight="false" outlineLevel="0" collapsed="false">
      <c r="A796" s="14"/>
      <c r="B796" s="15"/>
      <c r="C796" s="14"/>
      <c r="D796" s="14"/>
      <c r="E796" s="14"/>
      <c r="F796" s="14"/>
      <c r="G796" s="14"/>
      <c r="H796" s="14"/>
      <c r="I796" s="16"/>
      <c r="J796" s="17"/>
      <c r="K796" s="14"/>
      <c r="L796" s="15"/>
      <c r="M796" s="17"/>
      <c r="N796" s="14"/>
      <c r="O796" s="15"/>
      <c r="P796" s="14"/>
      <c r="Q796" s="16"/>
      <c r="R796" s="13" t="str">
        <f aca="false">IF(AND(B796&lt;&gt;"",L796&lt;&gt;""),L796-B796,"")</f>
        <v/>
      </c>
      <c r="S796" s="13" t="str">
        <f aca="true">IF(B796="","",IF(O796&lt;&gt;"",O796-B796,TODAY()-B796))</f>
        <v/>
      </c>
      <c r="T796" s="13" t="str">
        <f aca="false">IF(A796="","",SUMIF('Time Log'!$C$5:$C$1004,A796,'Time Log'!$E$5:$E$1004))</f>
        <v/>
      </c>
    </row>
    <row r="797" customFormat="false" ht="15" hidden="false" customHeight="false" outlineLevel="0" collapsed="false">
      <c r="A797" s="14"/>
      <c r="B797" s="15"/>
      <c r="C797" s="14"/>
      <c r="D797" s="14"/>
      <c r="E797" s="14"/>
      <c r="F797" s="14"/>
      <c r="G797" s="14"/>
      <c r="H797" s="14"/>
      <c r="I797" s="16"/>
      <c r="J797" s="17"/>
      <c r="K797" s="14"/>
      <c r="L797" s="15"/>
      <c r="M797" s="17"/>
      <c r="N797" s="14"/>
      <c r="O797" s="15"/>
      <c r="P797" s="14"/>
      <c r="Q797" s="16"/>
      <c r="R797" s="13" t="str">
        <f aca="false">IF(AND(B797&lt;&gt;"",L797&lt;&gt;""),L797-B797,"")</f>
        <v/>
      </c>
      <c r="S797" s="13" t="str">
        <f aca="true">IF(B797="","",IF(O797&lt;&gt;"",O797-B797,TODAY()-B797))</f>
        <v/>
      </c>
      <c r="T797" s="13" t="str">
        <f aca="false">IF(A797="","",SUMIF('Time Log'!$C$5:$C$1004,A797,'Time Log'!$E$5:$E$1004))</f>
        <v/>
      </c>
    </row>
    <row r="798" customFormat="false" ht="15" hidden="false" customHeight="false" outlineLevel="0" collapsed="false">
      <c r="A798" s="14"/>
      <c r="B798" s="15"/>
      <c r="C798" s="14"/>
      <c r="D798" s="14"/>
      <c r="E798" s="14"/>
      <c r="F798" s="14"/>
      <c r="G798" s="14"/>
      <c r="H798" s="14"/>
      <c r="I798" s="16"/>
      <c r="J798" s="17"/>
      <c r="K798" s="14"/>
      <c r="L798" s="15"/>
      <c r="M798" s="17"/>
      <c r="N798" s="14"/>
      <c r="O798" s="15"/>
      <c r="P798" s="14"/>
      <c r="Q798" s="16"/>
      <c r="R798" s="13" t="str">
        <f aca="false">IF(AND(B798&lt;&gt;"",L798&lt;&gt;""),L798-B798,"")</f>
        <v/>
      </c>
      <c r="S798" s="13" t="str">
        <f aca="true">IF(B798="","",IF(O798&lt;&gt;"",O798-B798,TODAY()-B798))</f>
        <v/>
      </c>
      <c r="T798" s="13" t="str">
        <f aca="false">IF(A798="","",SUMIF('Time Log'!$C$5:$C$1004,A798,'Time Log'!$E$5:$E$1004))</f>
        <v/>
      </c>
    </row>
    <row r="799" customFormat="false" ht="15" hidden="false" customHeight="false" outlineLevel="0" collapsed="false">
      <c r="A799" s="14"/>
      <c r="B799" s="15"/>
      <c r="C799" s="14"/>
      <c r="D799" s="14"/>
      <c r="E799" s="14"/>
      <c r="F799" s="14"/>
      <c r="G799" s="14"/>
      <c r="H799" s="14"/>
      <c r="I799" s="16"/>
      <c r="J799" s="17"/>
      <c r="K799" s="14"/>
      <c r="L799" s="15"/>
      <c r="M799" s="17"/>
      <c r="N799" s="14"/>
      <c r="O799" s="15"/>
      <c r="P799" s="14"/>
      <c r="Q799" s="16"/>
      <c r="R799" s="13" t="str">
        <f aca="false">IF(AND(B799&lt;&gt;"",L799&lt;&gt;""),L799-B799,"")</f>
        <v/>
      </c>
      <c r="S799" s="13" t="str">
        <f aca="true">IF(B799="","",IF(O799&lt;&gt;"",O799-B799,TODAY()-B799))</f>
        <v/>
      </c>
      <c r="T799" s="13" t="str">
        <f aca="false">IF(A799="","",SUMIF('Time Log'!$C$5:$C$1004,A799,'Time Log'!$E$5:$E$1004))</f>
        <v/>
      </c>
    </row>
    <row r="800" customFormat="false" ht="15" hidden="false" customHeight="false" outlineLevel="0" collapsed="false">
      <c r="A800" s="14"/>
      <c r="B800" s="15"/>
      <c r="C800" s="14"/>
      <c r="D800" s="14"/>
      <c r="E800" s="14"/>
      <c r="F800" s="14"/>
      <c r="G800" s="14"/>
      <c r="H800" s="14"/>
      <c r="I800" s="16"/>
      <c r="J800" s="17"/>
      <c r="K800" s="14"/>
      <c r="L800" s="15"/>
      <c r="M800" s="17"/>
      <c r="N800" s="14"/>
      <c r="O800" s="15"/>
      <c r="P800" s="14"/>
      <c r="Q800" s="16"/>
      <c r="R800" s="13" t="str">
        <f aca="false">IF(AND(B800&lt;&gt;"",L800&lt;&gt;""),L800-B800,"")</f>
        <v/>
      </c>
      <c r="S800" s="13" t="str">
        <f aca="true">IF(B800="","",IF(O800&lt;&gt;"",O800-B800,TODAY()-B800))</f>
        <v/>
      </c>
      <c r="T800" s="13" t="str">
        <f aca="false">IF(A800="","",SUMIF('Time Log'!$C$5:$C$1004,A800,'Time Log'!$E$5:$E$1004))</f>
        <v/>
      </c>
    </row>
    <row r="801" customFormat="false" ht="15" hidden="false" customHeight="false" outlineLevel="0" collapsed="false">
      <c r="A801" s="14"/>
      <c r="B801" s="15"/>
      <c r="C801" s="14"/>
      <c r="D801" s="14"/>
      <c r="E801" s="14"/>
      <c r="F801" s="14"/>
      <c r="G801" s="14"/>
      <c r="H801" s="14"/>
      <c r="I801" s="16"/>
      <c r="J801" s="17"/>
      <c r="K801" s="14"/>
      <c r="L801" s="15"/>
      <c r="M801" s="17"/>
      <c r="N801" s="14"/>
      <c r="O801" s="15"/>
      <c r="P801" s="14"/>
      <c r="Q801" s="16"/>
      <c r="R801" s="13" t="str">
        <f aca="false">IF(AND(B801&lt;&gt;"",L801&lt;&gt;""),L801-B801,"")</f>
        <v/>
      </c>
      <c r="S801" s="13" t="str">
        <f aca="true">IF(B801="","",IF(O801&lt;&gt;"",O801-B801,TODAY()-B801))</f>
        <v/>
      </c>
      <c r="T801" s="13" t="str">
        <f aca="false">IF(A801="","",SUMIF('Time Log'!$C$5:$C$1004,A801,'Time Log'!$E$5:$E$1004))</f>
        <v/>
      </c>
    </row>
    <row r="802" customFormat="false" ht="15" hidden="false" customHeight="false" outlineLevel="0" collapsed="false">
      <c r="A802" s="14"/>
      <c r="B802" s="15"/>
      <c r="C802" s="14"/>
      <c r="D802" s="14"/>
      <c r="E802" s="14"/>
      <c r="F802" s="14"/>
      <c r="G802" s="14"/>
      <c r="H802" s="14"/>
      <c r="I802" s="16"/>
      <c r="J802" s="17"/>
      <c r="K802" s="14"/>
      <c r="L802" s="15"/>
      <c r="M802" s="17"/>
      <c r="N802" s="14"/>
      <c r="O802" s="15"/>
      <c r="P802" s="14"/>
      <c r="Q802" s="16"/>
      <c r="R802" s="13" t="str">
        <f aca="false">IF(AND(B802&lt;&gt;"",L802&lt;&gt;""),L802-B802,"")</f>
        <v/>
      </c>
      <c r="S802" s="13" t="str">
        <f aca="true">IF(B802="","",IF(O802&lt;&gt;"",O802-B802,TODAY()-B802))</f>
        <v/>
      </c>
      <c r="T802" s="13" t="str">
        <f aca="false">IF(A802="","",SUMIF('Time Log'!$C$5:$C$1004,A802,'Time Log'!$E$5:$E$1004))</f>
        <v/>
      </c>
    </row>
    <row r="803" customFormat="false" ht="15" hidden="false" customHeight="false" outlineLevel="0" collapsed="false">
      <c r="A803" s="14"/>
      <c r="B803" s="15"/>
      <c r="C803" s="14"/>
      <c r="D803" s="14"/>
      <c r="E803" s="14"/>
      <c r="F803" s="14"/>
      <c r="G803" s="14"/>
      <c r="H803" s="14"/>
      <c r="I803" s="16"/>
      <c r="J803" s="17"/>
      <c r="K803" s="14"/>
      <c r="L803" s="15"/>
      <c r="M803" s="17"/>
      <c r="N803" s="14"/>
      <c r="O803" s="15"/>
      <c r="P803" s="14"/>
      <c r="Q803" s="16"/>
      <c r="R803" s="13" t="str">
        <f aca="false">IF(AND(B803&lt;&gt;"",L803&lt;&gt;""),L803-B803,"")</f>
        <v/>
      </c>
      <c r="S803" s="13" t="str">
        <f aca="true">IF(B803="","",IF(O803&lt;&gt;"",O803-B803,TODAY()-B803))</f>
        <v/>
      </c>
      <c r="T803" s="13" t="str">
        <f aca="false">IF(A803="","",SUMIF('Time Log'!$C$5:$C$1004,A803,'Time Log'!$E$5:$E$1004))</f>
        <v/>
      </c>
    </row>
    <row r="804" customFormat="false" ht="15" hidden="false" customHeight="false" outlineLevel="0" collapsed="false">
      <c r="A804" s="14"/>
      <c r="B804" s="15"/>
      <c r="C804" s="14"/>
      <c r="D804" s="14"/>
      <c r="E804" s="14"/>
      <c r="F804" s="14"/>
      <c r="G804" s="14"/>
      <c r="H804" s="14"/>
      <c r="I804" s="16"/>
      <c r="J804" s="17"/>
      <c r="K804" s="14"/>
      <c r="L804" s="15"/>
      <c r="M804" s="17"/>
      <c r="N804" s="14"/>
      <c r="O804" s="15"/>
      <c r="P804" s="14"/>
      <c r="Q804" s="16"/>
      <c r="R804" s="13" t="str">
        <f aca="false">IF(AND(B804&lt;&gt;"",L804&lt;&gt;""),L804-B804,"")</f>
        <v/>
      </c>
      <c r="S804" s="13" t="str">
        <f aca="true">IF(B804="","",IF(O804&lt;&gt;"",O804-B804,TODAY()-B804))</f>
        <v/>
      </c>
      <c r="T804" s="13" t="str">
        <f aca="false">IF(A804="","",SUMIF('Time Log'!$C$5:$C$1004,A804,'Time Log'!$E$5:$E$1004))</f>
        <v/>
      </c>
    </row>
    <row r="805" customFormat="false" ht="15" hidden="false" customHeight="false" outlineLevel="0" collapsed="false">
      <c r="A805" s="14"/>
      <c r="B805" s="15"/>
      <c r="C805" s="14"/>
      <c r="D805" s="14"/>
      <c r="E805" s="14"/>
      <c r="F805" s="14"/>
      <c r="G805" s="14"/>
      <c r="H805" s="14"/>
      <c r="I805" s="16"/>
      <c r="J805" s="17"/>
      <c r="K805" s="14"/>
      <c r="L805" s="15"/>
      <c r="M805" s="17"/>
      <c r="N805" s="14"/>
      <c r="O805" s="15"/>
      <c r="P805" s="14"/>
      <c r="Q805" s="16"/>
      <c r="R805" s="13" t="str">
        <f aca="false">IF(AND(B805&lt;&gt;"",L805&lt;&gt;""),L805-B805,"")</f>
        <v/>
      </c>
      <c r="S805" s="13" t="str">
        <f aca="true">IF(B805="","",IF(O805&lt;&gt;"",O805-B805,TODAY()-B805))</f>
        <v/>
      </c>
      <c r="T805" s="13" t="str">
        <f aca="false">IF(A805="","",SUMIF('Time Log'!$C$5:$C$1004,A805,'Time Log'!$E$5:$E$1004))</f>
        <v/>
      </c>
    </row>
    <row r="806" customFormat="false" ht="15" hidden="false" customHeight="false" outlineLevel="0" collapsed="false">
      <c r="A806" s="14"/>
      <c r="B806" s="15"/>
      <c r="C806" s="14"/>
      <c r="D806" s="14"/>
      <c r="E806" s="14"/>
      <c r="F806" s="14"/>
      <c r="G806" s="14"/>
      <c r="H806" s="14"/>
      <c r="I806" s="16"/>
      <c r="J806" s="17"/>
      <c r="K806" s="14"/>
      <c r="L806" s="15"/>
      <c r="M806" s="17"/>
      <c r="N806" s="14"/>
      <c r="O806" s="15"/>
      <c r="P806" s="14"/>
      <c r="Q806" s="16"/>
      <c r="R806" s="13" t="str">
        <f aca="false">IF(AND(B806&lt;&gt;"",L806&lt;&gt;""),L806-B806,"")</f>
        <v/>
      </c>
      <c r="S806" s="13" t="str">
        <f aca="true">IF(B806="","",IF(O806&lt;&gt;"",O806-B806,TODAY()-B806))</f>
        <v/>
      </c>
      <c r="T806" s="13" t="str">
        <f aca="false">IF(A806="","",SUMIF('Time Log'!$C$5:$C$1004,A806,'Time Log'!$E$5:$E$1004))</f>
        <v/>
      </c>
    </row>
    <row r="807" customFormat="false" ht="15" hidden="false" customHeight="false" outlineLevel="0" collapsed="false">
      <c r="A807" s="14"/>
      <c r="B807" s="15"/>
      <c r="C807" s="14"/>
      <c r="D807" s="14"/>
      <c r="E807" s="14"/>
      <c r="F807" s="14"/>
      <c r="G807" s="14"/>
      <c r="H807" s="14"/>
      <c r="I807" s="16"/>
      <c r="J807" s="17"/>
      <c r="K807" s="14"/>
      <c r="L807" s="15"/>
      <c r="M807" s="17"/>
      <c r="N807" s="14"/>
      <c r="O807" s="15"/>
      <c r="P807" s="14"/>
      <c r="Q807" s="16"/>
      <c r="R807" s="13" t="str">
        <f aca="false">IF(AND(B807&lt;&gt;"",L807&lt;&gt;""),L807-B807,"")</f>
        <v/>
      </c>
      <c r="S807" s="13" t="str">
        <f aca="true">IF(B807="","",IF(O807&lt;&gt;"",O807-B807,TODAY()-B807))</f>
        <v/>
      </c>
      <c r="T807" s="13" t="str">
        <f aca="false">IF(A807="","",SUMIF('Time Log'!$C$5:$C$1004,A807,'Time Log'!$E$5:$E$1004))</f>
        <v/>
      </c>
    </row>
    <row r="808" customFormat="false" ht="15" hidden="false" customHeight="false" outlineLevel="0" collapsed="false">
      <c r="A808" s="14"/>
      <c r="B808" s="15"/>
      <c r="C808" s="14"/>
      <c r="D808" s="14"/>
      <c r="E808" s="14"/>
      <c r="F808" s="14"/>
      <c r="G808" s="14"/>
      <c r="H808" s="14"/>
      <c r="I808" s="16"/>
      <c r="J808" s="17"/>
      <c r="K808" s="14"/>
      <c r="L808" s="15"/>
      <c r="M808" s="17"/>
      <c r="N808" s="14"/>
      <c r="O808" s="15"/>
      <c r="P808" s="14"/>
      <c r="Q808" s="16"/>
      <c r="R808" s="13" t="str">
        <f aca="false">IF(AND(B808&lt;&gt;"",L808&lt;&gt;""),L808-B808,"")</f>
        <v/>
      </c>
      <c r="S808" s="13" t="str">
        <f aca="true">IF(B808="","",IF(O808&lt;&gt;"",O808-B808,TODAY()-B808))</f>
        <v/>
      </c>
      <c r="T808" s="13" t="str">
        <f aca="false">IF(A808="","",SUMIF('Time Log'!$C$5:$C$1004,A808,'Time Log'!$E$5:$E$1004))</f>
        <v/>
      </c>
    </row>
    <row r="809" customFormat="false" ht="15" hidden="false" customHeight="false" outlineLevel="0" collapsed="false">
      <c r="A809" s="14"/>
      <c r="B809" s="15"/>
      <c r="C809" s="14"/>
      <c r="D809" s="14"/>
      <c r="E809" s="14"/>
      <c r="F809" s="14"/>
      <c r="G809" s="14"/>
      <c r="H809" s="14"/>
      <c r="I809" s="16"/>
      <c r="J809" s="17"/>
      <c r="K809" s="14"/>
      <c r="L809" s="15"/>
      <c r="M809" s="17"/>
      <c r="N809" s="14"/>
      <c r="O809" s="15"/>
      <c r="P809" s="14"/>
      <c r="Q809" s="16"/>
      <c r="R809" s="13" t="str">
        <f aca="false">IF(AND(B809&lt;&gt;"",L809&lt;&gt;""),L809-B809,"")</f>
        <v/>
      </c>
      <c r="S809" s="13" t="str">
        <f aca="true">IF(B809="","",IF(O809&lt;&gt;"",O809-B809,TODAY()-B809))</f>
        <v/>
      </c>
      <c r="T809" s="13" t="str">
        <f aca="false">IF(A809="","",SUMIF('Time Log'!$C$5:$C$1004,A809,'Time Log'!$E$5:$E$1004))</f>
        <v/>
      </c>
    </row>
    <row r="810" customFormat="false" ht="15" hidden="false" customHeight="false" outlineLevel="0" collapsed="false">
      <c r="A810" s="14"/>
      <c r="B810" s="15"/>
      <c r="C810" s="14"/>
      <c r="D810" s="14"/>
      <c r="E810" s="14"/>
      <c r="F810" s="14"/>
      <c r="G810" s="14"/>
      <c r="H810" s="14"/>
      <c r="I810" s="16"/>
      <c r="J810" s="17"/>
      <c r="K810" s="14"/>
      <c r="L810" s="15"/>
      <c r="M810" s="17"/>
      <c r="N810" s="14"/>
      <c r="O810" s="15"/>
      <c r="P810" s="14"/>
      <c r="Q810" s="16"/>
      <c r="R810" s="13" t="str">
        <f aca="false">IF(AND(B810&lt;&gt;"",L810&lt;&gt;""),L810-B810,"")</f>
        <v/>
      </c>
      <c r="S810" s="13" t="str">
        <f aca="true">IF(B810="","",IF(O810&lt;&gt;"",O810-B810,TODAY()-B810))</f>
        <v/>
      </c>
      <c r="T810" s="13" t="str">
        <f aca="false">IF(A810="","",SUMIF('Time Log'!$C$5:$C$1004,A810,'Time Log'!$E$5:$E$1004))</f>
        <v/>
      </c>
    </row>
    <row r="811" customFormat="false" ht="15" hidden="false" customHeight="false" outlineLevel="0" collapsed="false">
      <c r="A811" s="14"/>
      <c r="B811" s="15"/>
      <c r="C811" s="14"/>
      <c r="D811" s="14"/>
      <c r="E811" s="14"/>
      <c r="F811" s="14"/>
      <c r="G811" s="14"/>
      <c r="H811" s="14"/>
      <c r="I811" s="16"/>
      <c r="J811" s="17"/>
      <c r="K811" s="14"/>
      <c r="L811" s="15"/>
      <c r="M811" s="17"/>
      <c r="N811" s="14"/>
      <c r="O811" s="15"/>
      <c r="P811" s="14"/>
      <c r="Q811" s="16"/>
      <c r="R811" s="13" t="str">
        <f aca="false">IF(AND(B811&lt;&gt;"",L811&lt;&gt;""),L811-B811,"")</f>
        <v/>
      </c>
      <c r="S811" s="13" t="str">
        <f aca="true">IF(B811="","",IF(O811&lt;&gt;"",O811-B811,TODAY()-B811))</f>
        <v/>
      </c>
      <c r="T811" s="13" t="str">
        <f aca="false">IF(A811="","",SUMIF('Time Log'!$C$5:$C$1004,A811,'Time Log'!$E$5:$E$1004))</f>
        <v/>
      </c>
    </row>
    <row r="812" customFormat="false" ht="15" hidden="false" customHeight="false" outlineLevel="0" collapsed="false">
      <c r="A812" s="14"/>
      <c r="B812" s="15"/>
      <c r="C812" s="14"/>
      <c r="D812" s="14"/>
      <c r="E812" s="14"/>
      <c r="F812" s="14"/>
      <c r="G812" s="14"/>
      <c r="H812" s="14"/>
      <c r="I812" s="16"/>
      <c r="J812" s="17"/>
      <c r="K812" s="14"/>
      <c r="L812" s="15"/>
      <c r="M812" s="17"/>
      <c r="N812" s="14"/>
      <c r="O812" s="15"/>
      <c r="P812" s="14"/>
      <c r="Q812" s="16"/>
      <c r="R812" s="13" t="str">
        <f aca="false">IF(AND(B812&lt;&gt;"",L812&lt;&gt;""),L812-B812,"")</f>
        <v/>
      </c>
      <c r="S812" s="13" t="str">
        <f aca="true">IF(B812="","",IF(O812&lt;&gt;"",O812-B812,TODAY()-B812))</f>
        <v/>
      </c>
      <c r="T812" s="13" t="str">
        <f aca="false">IF(A812="","",SUMIF('Time Log'!$C$5:$C$1004,A812,'Time Log'!$E$5:$E$1004))</f>
        <v/>
      </c>
    </row>
    <row r="813" customFormat="false" ht="15" hidden="false" customHeight="false" outlineLevel="0" collapsed="false">
      <c r="A813" s="14"/>
      <c r="B813" s="15"/>
      <c r="C813" s="14"/>
      <c r="D813" s="14"/>
      <c r="E813" s="14"/>
      <c r="F813" s="14"/>
      <c r="G813" s="14"/>
      <c r="H813" s="14"/>
      <c r="I813" s="16"/>
      <c r="J813" s="17"/>
      <c r="K813" s="14"/>
      <c r="L813" s="15"/>
      <c r="M813" s="17"/>
      <c r="N813" s="14"/>
      <c r="O813" s="15"/>
      <c r="P813" s="14"/>
      <c r="Q813" s="16"/>
      <c r="R813" s="13" t="str">
        <f aca="false">IF(AND(B813&lt;&gt;"",L813&lt;&gt;""),L813-B813,"")</f>
        <v/>
      </c>
      <c r="S813" s="13" t="str">
        <f aca="true">IF(B813="","",IF(O813&lt;&gt;"",O813-B813,TODAY()-B813))</f>
        <v/>
      </c>
      <c r="T813" s="13" t="str">
        <f aca="false">IF(A813="","",SUMIF('Time Log'!$C$5:$C$1004,A813,'Time Log'!$E$5:$E$1004))</f>
        <v/>
      </c>
    </row>
    <row r="814" customFormat="false" ht="15" hidden="false" customHeight="false" outlineLevel="0" collapsed="false">
      <c r="A814" s="14"/>
      <c r="B814" s="15"/>
      <c r="C814" s="14"/>
      <c r="D814" s="14"/>
      <c r="E814" s="14"/>
      <c r="F814" s="14"/>
      <c r="G814" s="14"/>
      <c r="H814" s="14"/>
      <c r="I814" s="16"/>
      <c r="J814" s="17"/>
      <c r="K814" s="14"/>
      <c r="L814" s="15"/>
      <c r="M814" s="17"/>
      <c r="N814" s="14"/>
      <c r="O814" s="15"/>
      <c r="P814" s="14"/>
      <c r="Q814" s="16"/>
      <c r="R814" s="13" t="str">
        <f aca="false">IF(AND(B814&lt;&gt;"",L814&lt;&gt;""),L814-B814,"")</f>
        <v/>
      </c>
      <c r="S814" s="13" t="str">
        <f aca="true">IF(B814="","",IF(O814&lt;&gt;"",O814-B814,TODAY()-B814))</f>
        <v/>
      </c>
      <c r="T814" s="13" t="str">
        <f aca="false">IF(A814="","",SUMIF('Time Log'!$C$5:$C$1004,A814,'Time Log'!$E$5:$E$1004))</f>
        <v/>
      </c>
    </row>
    <row r="815" customFormat="false" ht="15" hidden="false" customHeight="false" outlineLevel="0" collapsed="false">
      <c r="A815" s="14"/>
      <c r="B815" s="15"/>
      <c r="C815" s="14"/>
      <c r="D815" s="14"/>
      <c r="E815" s="14"/>
      <c r="F815" s="14"/>
      <c r="G815" s="14"/>
      <c r="H815" s="14"/>
      <c r="I815" s="16"/>
      <c r="J815" s="17"/>
      <c r="K815" s="14"/>
      <c r="L815" s="15"/>
      <c r="M815" s="17"/>
      <c r="N815" s="14"/>
      <c r="O815" s="15"/>
      <c r="P815" s="14"/>
      <c r="Q815" s="16"/>
      <c r="R815" s="13" t="str">
        <f aca="false">IF(AND(B815&lt;&gt;"",L815&lt;&gt;""),L815-B815,"")</f>
        <v/>
      </c>
      <c r="S815" s="13" t="str">
        <f aca="true">IF(B815="","",IF(O815&lt;&gt;"",O815-B815,TODAY()-B815))</f>
        <v/>
      </c>
      <c r="T815" s="13" t="str">
        <f aca="false">IF(A815="","",SUMIF('Time Log'!$C$5:$C$1004,A815,'Time Log'!$E$5:$E$1004))</f>
        <v/>
      </c>
    </row>
    <row r="816" customFormat="false" ht="15" hidden="false" customHeight="false" outlineLevel="0" collapsed="false">
      <c r="A816" s="14"/>
      <c r="B816" s="15"/>
      <c r="C816" s="14"/>
      <c r="D816" s="14"/>
      <c r="E816" s="14"/>
      <c r="F816" s="14"/>
      <c r="G816" s="14"/>
      <c r="H816" s="14"/>
      <c r="I816" s="16"/>
      <c r="J816" s="17"/>
      <c r="K816" s="14"/>
      <c r="L816" s="15"/>
      <c r="M816" s="17"/>
      <c r="N816" s="14"/>
      <c r="O816" s="15"/>
      <c r="P816" s="14"/>
      <c r="Q816" s="16"/>
      <c r="R816" s="13" t="str">
        <f aca="false">IF(AND(B816&lt;&gt;"",L816&lt;&gt;""),L816-B816,"")</f>
        <v/>
      </c>
      <c r="S816" s="13" t="str">
        <f aca="true">IF(B816="","",IF(O816&lt;&gt;"",O816-B816,TODAY()-B816))</f>
        <v/>
      </c>
      <c r="T816" s="13" t="str">
        <f aca="false">IF(A816="","",SUMIF('Time Log'!$C$5:$C$1004,A816,'Time Log'!$E$5:$E$1004))</f>
        <v/>
      </c>
    </row>
    <row r="817" customFormat="false" ht="15" hidden="false" customHeight="false" outlineLevel="0" collapsed="false">
      <c r="A817" s="14"/>
      <c r="B817" s="15"/>
      <c r="C817" s="14"/>
      <c r="D817" s="14"/>
      <c r="E817" s="14"/>
      <c r="F817" s="14"/>
      <c r="G817" s="14"/>
      <c r="H817" s="14"/>
      <c r="I817" s="16"/>
      <c r="J817" s="17"/>
      <c r="K817" s="14"/>
      <c r="L817" s="15"/>
      <c r="M817" s="17"/>
      <c r="N817" s="14"/>
      <c r="O817" s="15"/>
      <c r="P817" s="14"/>
      <c r="Q817" s="16"/>
      <c r="R817" s="13" t="str">
        <f aca="false">IF(AND(B817&lt;&gt;"",L817&lt;&gt;""),L817-B817,"")</f>
        <v/>
      </c>
      <c r="S817" s="13" t="str">
        <f aca="true">IF(B817="","",IF(O817&lt;&gt;"",O817-B817,TODAY()-B817))</f>
        <v/>
      </c>
      <c r="T817" s="13" t="str">
        <f aca="false">IF(A817="","",SUMIF('Time Log'!$C$5:$C$1004,A817,'Time Log'!$E$5:$E$1004))</f>
        <v/>
      </c>
    </row>
    <row r="818" customFormat="false" ht="15" hidden="false" customHeight="false" outlineLevel="0" collapsed="false">
      <c r="A818" s="14"/>
      <c r="B818" s="15"/>
      <c r="C818" s="14"/>
      <c r="D818" s="14"/>
      <c r="E818" s="14"/>
      <c r="F818" s="14"/>
      <c r="G818" s="14"/>
      <c r="H818" s="14"/>
      <c r="I818" s="16"/>
      <c r="J818" s="17"/>
      <c r="K818" s="14"/>
      <c r="L818" s="15"/>
      <c r="M818" s="17"/>
      <c r="N818" s="14"/>
      <c r="O818" s="15"/>
      <c r="P818" s="14"/>
      <c r="Q818" s="16"/>
      <c r="R818" s="13" t="str">
        <f aca="false">IF(AND(B818&lt;&gt;"",L818&lt;&gt;""),L818-B818,"")</f>
        <v/>
      </c>
      <c r="S818" s="13" t="str">
        <f aca="true">IF(B818="","",IF(O818&lt;&gt;"",O818-B818,TODAY()-B818))</f>
        <v/>
      </c>
      <c r="T818" s="13" t="str">
        <f aca="false">IF(A818="","",SUMIF('Time Log'!$C$5:$C$1004,A818,'Time Log'!$E$5:$E$1004))</f>
        <v/>
      </c>
    </row>
    <row r="819" customFormat="false" ht="15" hidden="false" customHeight="false" outlineLevel="0" collapsed="false">
      <c r="A819" s="14"/>
      <c r="B819" s="15"/>
      <c r="C819" s="14"/>
      <c r="D819" s="14"/>
      <c r="E819" s="14"/>
      <c r="F819" s="14"/>
      <c r="G819" s="14"/>
      <c r="H819" s="14"/>
      <c r="I819" s="16"/>
      <c r="J819" s="17"/>
      <c r="K819" s="14"/>
      <c r="L819" s="15"/>
      <c r="M819" s="17"/>
      <c r="N819" s="14"/>
      <c r="O819" s="15"/>
      <c r="P819" s="14"/>
      <c r="Q819" s="16"/>
      <c r="R819" s="13" t="str">
        <f aca="false">IF(AND(B819&lt;&gt;"",L819&lt;&gt;""),L819-B819,"")</f>
        <v/>
      </c>
      <c r="S819" s="13" t="str">
        <f aca="true">IF(B819="","",IF(O819&lt;&gt;"",O819-B819,TODAY()-B819))</f>
        <v/>
      </c>
      <c r="T819" s="13" t="str">
        <f aca="false">IF(A819="","",SUMIF('Time Log'!$C$5:$C$1004,A819,'Time Log'!$E$5:$E$1004))</f>
        <v/>
      </c>
    </row>
    <row r="820" customFormat="false" ht="15" hidden="false" customHeight="false" outlineLevel="0" collapsed="false">
      <c r="A820" s="14"/>
      <c r="B820" s="15"/>
      <c r="C820" s="14"/>
      <c r="D820" s="14"/>
      <c r="E820" s="14"/>
      <c r="F820" s="14"/>
      <c r="G820" s="14"/>
      <c r="H820" s="14"/>
      <c r="I820" s="16"/>
      <c r="J820" s="17"/>
      <c r="K820" s="14"/>
      <c r="L820" s="15"/>
      <c r="M820" s="17"/>
      <c r="N820" s="14"/>
      <c r="O820" s="15"/>
      <c r="P820" s="14"/>
      <c r="Q820" s="16"/>
      <c r="R820" s="13" t="str">
        <f aca="false">IF(AND(B820&lt;&gt;"",L820&lt;&gt;""),L820-B820,"")</f>
        <v/>
      </c>
      <c r="S820" s="13" t="str">
        <f aca="true">IF(B820="","",IF(O820&lt;&gt;"",O820-B820,TODAY()-B820))</f>
        <v/>
      </c>
      <c r="T820" s="13" t="str">
        <f aca="false">IF(A820="","",SUMIF('Time Log'!$C$5:$C$1004,A820,'Time Log'!$E$5:$E$1004))</f>
        <v/>
      </c>
    </row>
    <row r="821" customFormat="false" ht="15" hidden="false" customHeight="false" outlineLevel="0" collapsed="false">
      <c r="A821" s="14"/>
      <c r="B821" s="15"/>
      <c r="C821" s="14"/>
      <c r="D821" s="14"/>
      <c r="E821" s="14"/>
      <c r="F821" s="14"/>
      <c r="G821" s="14"/>
      <c r="H821" s="14"/>
      <c r="I821" s="16"/>
      <c r="J821" s="17"/>
      <c r="K821" s="14"/>
      <c r="L821" s="15"/>
      <c r="M821" s="17"/>
      <c r="N821" s="14"/>
      <c r="O821" s="15"/>
      <c r="P821" s="14"/>
      <c r="Q821" s="16"/>
      <c r="R821" s="13" t="str">
        <f aca="false">IF(AND(B821&lt;&gt;"",L821&lt;&gt;""),L821-B821,"")</f>
        <v/>
      </c>
      <c r="S821" s="13" t="str">
        <f aca="true">IF(B821="","",IF(O821&lt;&gt;"",O821-B821,TODAY()-B821))</f>
        <v/>
      </c>
      <c r="T821" s="13" t="str">
        <f aca="false">IF(A821="","",SUMIF('Time Log'!$C$5:$C$1004,A821,'Time Log'!$E$5:$E$1004))</f>
        <v/>
      </c>
    </row>
    <row r="822" customFormat="false" ht="15" hidden="false" customHeight="false" outlineLevel="0" collapsed="false">
      <c r="A822" s="14"/>
      <c r="B822" s="15"/>
      <c r="C822" s="14"/>
      <c r="D822" s="14"/>
      <c r="E822" s="14"/>
      <c r="F822" s="14"/>
      <c r="G822" s="14"/>
      <c r="H822" s="14"/>
      <c r="I822" s="16"/>
      <c r="J822" s="17"/>
      <c r="K822" s="14"/>
      <c r="L822" s="15"/>
      <c r="M822" s="17"/>
      <c r="N822" s="14"/>
      <c r="O822" s="15"/>
      <c r="P822" s="14"/>
      <c r="Q822" s="16"/>
      <c r="R822" s="13" t="str">
        <f aca="false">IF(AND(B822&lt;&gt;"",L822&lt;&gt;""),L822-B822,"")</f>
        <v/>
      </c>
      <c r="S822" s="13" t="str">
        <f aca="true">IF(B822="","",IF(O822&lt;&gt;"",O822-B822,TODAY()-B822))</f>
        <v/>
      </c>
      <c r="T822" s="13" t="str">
        <f aca="false">IF(A822="","",SUMIF('Time Log'!$C$5:$C$1004,A822,'Time Log'!$E$5:$E$1004))</f>
        <v/>
      </c>
    </row>
    <row r="823" customFormat="false" ht="15" hidden="false" customHeight="false" outlineLevel="0" collapsed="false">
      <c r="A823" s="14"/>
      <c r="B823" s="15"/>
      <c r="C823" s="14"/>
      <c r="D823" s="14"/>
      <c r="E823" s="14"/>
      <c r="F823" s="14"/>
      <c r="G823" s="14"/>
      <c r="H823" s="14"/>
      <c r="I823" s="16"/>
      <c r="J823" s="17"/>
      <c r="K823" s="14"/>
      <c r="L823" s="15"/>
      <c r="M823" s="17"/>
      <c r="N823" s="14"/>
      <c r="O823" s="15"/>
      <c r="P823" s="14"/>
      <c r="Q823" s="16"/>
      <c r="R823" s="13" t="str">
        <f aca="false">IF(AND(B823&lt;&gt;"",L823&lt;&gt;""),L823-B823,"")</f>
        <v/>
      </c>
      <c r="S823" s="13" t="str">
        <f aca="true">IF(B823="","",IF(O823&lt;&gt;"",O823-B823,TODAY()-B823))</f>
        <v/>
      </c>
      <c r="T823" s="13" t="str">
        <f aca="false">IF(A823="","",SUMIF('Time Log'!$C$5:$C$1004,A823,'Time Log'!$E$5:$E$1004))</f>
        <v/>
      </c>
    </row>
    <row r="824" customFormat="false" ht="15" hidden="false" customHeight="false" outlineLevel="0" collapsed="false">
      <c r="A824" s="14"/>
      <c r="B824" s="15"/>
      <c r="C824" s="14"/>
      <c r="D824" s="14"/>
      <c r="E824" s="14"/>
      <c r="F824" s="14"/>
      <c r="G824" s="14"/>
      <c r="H824" s="14"/>
      <c r="I824" s="16"/>
      <c r="J824" s="17"/>
      <c r="K824" s="14"/>
      <c r="L824" s="15"/>
      <c r="M824" s="17"/>
      <c r="N824" s="14"/>
      <c r="O824" s="15"/>
      <c r="P824" s="14"/>
      <c r="Q824" s="16"/>
      <c r="R824" s="13" t="str">
        <f aca="false">IF(AND(B824&lt;&gt;"",L824&lt;&gt;""),L824-B824,"")</f>
        <v/>
      </c>
      <c r="S824" s="13" t="str">
        <f aca="true">IF(B824="","",IF(O824&lt;&gt;"",O824-B824,TODAY()-B824))</f>
        <v/>
      </c>
      <c r="T824" s="13" t="str">
        <f aca="false">IF(A824="","",SUMIF('Time Log'!$C$5:$C$1004,A824,'Time Log'!$E$5:$E$1004))</f>
        <v/>
      </c>
    </row>
    <row r="825" customFormat="false" ht="15" hidden="false" customHeight="false" outlineLevel="0" collapsed="false">
      <c r="A825" s="14"/>
      <c r="B825" s="15"/>
      <c r="C825" s="14"/>
      <c r="D825" s="14"/>
      <c r="E825" s="14"/>
      <c r="F825" s="14"/>
      <c r="G825" s="14"/>
      <c r="H825" s="14"/>
      <c r="I825" s="16"/>
      <c r="J825" s="17"/>
      <c r="K825" s="14"/>
      <c r="L825" s="15"/>
      <c r="M825" s="17"/>
      <c r="N825" s="14"/>
      <c r="O825" s="15"/>
      <c r="P825" s="14"/>
      <c r="Q825" s="16"/>
      <c r="R825" s="13" t="str">
        <f aca="false">IF(AND(B825&lt;&gt;"",L825&lt;&gt;""),L825-B825,"")</f>
        <v/>
      </c>
      <c r="S825" s="13" t="str">
        <f aca="true">IF(B825="","",IF(O825&lt;&gt;"",O825-B825,TODAY()-B825))</f>
        <v/>
      </c>
      <c r="T825" s="13" t="str">
        <f aca="false">IF(A825="","",SUMIF('Time Log'!$C$5:$C$1004,A825,'Time Log'!$E$5:$E$1004))</f>
        <v/>
      </c>
    </row>
    <row r="826" customFormat="false" ht="15" hidden="false" customHeight="false" outlineLevel="0" collapsed="false">
      <c r="A826" s="14"/>
      <c r="B826" s="15"/>
      <c r="C826" s="14"/>
      <c r="D826" s="14"/>
      <c r="E826" s="14"/>
      <c r="F826" s="14"/>
      <c r="G826" s="14"/>
      <c r="H826" s="14"/>
      <c r="I826" s="16"/>
      <c r="J826" s="17"/>
      <c r="K826" s="14"/>
      <c r="L826" s="15"/>
      <c r="M826" s="17"/>
      <c r="N826" s="14"/>
      <c r="O826" s="15"/>
      <c r="P826" s="14"/>
      <c r="Q826" s="16"/>
      <c r="R826" s="13" t="str">
        <f aca="false">IF(AND(B826&lt;&gt;"",L826&lt;&gt;""),L826-B826,"")</f>
        <v/>
      </c>
      <c r="S826" s="13" t="str">
        <f aca="true">IF(B826="","",IF(O826&lt;&gt;"",O826-B826,TODAY()-B826))</f>
        <v/>
      </c>
      <c r="T826" s="13" t="str">
        <f aca="false">IF(A826="","",SUMIF('Time Log'!$C$5:$C$1004,A826,'Time Log'!$E$5:$E$1004))</f>
        <v/>
      </c>
    </row>
    <row r="827" customFormat="false" ht="15" hidden="false" customHeight="false" outlineLevel="0" collapsed="false">
      <c r="A827" s="14"/>
      <c r="B827" s="15"/>
      <c r="C827" s="14"/>
      <c r="D827" s="14"/>
      <c r="E827" s="14"/>
      <c r="F827" s="14"/>
      <c r="G827" s="14"/>
      <c r="H827" s="14"/>
      <c r="I827" s="16"/>
      <c r="J827" s="17"/>
      <c r="K827" s="14"/>
      <c r="L827" s="15"/>
      <c r="M827" s="17"/>
      <c r="N827" s="14"/>
      <c r="O827" s="15"/>
      <c r="P827" s="14"/>
      <c r="Q827" s="16"/>
      <c r="R827" s="13" t="str">
        <f aca="false">IF(AND(B827&lt;&gt;"",L827&lt;&gt;""),L827-B827,"")</f>
        <v/>
      </c>
      <c r="S827" s="13" t="str">
        <f aca="true">IF(B827="","",IF(O827&lt;&gt;"",O827-B827,TODAY()-B827))</f>
        <v/>
      </c>
      <c r="T827" s="13" t="str">
        <f aca="false">IF(A827="","",SUMIF('Time Log'!$C$5:$C$1004,A827,'Time Log'!$E$5:$E$1004))</f>
        <v/>
      </c>
    </row>
    <row r="828" customFormat="false" ht="15" hidden="false" customHeight="false" outlineLevel="0" collapsed="false">
      <c r="A828" s="14"/>
      <c r="B828" s="15"/>
      <c r="C828" s="14"/>
      <c r="D828" s="14"/>
      <c r="E828" s="14"/>
      <c r="F828" s="14"/>
      <c r="G828" s="14"/>
      <c r="H828" s="14"/>
      <c r="I828" s="16"/>
      <c r="J828" s="17"/>
      <c r="K828" s="14"/>
      <c r="L828" s="15"/>
      <c r="M828" s="17"/>
      <c r="N828" s="14"/>
      <c r="O828" s="15"/>
      <c r="P828" s="14"/>
      <c r="Q828" s="16"/>
      <c r="R828" s="13" t="str">
        <f aca="false">IF(AND(B828&lt;&gt;"",L828&lt;&gt;""),L828-B828,"")</f>
        <v/>
      </c>
      <c r="S828" s="13" t="str">
        <f aca="true">IF(B828="","",IF(O828&lt;&gt;"",O828-B828,TODAY()-B828))</f>
        <v/>
      </c>
      <c r="T828" s="13" t="str">
        <f aca="false">IF(A828="","",SUMIF('Time Log'!$C$5:$C$1004,A828,'Time Log'!$E$5:$E$1004))</f>
        <v/>
      </c>
    </row>
    <row r="829" customFormat="false" ht="15" hidden="false" customHeight="false" outlineLevel="0" collapsed="false">
      <c r="A829" s="14"/>
      <c r="B829" s="15"/>
      <c r="C829" s="14"/>
      <c r="D829" s="14"/>
      <c r="E829" s="14"/>
      <c r="F829" s="14"/>
      <c r="G829" s="14"/>
      <c r="H829" s="14"/>
      <c r="I829" s="16"/>
      <c r="J829" s="17"/>
      <c r="K829" s="14"/>
      <c r="L829" s="15"/>
      <c r="M829" s="17"/>
      <c r="N829" s="14"/>
      <c r="O829" s="15"/>
      <c r="P829" s="14"/>
      <c r="Q829" s="16"/>
      <c r="R829" s="13" t="str">
        <f aca="false">IF(AND(B829&lt;&gt;"",L829&lt;&gt;""),L829-B829,"")</f>
        <v/>
      </c>
      <c r="S829" s="13" t="str">
        <f aca="true">IF(B829="","",IF(O829&lt;&gt;"",O829-B829,TODAY()-B829))</f>
        <v/>
      </c>
      <c r="T829" s="13" t="str">
        <f aca="false">IF(A829="","",SUMIF('Time Log'!$C$5:$C$1004,A829,'Time Log'!$E$5:$E$1004))</f>
        <v/>
      </c>
    </row>
    <row r="830" customFormat="false" ht="15" hidden="false" customHeight="false" outlineLevel="0" collapsed="false">
      <c r="A830" s="14"/>
      <c r="B830" s="15"/>
      <c r="C830" s="14"/>
      <c r="D830" s="14"/>
      <c r="E830" s="14"/>
      <c r="F830" s="14"/>
      <c r="G830" s="14"/>
      <c r="H830" s="14"/>
      <c r="I830" s="16"/>
      <c r="J830" s="17"/>
      <c r="K830" s="14"/>
      <c r="L830" s="15"/>
      <c r="M830" s="17"/>
      <c r="N830" s="14"/>
      <c r="O830" s="15"/>
      <c r="P830" s="14"/>
      <c r="Q830" s="16"/>
      <c r="R830" s="13" t="str">
        <f aca="false">IF(AND(B830&lt;&gt;"",L830&lt;&gt;""),L830-B830,"")</f>
        <v/>
      </c>
      <c r="S830" s="13" t="str">
        <f aca="true">IF(B830="","",IF(O830&lt;&gt;"",O830-B830,TODAY()-B830))</f>
        <v/>
      </c>
      <c r="T830" s="13" t="str">
        <f aca="false">IF(A830="","",SUMIF('Time Log'!$C$5:$C$1004,A830,'Time Log'!$E$5:$E$1004))</f>
        <v/>
      </c>
    </row>
    <row r="831" customFormat="false" ht="15" hidden="false" customHeight="false" outlineLevel="0" collapsed="false">
      <c r="A831" s="14"/>
      <c r="B831" s="15"/>
      <c r="C831" s="14"/>
      <c r="D831" s="14"/>
      <c r="E831" s="14"/>
      <c r="F831" s="14"/>
      <c r="G831" s="14"/>
      <c r="H831" s="14"/>
      <c r="I831" s="16"/>
      <c r="J831" s="17"/>
      <c r="K831" s="14"/>
      <c r="L831" s="15"/>
      <c r="M831" s="17"/>
      <c r="N831" s="14"/>
      <c r="O831" s="15"/>
      <c r="P831" s="14"/>
      <c r="Q831" s="16"/>
      <c r="R831" s="13" t="str">
        <f aca="false">IF(AND(B831&lt;&gt;"",L831&lt;&gt;""),L831-B831,"")</f>
        <v/>
      </c>
      <c r="S831" s="13" t="str">
        <f aca="true">IF(B831="","",IF(O831&lt;&gt;"",O831-B831,TODAY()-B831))</f>
        <v/>
      </c>
      <c r="T831" s="13" t="str">
        <f aca="false">IF(A831="","",SUMIF('Time Log'!$C$5:$C$1004,A831,'Time Log'!$E$5:$E$1004))</f>
        <v/>
      </c>
    </row>
    <row r="832" customFormat="false" ht="15" hidden="false" customHeight="false" outlineLevel="0" collapsed="false">
      <c r="A832" s="14"/>
      <c r="B832" s="15"/>
      <c r="C832" s="14"/>
      <c r="D832" s="14"/>
      <c r="E832" s="14"/>
      <c r="F832" s="14"/>
      <c r="G832" s="14"/>
      <c r="H832" s="14"/>
      <c r="I832" s="16"/>
      <c r="J832" s="17"/>
      <c r="K832" s="14"/>
      <c r="L832" s="15"/>
      <c r="M832" s="17"/>
      <c r="N832" s="14"/>
      <c r="O832" s="15"/>
      <c r="P832" s="14"/>
      <c r="Q832" s="16"/>
      <c r="R832" s="13" t="str">
        <f aca="false">IF(AND(B832&lt;&gt;"",L832&lt;&gt;""),L832-B832,"")</f>
        <v/>
      </c>
      <c r="S832" s="13" t="str">
        <f aca="true">IF(B832="","",IF(O832&lt;&gt;"",O832-B832,TODAY()-B832))</f>
        <v/>
      </c>
      <c r="T832" s="13" t="str">
        <f aca="false">IF(A832="","",SUMIF('Time Log'!$C$5:$C$1004,A832,'Time Log'!$E$5:$E$1004))</f>
        <v/>
      </c>
    </row>
    <row r="833" customFormat="false" ht="15" hidden="false" customHeight="false" outlineLevel="0" collapsed="false">
      <c r="A833" s="14"/>
      <c r="B833" s="15"/>
      <c r="C833" s="14"/>
      <c r="D833" s="14"/>
      <c r="E833" s="14"/>
      <c r="F833" s="14"/>
      <c r="G833" s="14"/>
      <c r="H833" s="14"/>
      <c r="I833" s="16"/>
      <c r="J833" s="17"/>
      <c r="K833" s="14"/>
      <c r="L833" s="15"/>
      <c r="M833" s="17"/>
      <c r="N833" s="14"/>
      <c r="O833" s="15"/>
      <c r="P833" s="14"/>
      <c r="Q833" s="16"/>
      <c r="R833" s="13" t="str">
        <f aca="false">IF(AND(B833&lt;&gt;"",L833&lt;&gt;""),L833-B833,"")</f>
        <v/>
      </c>
      <c r="S833" s="13" t="str">
        <f aca="true">IF(B833="","",IF(O833&lt;&gt;"",O833-B833,TODAY()-B833))</f>
        <v/>
      </c>
      <c r="T833" s="13" t="str">
        <f aca="false">IF(A833="","",SUMIF('Time Log'!$C$5:$C$1004,A833,'Time Log'!$E$5:$E$1004))</f>
        <v/>
      </c>
    </row>
    <row r="834" customFormat="false" ht="15" hidden="false" customHeight="false" outlineLevel="0" collapsed="false">
      <c r="A834" s="14"/>
      <c r="B834" s="15"/>
      <c r="C834" s="14"/>
      <c r="D834" s="14"/>
      <c r="E834" s="14"/>
      <c r="F834" s="14"/>
      <c r="G834" s="14"/>
      <c r="H834" s="14"/>
      <c r="I834" s="16"/>
      <c r="J834" s="17"/>
      <c r="K834" s="14"/>
      <c r="L834" s="15"/>
      <c r="M834" s="17"/>
      <c r="N834" s="14"/>
      <c r="O834" s="15"/>
      <c r="P834" s="14"/>
      <c r="Q834" s="16"/>
      <c r="R834" s="13" t="str">
        <f aca="false">IF(AND(B834&lt;&gt;"",L834&lt;&gt;""),L834-B834,"")</f>
        <v/>
      </c>
      <c r="S834" s="13" t="str">
        <f aca="true">IF(B834="","",IF(O834&lt;&gt;"",O834-B834,TODAY()-B834))</f>
        <v/>
      </c>
      <c r="T834" s="13" t="str">
        <f aca="false">IF(A834="","",SUMIF('Time Log'!$C$5:$C$1004,A834,'Time Log'!$E$5:$E$1004))</f>
        <v/>
      </c>
    </row>
    <row r="835" customFormat="false" ht="15" hidden="false" customHeight="false" outlineLevel="0" collapsed="false">
      <c r="A835" s="14"/>
      <c r="B835" s="15"/>
      <c r="C835" s="14"/>
      <c r="D835" s="14"/>
      <c r="E835" s="14"/>
      <c r="F835" s="14"/>
      <c r="G835" s="14"/>
      <c r="H835" s="14"/>
      <c r="I835" s="16"/>
      <c r="J835" s="17"/>
      <c r="K835" s="14"/>
      <c r="L835" s="15"/>
      <c r="M835" s="17"/>
      <c r="N835" s="14"/>
      <c r="O835" s="15"/>
      <c r="P835" s="14"/>
      <c r="Q835" s="16"/>
      <c r="R835" s="13" t="str">
        <f aca="false">IF(AND(B835&lt;&gt;"",L835&lt;&gt;""),L835-B835,"")</f>
        <v/>
      </c>
      <c r="S835" s="13" t="str">
        <f aca="true">IF(B835="","",IF(O835&lt;&gt;"",O835-B835,TODAY()-B835))</f>
        <v/>
      </c>
      <c r="T835" s="13" t="str">
        <f aca="false">IF(A835="","",SUMIF('Time Log'!$C$5:$C$1004,A835,'Time Log'!$E$5:$E$1004))</f>
        <v/>
      </c>
    </row>
    <row r="836" customFormat="false" ht="15" hidden="false" customHeight="false" outlineLevel="0" collapsed="false">
      <c r="A836" s="14"/>
      <c r="B836" s="15"/>
      <c r="C836" s="14"/>
      <c r="D836" s="14"/>
      <c r="E836" s="14"/>
      <c r="F836" s="14"/>
      <c r="G836" s="14"/>
      <c r="H836" s="14"/>
      <c r="I836" s="16"/>
      <c r="J836" s="17"/>
      <c r="K836" s="14"/>
      <c r="L836" s="15"/>
      <c r="M836" s="17"/>
      <c r="N836" s="14"/>
      <c r="O836" s="15"/>
      <c r="P836" s="14"/>
      <c r="Q836" s="16"/>
      <c r="R836" s="13" t="str">
        <f aca="false">IF(AND(B836&lt;&gt;"",L836&lt;&gt;""),L836-B836,"")</f>
        <v/>
      </c>
      <c r="S836" s="13" t="str">
        <f aca="true">IF(B836="","",IF(O836&lt;&gt;"",O836-B836,TODAY()-B836))</f>
        <v/>
      </c>
      <c r="T836" s="13" t="str">
        <f aca="false">IF(A836="","",SUMIF('Time Log'!$C$5:$C$1004,A836,'Time Log'!$E$5:$E$1004))</f>
        <v/>
      </c>
    </row>
    <row r="837" customFormat="false" ht="15" hidden="false" customHeight="false" outlineLevel="0" collapsed="false">
      <c r="A837" s="14"/>
      <c r="B837" s="15"/>
      <c r="C837" s="14"/>
      <c r="D837" s="14"/>
      <c r="E837" s="14"/>
      <c r="F837" s="14"/>
      <c r="G837" s="14"/>
      <c r="H837" s="14"/>
      <c r="I837" s="16"/>
      <c r="J837" s="17"/>
      <c r="K837" s="14"/>
      <c r="L837" s="15"/>
      <c r="M837" s="17"/>
      <c r="N837" s="14"/>
      <c r="O837" s="15"/>
      <c r="P837" s="14"/>
      <c r="Q837" s="16"/>
      <c r="R837" s="13" t="str">
        <f aca="false">IF(AND(B837&lt;&gt;"",L837&lt;&gt;""),L837-B837,"")</f>
        <v/>
      </c>
      <c r="S837" s="13" t="str">
        <f aca="true">IF(B837="","",IF(O837&lt;&gt;"",O837-B837,TODAY()-B837))</f>
        <v/>
      </c>
      <c r="T837" s="13" t="str">
        <f aca="false">IF(A837="","",SUMIF('Time Log'!$C$5:$C$1004,A837,'Time Log'!$E$5:$E$1004))</f>
        <v/>
      </c>
    </row>
    <row r="838" customFormat="false" ht="15" hidden="false" customHeight="false" outlineLevel="0" collapsed="false">
      <c r="A838" s="14"/>
      <c r="B838" s="15"/>
      <c r="C838" s="14"/>
      <c r="D838" s="14"/>
      <c r="E838" s="14"/>
      <c r="F838" s="14"/>
      <c r="G838" s="14"/>
      <c r="H838" s="14"/>
      <c r="I838" s="16"/>
      <c r="J838" s="17"/>
      <c r="K838" s="14"/>
      <c r="L838" s="15"/>
      <c r="M838" s="17"/>
      <c r="N838" s="14"/>
      <c r="O838" s="15"/>
      <c r="P838" s="14"/>
      <c r="Q838" s="16"/>
      <c r="R838" s="13" t="str">
        <f aca="false">IF(AND(B838&lt;&gt;"",L838&lt;&gt;""),L838-B838,"")</f>
        <v/>
      </c>
      <c r="S838" s="13" t="str">
        <f aca="true">IF(B838="","",IF(O838&lt;&gt;"",O838-B838,TODAY()-B838))</f>
        <v/>
      </c>
      <c r="T838" s="13" t="str">
        <f aca="false">IF(A838="","",SUMIF('Time Log'!$C$5:$C$1004,A838,'Time Log'!$E$5:$E$1004))</f>
        <v/>
      </c>
    </row>
    <row r="839" customFormat="false" ht="15" hidden="false" customHeight="false" outlineLevel="0" collapsed="false">
      <c r="A839" s="14"/>
      <c r="B839" s="15"/>
      <c r="C839" s="14"/>
      <c r="D839" s="14"/>
      <c r="E839" s="14"/>
      <c r="F839" s="14"/>
      <c r="G839" s="14"/>
      <c r="H839" s="14"/>
      <c r="I839" s="16"/>
      <c r="J839" s="17"/>
      <c r="K839" s="14"/>
      <c r="L839" s="15"/>
      <c r="M839" s="17"/>
      <c r="N839" s="14"/>
      <c r="O839" s="15"/>
      <c r="P839" s="14"/>
      <c r="Q839" s="16"/>
      <c r="R839" s="13" t="str">
        <f aca="false">IF(AND(B839&lt;&gt;"",L839&lt;&gt;""),L839-B839,"")</f>
        <v/>
      </c>
      <c r="S839" s="13" t="str">
        <f aca="true">IF(B839="","",IF(O839&lt;&gt;"",O839-B839,TODAY()-B839))</f>
        <v/>
      </c>
      <c r="T839" s="13" t="str">
        <f aca="false">IF(A839="","",SUMIF('Time Log'!$C$5:$C$1004,A839,'Time Log'!$E$5:$E$1004))</f>
        <v/>
      </c>
    </row>
    <row r="840" customFormat="false" ht="15" hidden="false" customHeight="false" outlineLevel="0" collapsed="false">
      <c r="A840" s="14"/>
      <c r="B840" s="15"/>
      <c r="C840" s="14"/>
      <c r="D840" s="14"/>
      <c r="E840" s="14"/>
      <c r="F840" s="14"/>
      <c r="G840" s="14"/>
      <c r="H840" s="14"/>
      <c r="I840" s="16"/>
      <c r="J840" s="17"/>
      <c r="K840" s="14"/>
      <c r="L840" s="15"/>
      <c r="M840" s="17"/>
      <c r="N840" s="14"/>
      <c r="O840" s="15"/>
      <c r="P840" s="14"/>
      <c r="Q840" s="16"/>
      <c r="R840" s="13" t="str">
        <f aca="false">IF(AND(B840&lt;&gt;"",L840&lt;&gt;""),L840-B840,"")</f>
        <v/>
      </c>
      <c r="S840" s="13" t="str">
        <f aca="true">IF(B840="","",IF(O840&lt;&gt;"",O840-B840,TODAY()-B840))</f>
        <v/>
      </c>
      <c r="T840" s="13" t="str">
        <f aca="false">IF(A840="","",SUMIF('Time Log'!$C$5:$C$1004,A840,'Time Log'!$E$5:$E$1004))</f>
        <v/>
      </c>
    </row>
    <row r="841" customFormat="false" ht="15" hidden="false" customHeight="false" outlineLevel="0" collapsed="false">
      <c r="A841" s="14"/>
      <c r="B841" s="15"/>
      <c r="C841" s="14"/>
      <c r="D841" s="14"/>
      <c r="E841" s="14"/>
      <c r="F841" s="14"/>
      <c r="G841" s="14"/>
      <c r="H841" s="14"/>
      <c r="I841" s="16"/>
      <c r="J841" s="17"/>
      <c r="K841" s="14"/>
      <c r="L841" s="15"/>
      <c r="M841" s="17"/>
      <c r="N841" s="14"/>
      <c r="O841" s="15"/>
      <c r="P841" s="14"/>
      <c r="Q841" s="16"/>
      <c r="R841" s="13" t="str">
        <f aca="false">IF(AND(B841&lt;&gt;"",L841&lt;&gt;""),L841-B841,"")</f>
        <v/>
      </c>
      <c r="S841" s="13" t="str">
        <f aca="true">IF(B841="","",IF(O841&lt;&gt;"",O841-B841,TODAY()-B841))</f>
        <v/>
      </c>
      <c r="T841" s="13" t="str">
        <f aca="false">IF(A841="","",SUMIF('Time Log'!$C$5:$C$1004,A841,'Time Log'!$E$5:$E$1004))</f>
        <v/>
      </c>
    </row>
    <row r="842" customFormat="false" ht="15" hidden="false" customHeight="false" outlineLevel="0" collapsed="false">
      <c r="A842" s="14"/>
      <c r="B842" s="15"/>
      <c r="C842" s="14"/>
      <c r="D842" s="14"/>
      <c r="E842" s="14"/>
      <c r="F842" s="14"/>
      <c r="G842" s="14"/>
      <c r="H842" s="14"/>
      <c r="I842" s="16"/>
      <c r="J842" s="17"/>
      <c r="K842" s="14"/>
      <c r="L842" s="15"/>
      <c r="M842" s="17"/>
      <c r="N842" s="14"/>
      <c r="O842" s="15"/>
      <c r="P842" s="14"/>
      <c r="Q842" s="16"/>
      <c r="R842" s="13" t="str">
        <f aca="false">IF(AND(B842&lt;&gt;"",L842&lt;&gt;""),L842-B842,"")</f>
        <v/>
      </c>
      <c r="S842" s="13" t="str">
        <f aca="true">IF(B842="","",IF(O842&lt;&gt;"",O842-B842,TODAY()-B842))</f>
        <v/>
      </c>
      <c r="T842" s="13" t="str">
        <f aca="false">IF(A842="","",SUMIF('Time Log'!$C$5:$C$1004,A842,'Time Log'!$E$5:$E$1004))</f>
        <v/>
      </c>
    </row>
    <row r="843" customFormat="false" ht="15" hidden="false" customHeight="false" outlineLevel="0" collapsed="false">
      <c r="A843" s="14"/>
      <c r="B843" s="15"/>
      <c r="C843" s="14"/>
      <c r="D843" s="14"/>
      <c r="E843" s="14"/>
      <c r="F843" s="14"/>
      <c r="G843" s="14"/>
      <c r="H843" s="14"/>
      <c r="I843" s="16"/>
      <c r="J843" s="17"/>
      <c r="K843" s="14"/>
      <c r="L843" s="15"/>
      <c r="M843" s="17"/>
      <c r="N843" s="14"/>
      <c r="O843" s="15"/>
      <c r="P843" s="14"/>
      <c r="Q843" s="16"/>
      <c r="R843" s="13" t="str">
        <f aca="false">IF(AND(B843&lt;&gt;"",L843&lt;&gt;""),L843-B843,"")</f>
        <v/>
      </c>
      <c r="S843" s="13" t="str">
        <f aca="true">IF(B843="","",IF(O843&lt;&gt;"",O843-B843,TODAY()-B843))</f>
        <v/>
      </c>
      <c r="T843" s="13" t="str">
        <f aca="false">IF(A843="","",SUMIF('Time Log'!$C$5:$C$1004,A843,'Time Log'!$E$5:$E$1004))</f>
        <v/>
      </c>
    </row>
    <row r="844" customFormat="false" ht="15" hidden="false" customHeight="false" outlineLevel="0" collapsed="false">
      <c r="A844" s="14"/>
      <c r="B844" s="15"/>
      <c r="C844" s="14"/>
      <c r="D844" s="14"/>
      <c r="E844" s="14"/>
      <c r="F844" s="14"/>
      <c r="G844" s="14"/>
      <c r="H844" s="14"/>
      <c r="I844" s="16"/>
      <c r="J844" s="17"/>
      <c r="K844" s="14"/>
      <c r="L844" s="15"/>
      <c r="M844" s="17"/>
      <c r="N844" s="14"/>
      <c r="O844" s="15"/>
      <c r="P844" s="14"/>
      <c r="Q844" s="16"/>
      <c r="R844" s="13" t="str">
        <f aca="false">IF(AND(B844&lt;&gt;"",L844&lt;&gt;""),L844-B844,"")</f>
        <v/>
      </c>
      <c r="S844" s="13" t="str">
        <f aca="true">IF(B844="","",IF(O844&lt;&gt;"",O844-B844,TODAY()-B844))</f>
        <v/>
      </c>
      <c r="T844" s="13" t="str">
        <f aca="false">IF(A844="","",SUMIF('Time Log'!$C$5:$C$1004,A844,'Time Log'!$E$5:$E$1004))</f>
        <v/>
      </c>
    </row>
    <row r="845" customFormat="false" ht="15" hidden="false" customHeight="false" outlineLevel="0" collapsed="false">
      <c r="A845" s="14"/>
      <c r="B845" s="15"/>
      <c r="C845" s="14"/>
      <c r="D845" s="14"/>
      <c r="E845" s="14"/>
      <c r="F845" s="14"/>
      <c r="G845" s="14"/>
      <c r="H845" s="14"/>
      <c r="I845" s="16"/>
      <c r="J845" s="17"/>
      <c r="K845" s="14"/>
      <c r="L845" s="15"/>
      <c r="M845" s="17"/>
      <c r="N845" s="14"/>
      <c r="O845" s="15"/>
      <c r="P845" s="14"/>
      <c r="Q845" s="16"/>
      <c r="R845" s="13" t="str">
        <f aca="false">IF(AND(B845&lt;&gt;"",L845&lt;&gt;""),L845-B845,"")</f>
        <v/>
      </c>
      <c r="S845" s="13" t="str">
        <f aca="true">IF(B845="","",IF(O845&lt;&gt;"",O845-B845,TODAY()-B845))</f>
        <v/>
      </c>
      <c r="T845" s="13" t="str">
        <f aca="false">IF(A845="","",SUMIF('Time Log'!$C$5:$C$1004,A845,'Time Log'!$E$5:$E$1004))</f>
        <v/>
      </c>
    </row>
    <row r="846" customFormat="false" ht="15" hidden="false" customHeight="false" outlineLevel="0" collapsed="false">
      <c r="A846" s="14"/>
      <c r="B846" s="15"/>
      <c r="C846" s="14"/>
      <c r="D846" s="14"/>
      <c r="E846" s="14"/>
      <c r="F846" s="14"/>
      <c r="G846" s="14"/>
      <c r="H846" s="14"/>
      <c r="I846" s="16"/>
      <c r="J846" s="17"/>
      <c r="K846" s="14"/>
      <c r="L846" s="15"/>
      <c r="M846" s="17"/>
      <c r="N846" s="14"/>
      <c r="O846" s="15"/>
      <c r="P846" s="14"/>
      <c r="Q846" s="16"/>
      <c r="R846" s="13" t="str">
        <f aca="false">IF(AND(B846&lt;&gt;"",L846&lt;&gt;""),L846-B846,"")</f>
        <v/>
      </c>
      <c r="S846" s="13" t="str">
        <f aca="true">IF(B846="","",IF(O846&lt;&gt;"",O846-B846,TODAY()-B846))</f>
        <v/>
      </c>
      <c r="T846" s="13" t="str">
        <f aca="false">IF(A846="","",SUMIF('Time Log'!$C$5:$C$1004,A846,'Time Log'!$E$5:$E$1004))</f>
        <v/>
      </c>
    </row>
    <row r="847" customFormat="false" ht="15" hidden="false" customHeight="false" outlineLevel="0" collapsed="false">
      <c r="A847" s="14"/>
      <c r="B847" s="15"/>
      <c r="C847" s="14"/>
      <c r="D847" s="14"/>
      <c r="E847" s="14"/>
      <c r="F847" s="14"/>
      <c r="G847" s="14"/>
      <c r="H847" s="14"/>
      <c r="I847" s="16"/>
      <c r="J847" s="17"/>
      <c r="K847" s="14"/>
      <c r="L847" s="15"/>
      <c r="M847" s="17"/>
      <c r="N847" s="14"/>
      <c r="O847" s="15"/>
      <c r="P847" s="14"/>
      <c r="Q847" s="16"/>
      <c r="R847" s="13" t="str">
        <f aca="false">IF(AND(B847&lt;&gt;"",L847&lt;&gt;""),L847-B847,"")</f>
        <v/>
      </c>
      <c r="S847" s="13" t="str">
        <f aca="true">IF(B847="","",IF(O847&lt;&gt;"",O847-B847,TODAY()-B847))</f>
        <v/>
      </c>
      <c r="T847" s="13" t="str">
        <f aca="false">IF(A847="","",SUMIF('Time Log'!$C$5:$C$1004,A847,'Time Log'!$E$5:$E$1004))</f>
        <v/>
      </c>
    </row>
    <row r="848" customFormat="false" ht="15" hidden="false" customHeight="false" outlineLevel="0" collapsed="false">
      <c r="A848" s="14"/>
      <c r="B848" s="15"/>
      <c r="C848" s="14"/>
      <c r="D848" s="14"/>
      <c r="E848" s="14"/>
      <c r="F848" s="14"/>
      <c r="G848" s="14"/>
      <c r="H848" s="14"/>
      <c r="I848" s="16"/>
      <c r="J848" s="17"/>
      <c r="K848" s="14"/>
      <c r="L848" s="15"/>
      <c r="M848" s="17"/>
      <c r="N848" s="14"/>
      <c r="O848" s="15"/>
      <c r="P848" s="14"/>
      <c r="Q848" s="16"/>
      <c r="R848" s="13" t="str">
        <f aca="false">IF(AND(B848&lt;&gt;"",L848&lt;&gt;""),L848-B848,"")</f>
        <v/>
      </c>
      <c r="S848" s="13" t="str">
        <f aca="true">IF(B848="","",IF(O848&lt;&gt;"",O848-B848,TODAY()-B848))</f>
        <v/>
      </c>
      <c r="T848" s="13" t="str">
        <f aca="false">IF(A848="","",SUMIF('Time Log'!$C$5:$C$1004,A848,'Time Log'!$E$5:$E$1004))</f>
        <v/>
      </c>
    </row>
    <row r="849" customFormat="false" ht="15" hidden="false" customHeight="false" outlineLevel="0" collapsed="false">
      <c r="A849" s="14"/>
      <c r="B849" s="15"/>
      <c r="C849" s="14"/>
      <c r="D849" s="14"/>
      <c r="E849" s="14"/>
      <c r="F849" s="14"/>
      <c r="G849" s="14"/>
      <c r="H849" s="14"/>
      <c r="I849" s="16"/>
      <c r="J849" s="17"/>
      <c r="K849" s="14"/>
      <c r="L849" s="15"/>
      <c r="M849" s="17"/>
      <c r="N849" s="14"/>
      <c r="O849" s="15"/>
      <c r="P849" s="14"/>
      <c r="Q849" s="16"/>
      <c r="R849" s="13" t="str">
        <f aca="false">IF(AND(B849&lt;&gt;"",L849&lt;&gt;""),L849-B849,"")</f>
        <v/>
      </c>
      <c r="S849" s="13" t="str">
        <f aca="true">IF(B849="","",IF(O849&lt;&gt;"",O849-B849,TODAY()-B849))</f>
        <v/>
      </c>
      <c r="T849" s="13" t="str">
        <f aca="false">IF(A849="","",SUMIF('Time Log'!$C$5:$C$1004,A849,'Time Log'!$E$5:$E$1004))</f>
        <v/>
      </c>
    </row>
    <row r="850" customFormat="false" ht="15" hidden="false" customHeight="false" outlineLevel="0" collapsed="false">
      <c r="A850" s="14"/>
      <c r="B850" s="15"/>
      <c r="C850" s="14"/>
      <c r="D850" s="14"/>
      <c r="E850" s="14"/>
      <c r="F850" s="14"/>
      <c r="G850" s="14"/>
      <c r="H850" s="14"/>
      <c r="I850" s="16"/>
      <c r="J850" s="17"/>
      <c r="K850" s="14"/>
      <c r="L850" s="15"/>
      <c r="M850" s="17"/>
      <c r="N850" s="14"/>
      <c r="O850" s="15"/>
      <c r="P850" s="14"/>
      <c r="Q850" s="16"/>
      <c r="R850" s="13" t="str">
        <f aca="false">IF(AND(B850&lt;&gt;"",L850&lt;&gt;""),L850-B850,"")</f>
        <v/>
      </c>
      <c r="S850" s="13" t="str">
        <f aca="true">IF(B850="","",IF(O850&lt;&gt;"",O850-B850,TODAY()-B850))</f>
        <v/>
      </c>
      <c r="T850" s="13" t="str">
        <f aca="false">IF(A850="","",SUMIF('Time Log'!$C$5:$C$1004,A850,'Time Log'!$E$5:$E$1004))</f>
        <v/>
      </c>
    </row>
    <row r="851" customFormat="false" ht="15" hidden="false" customHeight="false" outlineLevel="0" collapsed="false">
      <c r="A851" s="14"/>
      <c r="B851" s="15"/>
      <c r="C851" s="14"/>
      <c r="D851" s="14"/>
      <c r="E851" s="14"/>
      <c r="F851" s="14"/>
      <c r="G851" s="14"/>
      <c r="H851" s="14"/>
      <c r="I851" s="16"/>
      <c r="J851" s="17"/>
      <c r="K851" s="14"/>
      <c r="L851" s="15"/>
      <c r="M851" s="17"/>
      <c r="N851" s="14"/>
      <c r="O851" s="15"/>
      <c r="P851" s="14"/>
      <c r="Q851" s="16"/>
      <c r="R851" s="13" t="str">
        <f aca="false">IF(AND(B851&lt;&gt;"",L851&lt;&gt;""),L851-B851,"")</f>
        <v/>
      </c>
      <c r="S851" s="13" t="str">
        <f aca="true">IF(B851="","",IF(O851&lt;&gt;"",O851-B851,TODAY()-B851))</f>
        <v/>
      </c>
      <c r="T851" s="13" t="str">
        <f aca="false">IF(A851="","",SUMIF('Time Log'!$C$5:$C$1004,A851,'Time Log'!$E$5:$E$1004))</f>
        <v/>
      </c>
    </row>
    <row r="852" customFormat="false" ht="15" hidden="false" customHeight="false" outlineLevel="0" collapsed="false">
      <c r="A852" s="14"/>
      <c r="B852" s="15"/>
      <c r="C852" s="14"/>
      <c r="D852" s="14"/>
      <c r="E852" s="14"/>
      <c r="F852" s="14"/>
      <c r="G852" s="14"/>
      <c r="H852" s="14"/>
      <c r="I852" s="16"/>
      <c r="J852" s="17"/>
      <c r="K852" s="14"/>
      <c r="L852" s="15"/>
      <c r="M852" s="17"/>
      <c r="N852" s="14"/>
      <c r="O852" s="15"/>
      <c r="P852" s="14"/>
      <c r="Q852" s="16"/>
      <c r="R852" s="13" t="str">
        <f aca="false">IF(AND(B852&lt;&gt;"",L852&lt;&gt;""),L852-B852,"")</f>
        <v/>
      </c>
      <c r="S852" s="13" t="str">
        <f aca="true">IF(B852="","",IF(O852&lt;&gt;"",O852-B852,TODAY()-B852))</f>
        <v/>
      </c>
      <c r="T852" s="13" t="str">
        <f aca="false">IF(A852="","",SUMIF('Time Log'!$C$5:$C$1004,A852,'Time Log'!$E$5:$E$1004))</f>
        <v/>
      </c>
    </row>
    <row r="853" customFormat="false" ht="15" hidden="false" customHeight="false" outlineLevel="0" collapsed="false">
      <c r="A853" s="14"/>
      <c r="B853" s="15"/>
      <c r="C853" s="14"/>
      <c r="D853" s="14"/>
      <c r="E853" s="14"/>
      <c r="F853" s="14"/>
      <c r="G853" s="14"/>
      <c r="H853" s="14"/>
      <c r="I853" s="16"/>
      <c r="J853" s="17"/>
      <c r="K853" s="14"/>
      <c r="L853" s="15"/>
      <c r="M853" s="17"/>
      <c r="N853" s="14"/>
      <c r="O853" s="15"/>
      <c r="P853" s="14"/>
      <c r="Q853" s="16"/>
      <c r="R853" s="13" t="str">
        <f aca="false">IF(AND(B853&lt;&gt;"",L853&lt;&gt;""),L853-B853,"")</f>
        <v/>
      </c>
      <c r="S853" s="13" t="str">
        <f aca="true">IF(B853="","",IF(O853&lt;&gt;"",O853-B853,TODAY()-B853))</f>
        <v/>
      </c>
      <c r="T853" s="13" t="str">
        <f aca="false">IF(A853="","",SUMIF('Time Log'!$C$5:$C$1004,A853,'Time Log'!$E$5:$E$1004))</f>
        <v/>
      </c>
    </row>
    <row r="854" customFormat="false" ht="15" hidden="false" customHeight="false" outlineLevel="0" collapsed="false">
      <c r="A854" s="14"/>
      <c r="B854" s="15"/>
      <c r="C854" s="14"/>
      <c r="D854" s="14"/>
      <c r="E854" s="14"/>
      <c r="F854" s="14"/>
      <c r="G854" s="14"/>
      <c r="H854" s="14"/>
      <c r="I854" s="16"/>
      <c r="J854" s="17"/>
      <c r="K854" s="14"/>
      <c r="L854" s="15"/>
      <c r="M854" s="17"/>
      <c r="N854" s="14"/>
      <c r="O854" s="15"/>
      <c r="P854" s="14"/>
      <c r="Q854" s="16"/>
      <c r="R854" s="13" t="str">
        <f aca="false">IF(AND(B854&lt;&gt;"",L854&lt;&gt;""),L854-B854,"")</f>
        <v/>
      </c>
      <c r="S854" s="13" t="str">
        <f aca="true">IF(B854="","",IF(O854&lt;&gt;"",O854-B854,TODAY()-B854))</f>
        <v/>
      </c>
      <c r="T854" s="13" t="str">
        <f aca="false">IF(A854="","",SUMIF('Time Log'!$C$5:$C$1004,A854,'Time Log'!$E$5:$E$1004))</f>
        <v/>
      </c>
    </row>
    <row r="855" customFormat="false" ht="15" hidden="false" customHeight="false" outlineLevel="0" collapsed="false">
      <c r="A855" s="14"/>
      <c r="B855" s="15"/>
      <c r="C855" s="14"/>
      <c r="D855" s="14"/>
      <c r="E855" s="14"/>
      <c r="F855" s="14"/>
      <c r="G855" s="14"/>
      <c r="H855" s="14"/>
      <c r="I855" s="16"/>
      <c r="J855" s="17"/>
      <c r="K855" s="14"/>
      <c r="L855" s="15"/>
      <c r="M855" s="17"/>
      <c r="N855" s="14"/>
      <c r="O855" s="15"/>
      <c r="P855" s="14"/>
      <c r="Q855" s="16"/>
      <c r="R855" s="13" t="str">
        <f aca="false">IF(AND(B855&lt;&gt;"",L855&lt;&gt;""),L855-B855,"")</f>
        <v/>
      </c>
      <c r="S855" s="13" t="str">
        <f aca="true">IF(B855="","",IF(O855&lt;&gt;"",O855-B855,TODAY()-B855))</f>
        <v/>
      </c>
      <c r="T855" s="13" t="str">
        <f aca="false">IF(A855="","",SUMIF('Time Log'!$C$5:$C$1004,A855,'Time Log'!$E$5:$E$1004))</f>
        <v/>
      </c>
    </row>
    <row r="856" customFormat="false" ht="15" hidden="false" customHeight="false" outlineLevel="0" collapsed="false">
      <c r="A856" s="14"/>
      <c r="B856" s="15"/>
      <c r="C856" s="14"/>
      <c r="D856" s="14"/>
      <c r="E856" s="14"/>
      <c r="F856" s="14"/>
      <c r="G856" s="14"/>
      <c r="H856" s="14"/>
      <c r="I856" s="16"/>
      <c r="J856" s="17"/>
      <c r="K856" s="14"/>
      <c r="L856" s="15"/>
      <c r="M856" s="17"/>
      <c r="N856" s="14"/>
      <c r="O856" s="15"/>
      <c r="P856" s="14"/>
      <c r="Q856" s="16"/>
      <c r="R856" s="13" t="str">
        <f aca="false">IF(AND(B856&lt;&gt;"",L856&lt;&gt;""),L856-B856,"")</f>
        <v/>
      </c>
      <c r="S856" s="13" t="str">
        <f aca="true">IF(B856="","",IF(O856&lt;&gt;"",O856-B856,TODAY()-B856))</f>
        <v/>
      </c>
      <c r="T856" s="13" t="str">
        <f aca="false">IF(A856="","",SUMIF('Time Log'!$C$5:$C$1004,A856,'Time Log'!$E$5:$E$1004))</f>
        <v/>
      </c>
    </row>
    <row r="857" customFormat="false" ht="15" hidden="false" customHeight="false" outlineLevel="0" collapsed="false">
      <c r="A857" s="14"/>
      <c r="B857" s="15"/>
      <c r="C857" s="14"/>
      <c r="D857" s="14"/>
      <c r="E857" s="14"/>
      <c r="F857" s="14"/>
      <c r="G857" s="14"/>
      <c r="H857" s="14"/>
      <c r="I857" s="16"/>
      <c r="J857" s="17"/>
      <c r="K857" s="14"/>
      <c r="L857" s="15"/>
      <c r="M857" s="17"/>
      <c r="N857" s="14"/>
      <c r="O857" s="15"/>
      <c r="P857" s="14"/>
      <c r="Q857" s="16"/>
      <c r="R857" s="13" t="str">
        <f aca="false">IF(AND(B857&lt;&gt;"",L857&lt;&gt;""),L857-B857,"")</f>
        <v/>
      </c>
      <c r="S857" s="13" t="str">
        <f aca="true">IF(B857="","",IF(O857&lt;&gt;"",O857-B857,TODAY()-B857))</f>
        <v/>
      </c>
      <c r="T857" s="13" t="str">
        <f aca="false">IF(A857="","",SUMIF('Time Log'!$C$5:$C$1004,A857,'Time Log'!$E$5:$E$1004))</f>
        <v/>
      </c>
    </row>
    <row r="858" customFormat="false" ht="15" hidden="false" customHeight="false" outlineLevel="0" collapsed="false">
      <c r="A858" s="14"/>
      <c r="B858" s="15"/>
      <c r="C858" s="14"/>
      <c r="D858" s="14"/>
      <c r="E858" s="14"/>
      <c r="F858" s="14"/>
      <c r="G858" s="14"/>
      <c r="H858" s="14"/>
      <c r="I858" s="16"/>
      <c r="J858" s="17"/>
      <c r="K858" s="14"/>
      <c r="L858" s="15"/>
      <c r="M858" s="17"/>
      <c r="N858" s="14"/>
      <c r="O858" s="15"/>
      <c r="P858" s="14"/>
      <c r="Q858" s="16"/>
      <c r="R858" s="13" t="str">
        <f aca="false">IF(AND(B858&lt;&gt;"",L858&lt;&gt;""),L858-B858,"")</f>
        <v/>
      </c>
      <c r="S858" s="13" t="str">
        <f aca="true">IF(B858="","",IF(O858&lt;&gt;"",O858-B858,TODAY()-B858))</f>
        <v/>
      </c>
      <c r="T858" s="13" t="str">
        <f aca="false">IF(A858="","",SUMIF('Time Log'!$C$5:$C$1004,A858,'Time Log'!$E$5:$E$1004))</f>
        <v/>
      </c>
    </row>
    <row r="859" customFormat="false" ht="15" hidden="false" customHeight="false" outlineLevel="0" collapsed="false">
      <c r="A859" s="14"/>
      <c r="B859" s="15"/>
      <c r="C859" s="14"/>
      <c r="D859" s="14"/>
      <c r="E859" s="14"/>
      <c r="F859" s="14"/>
      <c r="G859" s="14"/>
      <c r="H859" s="14"/>
      <c r="I859" s="16"/>
      <c r="J859" s="17"/>
      <c r="K859" s="14"/>
      <c r="L859" s="15"/>
      <c r="M859" s="17"/>
      <c r="N859" s="14"/>
      <c r="O859" s="15"/>
      <c r="P859" s="14"/>
      <c r="Q859" s="16"/>
      <c r="R859" s="13" t="str">
        <f aca="false">IF(AND(B859&lt;&gt;"",L859&lt;&gt;""),L859-B859,"")</f>
        <v/>
      </c>
      <c r="S859" s="13" t="str">
        <f aca="true">IF(B859="","",IF(O859&lt;&gt;"",O859-B859,TODAY()-B859))</f>
        <v/>
      </c>
      <c r="T859" s="13" t="str">
        <f aca="false">IF(A859="","",SUMIF('Time Log'!$C$5:$C$1004,A859,'Time Log'!$E$5:$E$1004))</f>
        <v/>
      </c>
    </row>
    <row r="860" customFormat="false" ht="15" hidden="false" customHeight="false" outlineLevel="0" collapsed="false">
      <c r="A860" s="14"/>
      <c r="B860" s="15"/>
      <c r="C860" s="14"/>
      <c r="D860" s="14"/>
      <c r="E860" s="14"/>
      <c r="F860" s="14"/>
      <c r="G860" s="14"/>
      <c r="H860" s="14"/>
      <c r="I860" s="16"/>
      <c r="J860" s="17"/>
      <c r="K860" s="14"/>
      <c r="L860" s="15"/>
      <c r="M860" s="17"/>
      <c r="N860" s="14"/>
      <c r="O860" s="15"/>
      <c r="P860" s="14"/>
      <c r="Q860" s="16"/>
      <c r="R860" s="13" t="str">
        <f aca="false">IF(AND(B860&lt;&gt;"",L860&lt;&gt;""),L860-B860,"")</f>
        <v/>
      </c>
      <c r="S860" s="13" t="str">
        <f aca="true">IF(B860="","",IF(O860&lt;&gt;"",O860-B860,TODAY()-B860))</f>
        <v/>
      </c>
      <c r="T860" s="13" t="str">
        <f aca="false">IF(A860="","",SUMIF('Time Log'!$C$5:$C$1004,A860,'Time Log'!$E$5:$E$1004))</f>
        <v/>
      </c>
    </row>
    <row r="861" customFormat="false" ht="15" hidden="false" customHeight="false" outlineLevel="0" collapsed="false">
      <c r="A861" s="14"/>
      <c r="B861" s="15"/>
      <c r="C861" s="14"/>
      <c r="D861" s="14"/>
      <c r="E861" s="14"/>
      <c r="F861" s="14"/>
      <c r="G861" s="14"/>
      <c r="H861" s="14"/>
      <c r="I861" s="16"/>
      <c r="J861" s="17"/>
      <c r="K861" s="14"/>
      <c r="L861" s="15"/>
      <c r="M861" s="17"/>
      <c r="N861" s="14"/>
      <c r="O861" s="15"/>
      <c r="P861" s="14"/>
      <c r="Q861" s="16"/>
      <c r="R861" s="13" t="str">
        <f aca="false">IF(AND(B861&lt;&gt;"",L861&lt;&gt;""),L861-B861,"")</f>
        <v/>
      </c>
      <c r="S861" s="13" t="str">
        <f aca="true">IF(B861="","",IF(O861&lt;&gt;"",O861-B861,TODAY()-B861))</f>
        <v/>
      </c>
      <c r="T861" s="13" t="str">
        <f aca="false">IF(A861="","",SUMIF('Time Log'!$C$5:$C$1004,A861,'Time Log'!$E$5:$E$1004))</f>
        <v/>
      </c>
    </row>
    <row r="862" customFormat="false" ht="15" hidden="false" customHeight="false" outlineLevel="0" collapsed="false">
      <c r="A862" s="14"/>
      <c r="B862" s="15"/>
      <c r="C862" s="14"/>
      <c r="D862" s="14"/>
      <c r="E862" s="14"/>
      <c r="F862" s="14"/>
      <c r="G862" s="14"/>
      <c r="H862" s="14"/>
      <c r="I862" s="16"/>
      <c r="J862" s="17"/>
      <c r="K862" s="14"/>
      <c r="L862" s="15"/>
      <c r="M862" s="17"/>
      <c r="N862" s="14"/>
      <c r="O862" s="15"/>
      <c r="P862" s="14"/>
      <c r="Q862" s="16"/>
      <c r="R862" s="13" t="str">
        <f aca="false">IF(AND(B862&lt;&gt;"",L862&lt;&gt;""),L862-B862,"")</f>
        <v/>
      </c>
      <c r="S862" s="13" t="str">
        <f aca="true">IF(B862="","",IF(O862&lt;&gt;"",O862-B862,TODAY()-B862))</f>
        <v/>
      </c>
      <c r="T862" s="13" t="str">
        <f aca="false">IF(A862="","",SUMIF('Time Log'!$C$5:$C$1004,A862,'Time Log'!$E$5:$E$1004))</f>
        <v/>
      </c>
    </row>
    <row r="863" customFormat="false" ht="15" hidden="false" customHeight="false" outlineLevel="0" collapsed="false">
      <c r="A863" s="14"/>
      <c r="B863" s="15"/>
      <c r="C863" s="14"/>
      <c r="D863" s="14"/>
      <c r="E863" s="14"/>
      <c r="F863" s="14"/>
      <c r="G863" s="14"/>
      <c r="H863" s="14"/>
      <c r="I863" s="16"/>
      <c r="J863" s="17"/>
      <c r="K863" s="14"/>
      <c r="L863" s="15"/>
      <c r="M863" s="17"/>
      <c r="N863" s="14"/>
      <c r="O863" s="15"/>
      <c r="P863" s="14"/>
      <c r="Q863" s="16"/>
      <c r="R863" s="13" t="str">
        <f aca="false">IF(AND(B863&lt;&gt;"",L863&lt;&gt;""),L863-B863,"")</f>
        <v/>
      </c>
      <c r="S863" s="13" t="str">
        <f aca="true">IF(B863="","",IF(O863&lt;&gt;"",O863-B863,TODAY()-B863))</f>
        <v/>
      </c>
      <c r="T863" s="13" t="str">
        <f aca="false">IF(A863="","",SUMIF('Time Log'!$C$5:$C$1004,A863,'Time Log'!$E$5:$E$1004))</f>
        <v/>
      </c>
    </row>
    <row r="864" customFormat="false" ht="15" hidden="false" customHeight="false" outlineLevel="0" collapsed="false">
      <c r="A864" s="14"/>
      <c r="B864" s="15"/>
      <c r="C864" s="14"/>
      <c r="D864" s="14"/>
      <c r="E864" s="14"/>
      <c r="F864" s="14"/>
      <c r="G864" s="14"/>
      <c r="H864" s="14"/>
      <c r="I864" s="16"/>
      <c r="J864" s="17"/>
      <c r="K864" s="14"/>
      <c r="L864" s="15"/>
      <c r="M864" s="17"/>
      <c r="N864" s="14"/>
      <c r="O864" s="15"/>
      <c r="P864" s="14"/>
      <c r="Q864" s="16"/>
      <c r="R864" s="13" t="str">
        <f aca="false">IF(AND(B864&lt;&gt;"",L864&lt;&gt;""),L864-B864,"")</f>
        <v/>
      </c>
      <c r="S864" s="13" t="str">
        <f aca="true">IF(B864="","",IF(O864&lt;&gt;"",O864-B864,TODAY()-B864))</f>
        <v/>
      </c>
      <c r="T864" s="13" t="str">
        <f aca="false">IF(A864="","",SUMIF('Time Log'!$C$5:$C$1004,A864,'Time Log'!$E$5:$E$1004))</f>
        <v/>
      </c>
    </row>
    <row r="865" customFormat="false" ht="15" hidden="false" customHeight="false" outlineLevel="0" collapsed="false">
      <c r="A865" s="14"/>
      <c r="B865" s="15"/>
      <c r="C865" s="14"/>
      <c r="D865" s="14"/>
      <c r="E865" s="14"/>
      <c r="F865" s="14"/>
      <c r="G865" s="14"/>
      <c r="H865" s="14"/>
      <c r="I865" s="16"/>
      <c r="J865" s="17"/>
      <c r="K865" s="14"/>
      <c r="L865" s="15"/>
      <c r="M865" s="17"/>
      <c r="N865" s="14"/>
      <c r="O865" s="15"/>
      <c r="P865" s="14"/>
      <c r="Q865" s="16"/>
      <c r="R865" s="13" t="str">
        <f aca="false">IF(AND(B865&lt;&gt;"",L865&lt;&gt;""),L865-B865,"")</f>
        <v/>
      </c>
      <c r="S865" s="13" t="str">
        <f aca="true">IF(B865="","",IF(O865&lt;&gt;"",O865-B865,TODAY()-B865))</f>
        <v/>
      </c>
      <c r="T865" s="13" t="str">
        <f aca="false">IF(A865="","",SUMIF('Time Log'!$C$5:$C$1004,A865,'Time Log'!$E$5:$E$1004))</f>
        <v/>
      </c>
    </row>
    <row r="866" customFormat="false" ht="15" hidden="false" customHeight="false" outlineLevel="0" collapsed="false">
      <c r="A866" s="14"/>
      <c r="B866" s="15"/>
      <c r="C866" s="14"/>
      <c r="D866" s="14"/>
      <c r="E866" s="14"/>
      <c r="F866" s="14"/>
      <c r="G866" s="14"/>
      <c r="H866" s="14"/>
      <c r="I866" s="16"/>
      <c r="J866" s="17"/>
      <c r="K866" s="14"/>
      <c r="L866" s="15"/>
      <c r="M866" s="17"/>
      <c r="N866" s="14"/>
      <c r="O866" s="15"/>
      <c r="P866" s="14"/>
      <c r="Q866" s="16"/>
      <c r="R866" s="13" t="str">
        <f aca="false">IF(AND(B866&lt;&gt;"",L866&lt;&gt;""),L866-B866,"")</f>
        <v/>
      </c>
      <c r="S866" s="13" t="str">
        <f aca="true">IF(B866="","",IF(O866&lt;&gt;"",O866-B866,TODAY()-B866))</f>
        <v/>
      </c>
      <c r="T866" s="13" t="str">
        <f aca="false">IF(A866="","",SUMIF('Time Log'!$C$5:$C$1004,A866,'Time Log'!$E$5:$E$1004))</f>
        <v/>
      </c>
    </row>
    <row r="867" customFormat="false" ht="15" hidden="false" customHeight="false" outlineLevel="0" collapsed="false">
      <c r="A867" s="14"/>
      <c r="B867" s="15"/>
      <c r="C867" s="14"/>
      <c r="D867" s="14"/>
      <c r="E867" s="14"/>
      <c r="F867" s="14"/>
      <c r="G867" s="14"/>
      <c r="H867" s="14"/>
      <c r="I867" s="16"/>
      <c r="J867" s="17"/>
      <c r="K867" s="14"/>
      <c r="L867" s="15"/>
      <c r="M867" s="17"/>
      <c r="N867" s="14"/>
      <c r="O867" s="15"/>
      <c r="P867" s="14"/>
      <c r="Q867" s="16"/>
      <c r="R867" s="13" t="str">
        <f aca="false">IF(AND(B867&lt;&gt;"",L867&lt;&gt;""),L867-B867,"")</f>
        <v/>
      </c>
      <c r="S867" s="13" t="str">
        <f aca="true">IF(B867="","",IF(O867&lt;&gt;"",O867-B867,TODAY()-B867))</f>
        <v/>
      </c>
      <c r="T867" s="13" t="str">
        <f aca="false">IF(A867="","",SUMIF('Time Log'!$C$5:$C$1004,A867,'Time Log'!$E$5:$E$1004))</f>
        <v/>
      </c>
    </row>
    <row r="868" customFormat="false" ht="15" hidden="false" customHeight="false" outlineLevel="0" collapsed="false">
      <c r="A868" s="14"/>
      <c r="B868" s="15"/>
      <c r="C868" s="14"/>
      <c r="D868" s="14"/>
      <c r="E868" s="14"/>
      <c r="F868" s="14"/>
      <c r="G868" s="14"/>
      <c r="H868" s="14"/>
      <c r="I868" s="16"/>
      <c r="J868" s="17"/>
      <c r="K868" s="14"/>
      <c r="L868" s="15"/>
      <c r="M868" s="17"/>
      <c r="N868" s="14"/>
      <c r="O868" s="15"/>
      <c r="P868" s="14"/>
      <c r="Q868" s="16"/>
      <c r="R868" s="13" t="str">
        <f aca="false">IF(AND(B868&lt;&gt;"",L868&lt;&gt;""),L868-B868,"")</f>
        <v/>
      </c>
      <c r="S868" s="13" t="str">
        <f aca="true">IF(B868="","",IF(O868&lt;&gt;"",O868-B868,TODAY()-B868))</f>
        <v/>
      </c>
      <c r="T868" s="13" t="str">
        <f aca="false">IF(A868="","",SUMIF('Time Log'!$C$5:$C$1004,A868,'Time Log'!$E$5:$E$1004))</f>
        <v/>
      </c>
    </row>
    <row r="869" customFormat="false" ht="15" hidden="false" customHeight="false" outlineLevel="0" collapsed="false">
      <c r="A869" s="14"/>
      <c r="B869" s="15"/>
      <c r="C869" s="14"/>
      <c r="D869" s="14"/>
      <c r="E869" s="14"/>
      <c r="F869" s="14"/>
      <c r="G869" s="14"/>
      <c r="H869" s="14"/>
      <c r="I869" s="16"/>
      <c r="J869" s="17"/>
      <c r="K869" s="14"/>
      <c r="L869" s="15"/>
      <c r="M869" s="17"/>
      <c r="N869" s="14"/>
      <c r="O869" s="15"/>
      <c r="P869" s="14"/>
      <c r="Q869" s="16"/>
      <c r="R869" s="13" t="str">
        <f aca="false">IF(AND(B869&lt;&gt;"",L869&lt;&gt;""),L869-B869,"")</f>
        <v/>
      </c>
      <c r="S869" s="13" t="str">
        <f aca="true">IF(B869="","",IF(O869&lt;&gt;"",O869-B869,TODAY()-B869))</f>
        <v/>
      </c>
      <c r="T869" s="13" t="str">
        <f aca="false">IF(A869="","",SUMIF('Time Log'!$C$5:$C$1004,A869,'Time Log'!$E$5:$E$1004))</f>
        <v/>
      </c>
    </row>
    <row r="870" customFormat="false" ht="15" hidden="false" customHeight="false" outlineLevel="0" collapsed="false">
      <c r="A870" s="14"/>
      <c r="B870" s="15"/>
      <c r="C870" s="14"/>
      <c r="D870" s="14"/>
      <c r="E870" s="14"/>
      <c r="F870" s="14"/>
      <c r="G870" s="14"/>
      <c r="H870" s="14"/>
      <c r="I870" s="16"/>
      <c r="J870" s="17"/>
      <c r="K870" s="14"/>
      <c r="L870" s="15"/>
      <c r="M870" s="17"/>
      <c r="N870" s="14"/>
      <c r="O870" s="15"/>
      <c r="P870" s="14"/>
      <c r="Q870" s="16"/>
      <c r="R870" s="13" t="str">
        <f aca="false">IF(AND(B870&lt;&gt;"",L870&lt;&gt;""),L870-B870,"")</f>
        <v/>
      </c>
      <c r="S870" s="13" t="str">
        <f aca="true">IF(B870="","",IF(O870&lt;&gt;"",O870-B870,TODAY()-B870))</f>
        <v/>
      </c>
      <c r="T870" s="13" t="str">
        <f aca="false">IF(A870="","",SUMIF('Time Log'!$C$5:$C$1004,A870,'Time Log'!$E$5:$E$1004))</f>
        <v/>
      </c>
    </row>
    <row r="871" customFormat="false" ht="15" hidden="false" customHeight="false" outlineLevel="0" collapsed="false">
      <c r="A871" s="14"/>
      <c r="B871" s="15"/>
      <c r="C871" s="14"/>
      <c r="D871" s="14"/>
      <c r="E871" s="14"/>
      <c r="F871" s="14"/>
      <c r="G871" s="14"/>
      <c r="H871" s="14"/>
      <c r="I871" s="16"/>
      <c r="J871" s="17"/>
      <c r="K871" s="14"/>
      <c r="L871" s="15"/>
      <c r="M871" s="17"/>
      <c r="N871" s="14"/>
      <c r="O871" s="15"/>
      <c r="P871" s="14"/>
      <c r="Q871" s="16"/>
      <c r="R871" s="13" t="str">
        <f aca="false">IF(AND(B871&lt;&gt;"",L871&lt;&gt;""),L871-B871,"")</f>
        <v/>
      </c>
      <c r="S871" s="13" t="str">
        <f aca="true">IF(B871="","",IF(O871&lt;&gt;"",O871-B871,TODAY()-B871))</f>
        <v/>
      </c>
      <c r="T871" s="13" t="str">
        <f aca="false">IF(A871="","",SUMIF('Time Log'!$C$5:$C$1004,A871,'Time Log'!$E$5:$E$1004))</f>
        <v/>
      </c>
    </row>
    <row r="872" customFormat="false" ht="15" hidden="false" customHeight="false" outlineLevel="0" collapsed="false">
      <c r="A872" s="14"/>
      <c r="B872" s="15"/>
      <c r="C872" s="14"/>
      <c r="D872" s="14"/>
      <c r="E872" s="14"/>
      <c r="F872" s="14"/>
      <c r="G872" s="14"/>
      <c r="H872" s="14"/>
      <c r="I872" s="16"/>
      <c r="J872" s="17"/>
      <c r="K872" s="14"/>
      <c r="L872" s="15"/>
      <c r="M872" s="17"/>
      <c r="N872" s="14"/>
      <c r="O872" s="15"/>
      <c r="P872" s="14"/>
      <c r="Q872" s="16"/>
      <c r="R872" s="13" t="str">
        <f aca="false">IF(AND(B872&lt;&gt;"",L872&lt;&gt;""),L872-B872,"")</f>
        <v/>
      </c>
      <c r="S872" s="13" t="str">
        <f aca="true">IF(B872="","",IF(O872&lt;&gt;"",O872-B872,TODAY()-B872))</f>
        <v/>
      </c>
      <c r="T872" s="13" t="str">
        <f aca="false">IF(A872="","",SUMIF('Time Log'!$C$5:$C$1004,A872,'Time Log'!$E$5:$E$1004))</f>
        <v/>
      </c>
    </row>
    <row r="873" customFormat="false" ht="15" hidden="false" customHeight="false" outlineLevel="0" collapsed="false">
      <c r="A873" s="14"/>
      <c r="B873" s="15"/>
      <c r="C873" s="14"/>
      <c r="D873" s="14"/>
      <c r="E873" s="14"/>
      <c r="F873" s="14"/>
      <c r="G873" s="14"/>
      <c r="H873" s="14"/>
      <c r="I873" s="16"/>
      <c r="J873" s="17"/>
      <c r="K873" s="14"/>
      <c r="L873" s="15"/>
      <c r="M873" s="17"/>
      <c r="N873" s="14"/>
      <c r="O873" s="15"/>
      <c r="P873" s="14"/>
      <c r="Q873" s="16"/>
      <c r="R873" s="13" t="str">
        <f aca="false">IF(AND(B873&lt;&gt;"",L873&lt;&gt;""),L873-B873,"")</f>
        <v/>
      </c>
      <c r="S873" s="13" t="str">
        <f aca="true">IF(B873="","",IF(O873&lt;&gt;"",O873-B873,TODAY()-B873))</f>
        <v/>
      </c>
      <c r="T873" s="13" t="str">
        <f aca="false">IF(A873="","",SUMIF('Time Log'!$C$5:$C$1004,A873,'Time Log'!$E$5:$E$1004))</f>
        <v/>
      </c>
    </row>
    <row r="874" customFormat="false" ht="15" hidden="false" customHeight="false" outlineLevel="0" collapsed="false">
      <c r="A874" s="14"/>
      <c r="B874" s="15"/>
      <c r="C874" s="14"/>
      <c r="D874" s="14"/>
      <c r="E874" s="14"/>
      <c r="F874" s="14"/>
      <c r="G874" s="14"/>
      <c r="H874" s="14"/>
      <c r="I874" s="16"/>
      <c r="J874" s="17"/>
      <c r="K874" s="14"/>
      <c r="L874" s="15"/>
      <c r="M874" s="17"/>
      <c r="N874" s="14"/>
      <c r="O874" s="15"/>
      <c r="P874" s="14"/>
      <c r="Q874" s="16"/>
      <c r="R874" s="13" t="str">
        <f aca="false">IF(AND(B874&lt;&gt;"",L874&lt;&gt;""),L874-B874,"")</f>
        <v/>
      </c>
      <c r="S874" s="13" t="str">
        <f aca="true">IF(B874="","",IF(O874&lt;&gt;"",O874-B874,TODAY()-B874))</f>
        <v/>
      </c>
      <c r="T874" s="13" t="str">
        <f aca="false">IF(A874="","",SUMIF('Time Log'!$C$5:$C$1004,A874,'Time Log'!$E$5:$E$1004))</f>
        <v/>
      </c>
    </row>
    <row r="875" customFormat="false" ht="15" hidden="false" customHeight="false" outlineLevel="0" collapsed="false">
      <c r="A875" s="14"/>
      <c r="B875" s="15"/>
      <c r="C875" s="14"/>
      <c r="D875" s="14"/>
      <c r="E875" s="14"/>
      <c r="F875" s="14"/>
      <c r="G875" s="14"/>
      <c r="H875" s="14"/>
      <c r="I875" s="16"/>
      <c r="J875" s="17"/>
      <c r="K875" s="14"/>
      <c r="L875" s="15"/>
      <c r="M875" s="17"/>
      <c r="N875" s="14"/>
      <c r="O875" s="15"/>
      <c r="P875" s="14"/>
      <c r="Q875" s="16"/>
      <c r="R875" s="13" t="str">
        <f aca="false">IF(AND(B875&lt;&gt;"",L875&lt;&gt;""),L875-B875,"")</f>
        <v/>
      </c>
      <c r="S875" s="13" t="str">
        <f aca="true">IF(B875="","",IF(O875&lt;&gt;"",O875-B875,TODAY()-B875))</f>
        <v/>
      </c>
      <c r="T875" s="13" t="str">
        <f aca="false">IF(A875="","",SUMIF('Time Log'!$C$5:$C$1004,A875,'Time Log'!$E$5:$E$1004))</f>
        <v/>
      </c>
    </row>
    <row r="876" customFormat="false" ht="15" hidden="false" customHeight="false" outlineLevel="0" collapsed="false">
      <c r="A876" s="14"/>
      <c r="B876" s="15"/>
      <c r="C876" s="14"/>
      <c r="D876" s="14"/>
      <c r="E876" s="14"/>
      <c r="F876" s="14"/>
      <c r="G876" s="14"/>
      <c r="H876" s="14"/>
      <c r="I876" s="16"/>
      <c r="J876" s="17"/>
      <c r="K876" s="14"/>
      <c r="L876" s="15"/>
      <c r="M876" s="17"/>
      <c r="N876" s="14"/>
      <c r="O876" s="15"/>
      <c r="P876" s="14"/>
      <c r="Q876" s="16"/>
      <c r="R876" s="13" t="str">
        <f aca="false">IF(AND(B876&lt;&gt;"",L876&lt;&gt;""),L876-B876,"")</f>
        <v/>
      </c>
      <c r="S876" s="13" t="str">
        <f aca="true">IF(B876="","",IF(O876&lt;&gt;"",O876-B876,TODAY()-B876))</f>
        <v/>
      </c>
      <c r="T876" s="13" t="str">
        <f aca="false">IF(A876="","",SUMIF('Time Log'!$C$5:$C$1004,A876,'Time Log'!$E$5:$E$1004))</f>
        <v/>
      </c>
    </row>
    <row r="877" customFormat="false" ht="15" hidden="false" customHeight="false" outlineLevel="0" collapsed="false">
      <c r="A877" s="14"/>
      <c r="B877" s="15"/>
      <c r="C877" s="14"/>
      <c r="D877" s="14"/>
      <c r="E877" s="14"/>
      <c r="F877" s="14"/>
      <c r="G877" s="14"/>
      <c r="H877" s="14"/>
      <c r="I877" s="16"/>
      <c r="J877" s="17"/>
      <c r="K877" s="14"/>
      <c r="L877" s="15"/>
      <c r="M877" s="17"/>
      <c r="N877" s="14"/>
      <c r="O877" s="15"/>
      <c r="P877" s="14"/>
      <c r="Q877" s="16"/>
      <c r="R877" s="13" t="str">
        <f aca="false">IF(AND(B877&lt;&gt;"",L877&lt;&gt;""),L877-B877,"")</f>
        <v/>
      </c>
      <c r="S877" s="13" t="str">
        <f aca="true">IF(B877="","",IF(O877&lt;&gt;"",O877-B877,TODAY()-B877))</f>
        <v/>
      </c>
      <c r="T877" s="13" t="str">
        <f aca="false">IF(A877="","",SUMIF('Time Log'!$C$5:$C$1004,A877,'Time Log'!$E$5:$E$1004))</f>
        <v/>
      </c>
    </row>
    <row r="878" customFormat="false" ht="15" hidden="false" customHeight="false" outlineLevel="0" collapsed="false">
      <c r="A878" s="14"/>
      <c r="B878" s="15"/>
      <c r="C878" s="14"/>
      <c r="D878" s="14"/>
      <c r="E878" s="14"/>
      <c r="F878" s="14"/>
      <c r="G878" s="14"/>
      <c r="H878" s="14"/>
      <c r="I878" s="16"/>
      <c r="J878" s="17"/>
      <c r="K878" s="14"/>
      <c r="L878" s="15"/>
      <c r="M878" s="17"/>
      <c r="N878" s="14"/>
      <c r="O878" s="15"/>
      <c r="P878" s="14"/>
      <c r="Q878" s="16"/>
      <c r="R878" s="13" t="str">
        <f aca="false">IF(AND(B878&lt;&gt;"",L878&lt;&gt;""),L878-B878,"")</f>
        <v/>
      </c>
      <c r="S878" s="13" t="str">
        <f aca="true">IF(B878="","",IF(O878&lt;&gt;"",O878-B878,TODAY()-B878))</f>
        <v/>
      </c>
      <c r="T878" s="13" t="str">
        <f aca="false">IF(A878="","",SUMIF('Time Log'!$C$5:$C$1004,A878,'Time Log'!$E$5:$E$1004))</f>
        <v/>
      </c>
    </row>
    <row r="879" customFormat="false" ht="15" hidden="false" customHeight="false" outlineLevel="0" collapsed="false">
      <c r="A879" s="14"/>
      <c r="B879" s="15"/>
      <c r="C879" s="14"/>
      <c r="D879" s="14"/>
      <c r="E879" s="14"/>
      <c r="F879" s="14"/>
      <c r="G879" s="14"/>
      <c r="H879" s="14"/>
      <c r="I879" s="16"/>
      <c r="J879" s="17"/>
      <c r="K879" s="14"/>
      <c r="L879" s="15"/>
      <c r="M879" s="17"/>
      <c r="N879" s="14"/>
      <c r="O879" s="15"/>
      <c r="P879" s="14"/>
      <c r="Q879" s="16"/>
      <c r="R879" s="13" t="str">
        <f aca="false">IF(AND(B879&lt;&gt;"",L879&lt;&gt;""),L879-B879,"")</f>
        <v/>
      </c>
      <c r="S879" s="13" t="str">
        <f aca="true">IF(B879="","",IF(O879&lt;&gt;"",O879-B879,TODAY()-B879))</f>
        <v/>
      </c>
      <c r="T879" s="13" t="str">
        <f aca="false">IF(A879="","",SUMIF('Time Log'!$C$5:$C$1004,A879,'Time Log'!$E$5:$E$1004))</f>
        <v/>
      </c>
    </row>
    <row r="880" customFormat="false" ht="15" hidden="false" customHeight="false" outlineLevel="0" collapsed="false">
      <c r="A880" s="14"/>
      <c r="B880" s="15"/>
      <c r="C880" s="14"/>
      <c r="D880" s="14"/>
      <c r="E880" s="14"/>
      <c r="F880" s="14"/>
      <c r="G880" s="14"/>
      <c r="H880" s="14"/>
      <c r="I880" s="16"/>
      <c r="J880" s="17"/>
      <c r="K880" s="14"/>
      <c r="L880" s="15"/>
      <c r="M880" s="17"/>
      <c r="N880" s="14"/>
      <c r="O880" s="15"/>
      <c r="P880" s="14"/>
      <c r="Q880" s="16"/>
      <c r="R880" s="13" t="str">
        <f aca="false">IF(AND(B880&lt;&gt;"",L880&lt;&gt;""),L880-B880,"")</f>
        <v/>
      </c>
      <c r="S880" s="13" t="str">
        <f aca="true">IF(B880="","",IF(O880&lt;&gt;"",O880-B880,TODAY()-B880))</f>
        <v/>
      </c>
      <c r="T880" s="13" t="str">
        <f aca="false">IF(A880="","",SUMIF('Time Log'!$C$5:$C$1004,A880,'Time Log'!$E$5:$E$1004))</f>
        <v/>
      </c>
    </row>
    <row r="881" customFormat="false" ht="15" hidden="false" customHeight="false" outlineLevel="0" collapsed="false">
      <c r="A881" s="14"/>
      <c r="B881" s="15"/>
      <c r="C881" s="14"/>
      <c r="D881" s="14"/>
      <c r="E881" s="14"/>
      <c r="F881" s="14"/>
      <c r="G881" s="14"/>
      <c r="H881" s="14"/>
      <c r="I881" s="16"/>
      <c r="J881" s="17"/>
      <c r="K881" s="14"/>
      <c r="L881" s="15"/>
      <c r="M881" s="17"/>
      <c r="N881" s="14"/>
      <c r="O881" s="15"/>
      <c r="P881" s="14"/>
      <c r="Q881" s="16"/>
      <c r="R881" s="13" t="str">
        <f aca="false">IF(AND(B881&lt;&gt;"",L881&lt;&gt;""),L881-B881,"")</f>
        <v/>
      </c>
      <c r="S881" s="13" t="str">
        <f aca="true">IF(B881="","",IF(O881&lt;&gt;"",O881-B881,TODAY()-B881))</f>
        <v/>
      </c>
      <c r="T881" s="13" t="str">
        <f aca="false">IF(A881="","",SUMIF('Time Log'!$C$5:$C$1004,A881,'Time Log'!$E$5:$E$1004))</f>
        <v/>
      </c>
    </row>
    <row r="882" customFormat="false" ht="15" hidden="false" customHeight="false" outlineLevel="0" collapsed="false">
      <c r="A882" s="14"/>
      <c r="B882" s="15"/>
      <c r="C882" s="14"/>
      <c r="D882" s="14"/>
      <c r="E882" s="14"/>
      <c r="F882" s="14"/>
      <c r="G882" s="14"/>
      <c r="H882" s="14"/>
      <c r="I882" s="16"/>
      <c r="J882" s="17"/>
      <c r="K882" s="14"/>
      <c r="L882" s="15"/>
      <c r="M882" s="17"/>
      <c r="N882" s="14"/>
      <c r="O882" s="15"/>
      <c r="P882" s="14"/>
      <c r="Q882" s="16"/>
      <c r="R882" s="13" t="str">
        <f aca="false">IF(AND(B882&lt;&gt;"",L882&lt;&gt;""),L882-B882,"")</f>
        <v/>
      </c>
      <c r="S882" s="13" t="str">
        <f aca="true">IF(B882="","",IF(O882&lt;&gt;"",O882-B882,TODAY()-B882))</f>
        <v/>
      </c>
      <c r="T882" s="13" t="str">
        <f aca="false">IF(A882="","",SUMIF('Time Log'!$C$5:$C$1004,A882,'Time Log'!$E$5:$E$1004))</f>
        <v/>
      </c>
    </row>
    <row r="883" customFormat="false" ht="15" hidden="false" customHeight="false" outlineLevel="0" collapsed="false">
      <c r="A883" s="14"/>
      <c r="B883" s="15"/>
      <c r="C883" s="14"/>
      <c r="D883" s="14"/>
      <c r="E883" s="14"/>
      <c r="F883" s="14"/>
      <c r="G883" s="14"/>
      <c r="H883" s="14"/>
      <c r="I883" s="16"/>
      <c r="J883" s="17"/>
      <c r="K883" s="14"/>
      <c r="L883" s="15"/>
      <c r="M883" s="17"/>
      <c r="N883" s="14"/>
      <c r="O883" s="15"/>
      <c r="P883" s="14"/>
      <c r="Q883" s="16"/>
      <c r="R883" s="13" t="str">
        <f aca="false">IF(AND(B883&lt;&gt;"",L883&lt;&gt;""),L883-B883,"")</f>
        <v/>
      </c>
      <c r="S883" s="13" t="str">
        <f aca="true">IF(B883="","",IF(O883&lt;&gt;"",O883-B883,TODAY()-B883))</f>
        <v/>
      </c>
      <c r="T883" s="13" t="str">
        <f aca="false">IF(A883="","",SUMIF('Time Log'!$C$5:$C$1004,A883,'Time Log'!$E$5:$E$1004))</f>
        <v/>
      </c>
    </row>
    <row r="884" customFormat="false" ht="15" hidden="false" customHeight="false" outlineLevel="0" collapsed="false">
      <c r="A884" s="14"/>
      <c r="B884" s="15"/>
      <c r="C884" s="14"/>
      <c r="D884" s="14"/>
      <c r="E884" s="14"/>
      <c r="F884" s="14"/>
      <c r="G884" s="14"/>
      <c r="H884" s="14"/>
      <c r="I884" s="16"/>
      <c r="J884" s="17"/>
      <c r="K884" s="14"/>
      <c r="L884" s="15"/>
      <c r="M884" s="17"/>
      <c r="N884" s="14"/>
      <c r="O884" s="15"/>
      <c r="P884" s="14"/>
      <c r="Q884" s="16"/>
      <c r="R884" s="13" t="str">
        <f aca="false">IF(AND(B884&lt;&gt;"",L884&lt;&gt;""),L884-B884,"")</f>
        <v/>
      </c>
      <c r="S884" s="13" t="str">
        <f aca="true">IF(B884="","",IF(O884&lt;&gt;"",O884-B884,TODAY()-B884))</f>
        <v/>
      </c>
      <c r="T884" s="13" t="str">
        <f aca="false">IF(A884="","",SUMIF('Time Log'!$C$5:$C$1004,A884,'Time Log'!$E$5:$E$1004))</f>
        <v/>
      </c>
    </row>
    <row r="885" customFormat="false" ht="15" hidden="false" customHeight="false" outlineLevel="0" collapsed="false">
      <c r="A885" s="14"/>
      <c r="B885" s="15"/>
      <c r="C885" s="14"/>
      <c r="D885" s="14"/>
      <c r="E885" s="14"/>
      <c r="F885" s="14"/>
      <c r="G885" s="14"/>
      <c r="H885" s="14"/>
      <c r="I885" s="16"/>
      <c r="J885" s="17"/>
      <c r="K885" s="14"/>
      <c r="L885" s="15"/>
      <c r="M885" s="17"/>
      <c r="N885" s="14"/>
      <c r="O885" s="15"/>
      <c r="P885" s="14"/>
      <c r="Q885" s="16"/>
      <c r="R885" s="13" t="str">
        <f aca="false">IF(AND(B885&lt;&gt;"",L885&lt;&gt;""),L885-B885,"")</f>
        <v/>
      </c>
      <c r="S885" s="13" t="str">
        <f aca="true">IF(B885="","",IF(O885&lt;&gt;"",O885-B885,TODAY()-B885))</f>
        <v/>
      </c>
      <c r="T885" s="13" t="str">
        <f aca="false">IF(A885="","",SUMIF('Time Log'!$C$5:$C$1004,A885,'Time Log'!$E$5:$E$1004))</f>
        <v/>
      </c>
    </row>
    <row r="886" customFormat="false" ht="15" hidden="false" customHeight="false" outlineLevel="0" collapsed="false">
      <c r="A886" s="14"/>
      <c r="B886" s="15"/>
      <c r="C886" s="14"/>
      <c r="D886" s="14"/>
      <c r="E886" s="14"/>
      <c r="F886" s="14"/>
      <c r="G886" s="14"/>
      <c r="H886" s="14"/>
      <c r="I886" s="16"/>
      <c r="J886" s="17"/>
      <c r="K886" s="14"/>
      <c r="L886" s="15"/>
      <c r="M886" s="17"/>
      <c r="N886" s="14"/>
      <c r="O886" s="15"/>
      <c r="P886" s="14"/>
      <c r="Q886" s="16"/>
      <c r="R886" s="13" t="str">
        <f aca="false">IF(AND(B886&lt;&gt;"",L886&lt;&gt;""),L886-B886,"")</f>
        <v/>
      </c>
      <c r="S886" s="13" t="str">
        <f aca="true">IF(B886="","",IF(O886&lt;&gt;"",O886-B886,TODAY()-B886))</f>
        <v/>
      </c>
      <c r="T886" s="13" t="str">
        <f aca="false">IF(A886="","",SUMIF('Time Log'!$C$5:$C$1004,A886,'Time Log'!$E$5:$E$1004))</f>
        <v/>
      </c>
    </row>
    <row r="887" customFormat="false" ht="15" hidden="false" customHeight="false" outlineLevel="0" collapsed="false">
      <c r="A887" s="14"/>
      <c r="B887" s="15"/>
      <c r="C887" s="14"/>
      <c r="D887" s="14"/>
      <c r="E887" s="14"/>
      <c r="F887" s="14"/>
      <c r="G887" s="14"/>
      <c r="H887" s="14"/>
      <c r="I887" s="16"/>
      <c r="J887" s="17"/>
      <c r="K887" s="14"/>
      <c r="L887" s="15"/>
      <c r="M887" s="17"/>
      <c r="N887" s="14"/>
      <c r="O887" s="15"/>
      <c r="P887" s="14"/>
      <c r="Q887" s="16"/>
      <c r="R887" s="13" t="str">
        <f aca="false">IF(AND(B887&lt;&gt;"",L887&lt;&gt;""),L887-B887,"")</f>
        <v/>
      </c>
      <c r="S887" s="13" t="str">
        <f aca="true">IF(B887="","",IF(O887&lt;&gt;"",O887-B887,TODAY()-B887))</f>
        <v/>
      </c>
      <c r="T887" s="13" t="str">
        <f aca="false">IF(A887="","",SUMIF('Time Log'!$C$5:$C$1004,A887,'Time Log'!$E$5:$E$1004))</f>
        <v/>
      </c>
    </row>
    <row r="888" customFormat="false" ht="15" hidden="false" customHeight="false" outlineLevel="0" collapsed="false">
      <c r="A888" s="14"/>
      <c r="B888" s="15"/>
      <c r="C888" s="14"/>
      <c r="D888" s="14"/>
      <c r="E888" s="14"/>
      <c r="F888" s="14"/>
      <c r="G888" s="14"/>
      <c r="H888" s="14"/>
      <c r="I888" s="16"/>
      <c r="J888" s="17"/>
      <c r="K888" s="14"/>
      <c r="L888" s="15"/>
      <c r="M888" s="17"/>
      <c r="N888" s="14"/>
      <c r="O888" s="15"/>
      <c r="P888" s="14"/>
      <c r="Q888" s="16"/>
      <c r="R888" s="13" t="str">
        <f aca="false">IF(AND(B888&lt;&gt;"",L888&lt;&gt;""),L888-B888,"")</f>
        <v/>
      </c>
      <c r="S888" s="13" t="str">
        <f aca="true">IF(B888="","",IF(O888&lt;&gt;"",O888-B888,TODAY()-B888))</f>
        <v/>
      </c>
      <c r="T888" s="13" t="str">
        <f aca="false">IF(A888="","",SUMIF('Time Log'!$C$5:$C$1004,A888,'Time Log'!$E$5:$E$1004))</f>
        <v/>
      </c>
    </row>
    <row r="889" customFormat="false" ht="15" hidden="false" customHeight="false" outlineLevel="0" collapsed="false">
      <c r="A889" s="14"/>
      <c r="B889" s="15"/>
      <c r="C889" s="14"/>
      <c r="D889" s="14"/>
      <c r="E889" s="14"/>
      <c r="F889" s="14"/>
      <c r="G889" s="14"/>
      <c r="H889" s="14"/>
      <c r="I889" s="16"/>
      <c r="J889" s="17"/>
      <c r="K889" s="14"/>
      <c r="L889" s="15"/>
      <c r="M889" s="17"/>
      <c r="N889" s="14"/>
      <c r="O889" s="15"/>
      <c r="P889" s="14"/>
      <c r="Q889" s="16"/>
      <c r="R889" s="13" t="str">
        <f aca="false">IF(AND(B889&lt;&gt;"",L889&lt;&gt;""),L889-B889,"")</f>
        <v/>
      </c>
      <c r="S889" s="13" t="str">
        <f aca="true">IF(B889="","",IF(O889&lt;&gt;"",O889-B889,TODAY()-B889))</f>
        <v/>
      </c>
      <c r="T889" s="13" t="str">
        <f aca="false">IF(A889="","",SUMIF('Time Log'!$C$5:$C$1004,A889,'Time Log'!$E$5:$E$1004))</f>
        <v/>
      </c>
    </row>
    <row r="890" customFormat="false" ht="15" hidden="false" customHeight="false" outlineLevel="0" collapsed="false">
      <c r="A890" s="14"/>
      <c r="B890" s="15"/>
      <c r="C890" s="14"/>
      <c r="D890" s="14"/>
      <c r="E890" s="14"/>
      <c r="F890" s="14"/>
      <c r="G890" s="14"/>
      <c r="H890" s="14"/>
      <c r="I890" s="16"/>
      <c r="J890" s="17"/>
      <c r="K890" s="14"/>
      <c r="L890" s="15"/>
      <c r="M890" s="17"/>
      <c r="N890" s="14"/>
      <c r="O890" s="15"/>
      <c r="P890" s="14"/>
      <c r="Q890" s="16"/>
      <c r="R890" s="13" t="str">
        <f aca="false">IF(AND(B890&lt;&gt;"",L890&lt;&gt;""),L890-B890,"")</f>
        <v/>
      </c>
      <c r="S890" s="13" t="str">
        <f aca="true">IF(B890="","",IF(O890&lt;&gt;"",O890-B890,TODAY()-B890))</f>
        <v/>
      </c>
      <c r="T890" s="13" t="str">
        <f aca="false">IF(A890="","",SUMIF('Time Log'!$C$5:$C$1004,A890,'Time Log'!$E$5:$E$1004))</f>
        <v/>
      </c>
    </row>
    <row r="891" customFormat="false" ht="15" hidden="false" customHeight="false" outlineLevel="0" collapsed="false">
      <c r="A891" s="14"/>
      <c r="B891" s="15"/>
      <c r="C891" s="14"/>
      <c r="D891" s="14"/>
      <c r="E891" s="14"/>
      <c r="F891" s="14"/>
      <c r="G891" s="14"/>
      <c r="H891" s="14"/>
      <c r="I891" s="16"/>
      <c r="J891" s="17"/>
      <c r="K891" s="14"/>
      <c r="L891" s="15"/>
      <c r="M891" s="17"/>
      <c r="N891" s="14"/>
      <c r="O891" s="15"/>
      <c r="P891" s="14"/>
      <c r="Q891" s="16"/>
      <c r="R891" s="13" t="str">
        <f aca="false">IF(AND(B891&lt;&gt;"",L891&lt;&gt;""),L891-B891,"")</f>
        <v/>
      </c>
      <c r="S891" s="13" t="str">
        <f aca="true">IF(B891="","",IF(O891&lt;&gt;"",O891-B891,TODAY()-B891))</f>
        <v/>
      </c>
      <c r="T891" s="13" t="str">
        <f aca="false">IF(A891="","",SUMIF('Time Log'!$C$5:$C$1004,A891,'Time Log'!$E$5:$E$1004))</f>
        <v/>
      </c>
    </row>
    <row r="892" customFormat="false" ht="15" hidden="false" customHeight="false" outlineLevel="0" collapsed="false">
      <c r="A892" s="14"/>
      <c r="B892" s="15"/>
      <c r="C892" s="14"/>
      <c r="D892" s="14"/>
      <c r="E892" s="14"/>
      <c r="F892" s="14"/>
      <c r="G892" s="14"/>
      <c r="H892" s="14"/>
      <c r="I892" s="16"/>
      <c r="J892" s="17"/>
      <c r="K892" s="14"/>
      <c r="L892" s="15"/>
      <c r="M892" s="17"/>
      <c r="N892" s="14"/>
      <c r="O892" s="15"/>
      <c r="P892" s="14"/>
      <c r="Q892" s="16"/>
      <c r="R892" s="13" t="str">
        <f aca="false">IF(AND(B892&lt;&gt;"",L892&lt;&gt;""),L892-B892,"")</f>
        <v/>
      </c>
      <c r="S892" s="13" t="str">
        <f aca="true">IF(B892="","",IF(O892&lt;&gt;"",O892-B892,TODAY()-B892))</f>
        <v/>
      </c>
      <c r="T892" s="13" t="str">
        <f aca="false">IF(A892="","",SUMIF('Time Log'!$C$5:$C$1004,A892,'Time Log'!$E$5:$E$1004))</f>
        <v/>
      </c>
    </row>
    <row r="893" customFormat="false" ht="15" hidden="false" customHeight="false" outlineLevel="0" collapsed="false">
      <c r="A893" s="14"/>
      <c r="B893" s="15"/>
      <c r="C893" s="14"/>
      <c r="D893" s="14"/>
      <c r="E893" s="14"/>
      <c r="F893" s="14"/>
      <c r="G893" s="14"/>
      <c r="H893" s="14"/>
      <c r="I893" s="16"/>
      <c r="J893" s="17"/>
      <c r="K893" s="14"/>
      <c r="L893" s="15"/>
      <c r="M893" s="17"/>
      <c r="N893" s="14"/>
      <c r="O893" s="15"/>
      <c r="P893" s="14"/>
      <c r="Q893" s="16"/>
      <c r="R893" s="13" t="str">
        <f aca="false">IF(AND(B893&lt;&gt;"",L893&lt;&gt;""),L893-B893,"")</f>
        <v/>
      </c>
      <c r="S893" s="13" t="str">
        <f aca="true">IF(B893="","",IF(O893&lt;&gt;"",O893-B893,TODAY()-B893))</f>
        <v/>
      </c>
      <c r="T893" s="13" t="str">
        <f aca="false">IF(A893="","",SUMIF('Time Log'!$C$5:$C$1004,A893,'Time Log'!$E$5:$E$1004))</f>
        <v/>
      </c>
    </row>
    <row r="894" customFormat="false" ht="15" hidden="false" customHeight="false" outlineLevel="0" collapsed="false">
      <c r="A894" s="14"/>
      <c r="B894" s="15"/>
      <c r="C894" s="14"/>
      <c r="D894" s="14"/>
      <c r="E894" s="14"/>
      <c r="F894" s="14"/>
      <c r="G894" s="14"/>
      <c r="H894" s="14"/>
      <c r="I894" s="16"/>
      <c r="J894" s="17"/>
      <c r="K894" s="14"/>
      <c r="L894" s="15"/>
      <c r="M894" s="17"/>
      <c r="N894" s="14"/>
      <c r="O894" s="15"/>
      <c r="P894" s="14"/>
      <c r="Q894" s="16"/>
      <c r="R894" s="13" t="str">
        <f aca="false">IF(AND(B894&lt;&gt;"",L894&lt;&gt;""),L894-B894,"")</f>
        <v/>
      </c>
      <c r="S894" s="13" t="str">
        <f aca="true">IF(B894="","",IF(O894&lt;&gt;"",O894-B894,TODAY()-B894))</f>
        <v/>
      </c>
      <c r="T894" s="13" t="str">
        <f aca="false">IF(A894="","",SUMIF('Time Log'!$C$5:$C$1004,A894,'Time Log'!$E$5:$E$1004))</f>
        <v/>
      </c>
    </row>
    <row r="895" customFormat="false" ht="15" hidden="false" customHeight="false" outlineLevel="0" collapsed="false">
      <c r="A895" s="14"/>
      <c r="B895" s="15"/>
      <c r="C895" s="14"/>
      <c r="D895" s="14"/>
      <c r="E895" s="14"/>
      <c r="F895" s="14"/>
      <c r="G895" s="14"/>
      <c r="H895" s="14"/>
      <c r="I895" s="16"/>
      <c r="J895" s="17"/>
      <c r="K895" s="14"/>
      <c r="L895" s="15"/>
      <c r="M895" s="17"/>
      <c r="N895" s="14"/>
      <c r="O895" s="15"/>
      <c r="P895" s="14"/>
      <c r="Q895" s="16"/>
      <c r="R895" s="13" t="str">
        <f aca="false">IF(AND(B895&lt;&gt;"",L895&lt;&gt;""),L895-B895,"")</f>
        <v/>
      </c>
      <c r="S895" s="13" t="str">
        <f aca="true">IF(B895="","",IF(O895&lt;&gt;"",O895-B895,TODAY()-B895))</f>
        <v/>
      </c>
      <c r="T895" s="13" t="str">
        <f aca="false">IF(A895="","",SUMIF('Time Log'!$C$5:$C$1004,A895,'Time Log'!$E$5:$E$1004))</f>
        <v/>
      </c>
    </row>
    <row r="896" customFormat="false" ht="15" hidden="false" customHeight="false" outlineLevel="0" collapsed="false">
      <c r="A896" s="14"/>
      <c r="B896" s="15"/>
      <c r="C896" s="14"/>
      <c r="D896" s="14"/>
      <c r="E896" s="14"/>
      <c r="F896" s="14"/>
      <c r="G896" s="14"/>
      <c r="H896" s="14"/>
      <c r="I896" s="16"/>
      <c r="J896" s="17"/>
      <c r="K896" s="14"/>
      <c r="L896" s="15"/>
      <c r="M896" s="17"/>
      <c r="N896" s="14"/>
      <c r="O896" s="15"/>
      <c r="P896" s="14"/>
      <c r="Q896" s="16"/>
      <c r="R896" s="13" t="str">
        <f aca="false">IF(AND(B896&lt;&gt;"",L896&lt;&gt;""),L896-B896,"")</f>
        <v/>
      </c>
      <c r="S896" s="13" t="str">
        <f aca="true">IF(B896="","",IF(O896&lt;&gt;"",O896-B896,TODAY()-B896))</f>
        <v/>
      </c>
      <c r="T896" s="13" t="str">
        <f aca="false">IF(A896="","",SUMIF('Time Log'!$C$5:$C$1004,A896,'Time Log'!$E$5:$E$1004))</f>
        <v/>
      </c>
    </row>
    <row r="897" customFormat="false" ht="15" hidden="false" customHeight="false" outlineLevel="0" collapsed="false">
      <c r="A897" s="14"/>
      <c r="B897" s="15"/>
      <c r="C897" s="14"/>
      <c r="D897" s="14"/>
      <c r="E897" s="14"/>
      <c r="F897" s="14"/>
      <c r="G897" s="14"/>
      <c r="H897" s="14"/>
      <c r="I897" s="16"/>
      <c r="J897" s="17"/>
      <c r="K897" s="14"/>
      <c r="L897" s="15"/>
      <c r="M897" s="17"/>
      <c r="N897" s="14"/>
      <c r="O897" s="15"/>
      <c r="P897" s="14"/>
      <c r="Q897" s="16"/>
      <c r="R897" s="13" t="str">
        <f aca="false">IF(AND(B897&lt;&gt;"",L897&lt;&gt;""),L897-B897,"")</f>
        <v/>
      </c>
      <c r="S897" s="13" t="str">
        <f aca="true">IF(B897="","",IF(O897&lt;&gt;"",O897-B897,TODAY()-B897))</f>
        <v/>
      </c>
      <c r="T897" s="13" t="str">
        <f aca="false">IF(A897="","",SUMIF('Time Log'!$C$5:$C$1004,A897,'Time Log'!$E$5:$E$1004))</f>
        <v/>
      </c>
    </row>
    <row r="898" customFormat="false" ht="15" hidden="false" customHeight="false" outlineLevel="0" collapsed="false">
      <c r="A898" s="14"/>
      <c r="B898" s="15"/>
      <c r="C898" s="14"/>
      <c r="D898" s="14"/>
      <c r="E898" s="14"/>
      <c r="F898" s="14"/>
      <c r="G898" s="14"/>
      <c r="H898" s="14"/>
      <c r="I898" s="16"/>
      <c r="J898" s="17"/>
      <c r="K898" s="14"/>
      <c r="L898" s="15"/>
      <c r="M898" s="17"/>
      <c r="N898" s="14"/>
      <c r="O898" s="15"/>
      <c r="P898" s="14"/>
      <c r="Q898" s="16"/>
      <c r="R898" s="13" t="str">
        <f aca="false">IF(AND(B898&lt;&gt;"",L898&lt;&gt;""),L898-B898,"")</f>
        <v/>
      </c>
      <c r="S898" s="13" t="str">
        <f aca="true">IF(B898="","",IF(O898&lt;&gt;"",O898-B898,TODAY()-B898))</f>
        <v/>
      </c>
      <c r="T898" s="13" t="str">
        <f aca="false">IF(A898="","",SUMIF('Time Log'!$C$5:$C$1004,A898,'Time Log'!$E$5:$E$1004))</f>
        <v/>
      </c>
    </row>
    <row r="899" customFormat="false" ht="15" hidden="false" customHeight="false" outlineLevel="0" collapsed="false">
      <c r="A899" s="14"/>
      <c r="B899" s="15"/>
      <c r="C899" s="14"/>
      <c r="D899" s="14"/>
      <c r="E899" s="14"/>
      <c r="F899" s="14"/>
      <c r="G899" s="14"/>
      <c r="H899" s="14"/>
      <c r="I899" s="16"/>
      <c r="J899" s="17"/>
      <c r="K899" s="14"/>
      <c r="L899" s="15"/>
      <c r="M899" s="17"/>
      <c r="N899" s="14"/>
      <c r="O899" s="15"/>
      <c r="P899" s="14"/>
      <c r="Q899" s="16"/>
      <c r="R899" s="13" t="str">
        <f aca="false">IF(AND(B899&lt;&gt;"",L899&lt;&gt;""),L899-B899,"")</f>
        <v/>
      </c>
      <c r="S899" s="13" t="str">
        <f aca="true">IF(B899="","",IF(O899&lt;&gt;"",O899-B899,TODAY()-B899))</f>
        <v/>
      </c>
      <c r="T899" s="13" t="str">
        <f aca="false">IF(A899="","",SUMIF('Time Log'!$C$5:$C$1004,A899,'Time Log'!$E$5:$E$1004))</f>
        <v/>
      </c>
    </row>
    <row r="900" customFormat="false" ht="15" hidden="false" customHeight="false" outlineLevel="0" collapsed="false">
      <c r="A900" s="14"/>
      <c r="B900" s="15"/>
      <c r="C900" s="14"/>
      <c r="D900" s="14"/>
      <c r="E900" s="14"/>
      <c r="F900" s="14"/>
      <c r="G900" s="14"/>
      <c r="H900" s="14"/>
      <c r="I900" s="16"/>
      <c r="J900" s="17"/>
      <c r="K900" s="14"/>
      <c r="L900" s="15"/>
      <c r="M900" s="17"/>
      <c r="N900" s="14"/>
      <c r="O900" s="15"/>
      <c r="P900" s="14"/>
      <c r="Q900" s="16"/>
      <c r="R900" s="13" t="str">
        <f aca="false">IF(AND(B900&lt;&gt;"",L900&lt;&gt;""),L900-B900,"")</f>
        <v/>
      </c>
      <c r="S900" s="13" t="str">
        <f aca="true">IF(B900="","",IF(O900&lt;&gt;"",O900-B900,TODAY()-B900))</f>
        <v/>
      </c>
      <c r="T900" s="13" t="str">
        <f aca="false">IF(A900="","",SUMIF('Time Log'!$C$5:$C$1004,A900,'Time Log'!$E$5:$E$1004))</f>
        <v/>
      </c>
    </row>
    <row r="901" customFormat="false" ht="15" hidden="false" customHeight="false" outlineLevel="0" collapsed="false">
      <c r="A901" s="14"/>
      <c r="B901" s="15"/>
      <c r="C901" s="14"/>
      <c r="D901" s="14"/>
      <c r="E901" s="14"/>
      <c r="F901" s="14"/>
      <c r="G901" s="14"/>
      <c r="H901" s="14"/>
      <c r="I901" s="16"/>
      <c r="J901" s="17"/>
      <c r="K901" s="14"/>
      <c r="L901" s="15"/>
      <c r="M901" s="17"/>
      <c r="N901" s="14"/>
      <c r="O901" s="15"/>
      <c r="P901" s="14"/>
      <c r="Q901" s="16"/>
      <c r="R901" s="13" t="str">
        <f aca="false">IF(AND(B901&lt;&gt;"",L901&lt;&gt;""),L901-B901,"")</f>
        <v/>
      </c>
      <c r="S901" s="13" t="str">
        <f aca="true">IF(B901="","",IF(O901&lt;&gt;"",O901-B901,TODAY()-B901))</f>
        <v/>
      </c>
      <c r="T901" s="13" t="str">
        <f aca="false">IF(A901="","",SUMIF('Time Log'!$C$5:$C$1004,A901,'Time Log'!$E$5:$E$1004))</f>
        <v/>
      </c>
    </row>
    <row r="902" customFormat="false" ht="15" hidden="false" customHeight="false" outlineLevel="0" collapsed="false">
      <c r="A902" s="14"/>
      <c r="B902" s="15"/>
      <c r="C902" s="14"/>
      <c r="D902" s="14"/>
      <c r="E902" s="14"/>
      <c r="F902" s="14"/>
      <c r="G902" s="14"/>
      <c r="H902" s="14"/>
      <c r="I902" s="16"/>
      <c r="J902" s="17"/>
      <c r="K902" s="14"/>
      <c r="L902" s="15"/>
      <c r="M902" s="17"/>
      <c r="N902" s="14"/>
      <c r="O902" s="15"/>
      <c r="P902" s="14"/>
      <c r="Q902" s="16"/>
      <c r="R902" s="13" t="str">
        <f aca="false">IF(AND(B902&lt;&gt;"",L902&lt;&gt;""),L902-B902,"")</f>
        <v/>
      </c>
      <c r="S902" s="13" t="str">
        <f aca="true">IF(B902="","",IF(O902&lt;&gt;"",O902-B902,TODAY()-B902))</f>
        <v/>
      </c>
      <c r="T902" s="13" t="str">
        <f aca="false">IF(A902="","",SUMIF('Time Log'!$C$5:$C$1004,A902,'Time Log'!$E$5:$E$1004))</f>
        <v/>
      </c>
    </row>
    <row r="903" customFormat="false" ht="15" hidden="false" customHeight="false" outlineLevel="0" collapsed="false">
      <c r="A903" s="14"/>
      <c r="B903" s="15"/>
      <c r="C903" s="14"/>
      <c r="D903" s="14"/>
      <c r="E903" s="14"/>
      <c r="F903" s="14"/>
      <c r="G903" s="14"/>
      <c r="H903" s="14"/>
      <c r="I903" s="16"/>
      <c r="J903" s="17"/>
      <c r="K903" s="14"/>
      <c r="L903" s="15"/>
      <c r="M903" s="17"/>
      <c r="N903" s="14"/>
      <c r="O903" s="15"/>
      <c r="P903" s="14"/>
      <c r="Q903" s="16"/>
      <c r="R903" s="13" t="str">
        <f aca="false">IF(AND(B903&lt;&gt;"",L903&lt;&gt;""),L903-B903,"")</f>
        <v/>
      </c>
      <c r="S903" s="13" t="str">
        <f aca="true">IF(B903="","",IF(O903&lt;&gt;"",O903-B903,TODAY()-B903))</f>
        <v/>
      </c>
      <c r="T903" s="13" t="str">
        <f aca="false">IF(A903="","",SUMIF('Time Log'!$C$5:$C$1004,A903,'Time Log'!$E$5:$E$1004))</f>
        <v/>
      </c>
    </row>
    <row r="904" customFormat="false" ht="15" hidden="false" customHeight="false" outlineLevel="0" collapsed="false">
      <c r="A904" s="14"/>
      <c r="B904" s="15"/>
      <c r="C904" s="14"/>
      <c r="D904" s="14"/>
      <c r="E904" s="14"/>
      <c r="F904" s="14"/>
      <c r="G904" s="14"/>
      <c r="H904" s="14"/>
      <c r="I904" s="16"/>
      <c r="J904" s="17"/>
      <c r="K904" s="14"/>
      <c r="L904" s="15"/>
      <c r="M904" s="17"/>
      <c r="N904" s="14"/>
      <c r="O904" s="15"/>
      <c r="P904" s="14"/>
      <c r="Q904" s="16"/>
      <c r="R904" s="13" t="str">
        <f aca="false">IF(AND(B904&lt;&gt;"",L904&lt;&gt;""),L904-B904,"")</f>
        <v/>
      </c>
      <c r="S904" s="13" t="str">
        <f aca="true">IF(B904="","",IF(O904&lt;&gt;"",O904-B904,TODAY()-B904))</f>
        <v/>
      </c>
      <c r="T904" s="13" t="str">
        <f aca="false">IF(A904="","",SUMIF('Time Log'!$C$5:$C$1004,A904,'Time Log'!$E$5:$E$1004))</f>
        <v/>
      </c>
    </row>
    <row r="905" customFormat="false" ht="15" hidden="false" customHeight="false" outlineLevel="0" collapsed="false">
      <c r="A905" s="14"/>
      <c r="B905" s="15"/>
      <c r="C905" s="14"/>
      <c r="D905" s="14"/>
      <c r="E905" s="14"/>
      <c r="F905" s="14"/>
      <c r="G905" s="14"/>
      <c r="H905" s="14"/>
      <c r="I905" s="16"/>
      <c r="J905" s="17"/>
      <c r="K905" s="14"/>
      <c r="L905" s="15"/>
      <c r="M905" s="17"/>
      <c r="N905" s="14"/>
      <c r="O905" s="15"/>
      <c r="P905" s="14"/>
      <c r="Q905" s="16"/>
      <c r="R905" s="13" t="str">
        <f aca="false">IF(AND(B905&lt;&gt;"",L905&lt;&gt;""),L905-B905,"")</f>
        <v/>
      </c>
      <c r="S905" s="13" t="str">
        <f aca="true">IF(B905="","",IF(O905&lt;&gt;"",O905-B905,TODAY()-B905))</f>
        <v/>
      </c>
      <c r="T905" s="13" t="str">
        <f aca="false">IF(A905="","",SUMIF('Time Log'!$C$5:$C$1004,A905,'Time Log'!$E$5:$E$1004))</f>
        <v/>
      </c>
    </row>
    <row r="906" customFormat="false" ht="15" hidden="false" customHeight="false" outlineLevel="0" collapsed="false">
      <c r="A906" s="14"/>
      <c r="B906" s="15"/>
      <c r="C906" s="14"/>
      <c r="D906" s="14"/>
      <c r="E906" s="14"/>
      <c r="F906" s="14"/>
      <c r="G906" s="14"/>
      <c r="H906" s="14"/>
      <c r="I906" s="16"/>
      <c r="J906" s="17"/>
      <c r="K906" s="14"/>
      <c r="L906" s="15"/>
      <c r="M906" s="17"/>
      <c r="N906" s="14"/>
      <c r="O906" s="15"/>
      <c r="P906" s="14"/>
      <c r="Q906" s="16"/>
      <c r="R906" s="13" t="str">
        <f aca="false">IF(AND(B906&lt;&gt;"",L906&lt;&gt;""),L906-B906,"")</f>
        <v/>
      </c>
      <c r="S906" s="13" t="str">
        <f aca="true">IF(B906="","",IF(O906&lt;&gt;"",O906-B906,TODAY()-B906))</f>
        <v/>
      </c>
      <c r="T906" s="13" t="str">
        <f aca="false">IF(A906="","",SUMIF('Time Log'!$C$5:$C$1004,A906,'Time Log'!$E$5:$E$1004))</f>
        <v/>
      </c>
    </row>
    <row r="907" customFormat="false" ht="15" hidden="false" customHeight="false" outlineLevel="0" collapsed="false">
      <c r="A907" s="14"/>
      <c r="B907" s="15"/>
      <c r="C907" s="14"/>
      <c r="D907" s="14"/>
      <c r="E907" s="14"/>
      <c r="F907" s="14"/>
      <c r="G907" s="14"/>
      <c r="H907" s="14"/>
      <c r="I907" s="16"/>
      <c r="J907" s="17"/>
      <c r="K907" s="14"/>
      <c r="L907" s="15"/>
      <c r="M907" s="17"/>
      <c r="N907" s="14"/>
      <c r="O907" s="15"/>
      <c r="P907" s="14"/>
      <c r="Q907" s="16"/>
      <c r="R907" s="13" t="str">
        <f aca="false">IF(AND(B907&lt;&gt;"",L907&lt;&gt;""),L907-B907,"")</f>
        <v/>
      </c>
      <c r="S907" s="13" t="str">
        <f aca="true">IF(B907="","",IF(O907&lt;&gt;"",O907-B907,TODAY()-B907))</f>
        <v/>
      </c>
      <c r="T907" s="13" t="str">
        <f aca="false">IF(A907="","",SUMIF('Time Log'!$C$5:$C$1004,A907,'Time Log'!$E$5:$E$1004))</f>
        <v/>
      </c>
    </row>
    <row r="908" customFormat="false" ht="15" hidden="false" customHeight="false" outlineLevel="0" collapsed="false">
      <c r="A908" s="14"/>
      <c r="B908" s="15"/>
      <c r="C908" s="14"/>
      <c r="D908" s="14"/>
      <c r="E908" s="14"/>
      <c r="F908" s="14"/>
      <c r="G908" s="14"/>
      <c r="H908" s="14"/>
      <c r="I908" s="16"/>
      <c r="J908" s="17"/>
      <c r="K908" s="14"/>
      <c r="L908" s="15"/>
      <c r="M908" s="17"/>
      <c r="N908" s="14"/>
      <c r="O908" s="15"/>
      <c r="P908" s="14"/>
      <c r="Q908" s="16"/>
      <c r="R908" s="13" t="str">
        <f aca="false">IF(AND(B908&lt;&gt;"",L908&lt;&gt;""),L908-B908,"")</f>
        <v/>
      </c>
      <c r="S908" s="13" t="str">
        <f aca="true">IF(B908="","",IF(O908&lt;&gt;"",O908-B908,TODAY()-B908))</f>
        <v/>
      </c>
      <c r="T908" s="13" t="str">
        <f aca="false">IF(A908="","",SUMIF('Time Log'!$C$5:$C$1004,A908,'Time Log'!$E$5:$E$1004))</f>
        <v/>
      </c>
    </row>
    <row r="909" customFormat="false" ht="15" hidden="false" customHeight="false" outlineLevel="0" collapsed="false">
      <c r="A909" s="14"/>
      <c r="B909" s="15"/>
      <c r="C909" s="14"/>
      <c r="D909" s="14"/>
      <c r="E909" s="14"/>
      <c r="F909" s="14"/>
      <c r="G909" s="14"/>
      <c r="H909" s="14"/>
      <c r="I909" s="16"/>
      <c r="J909" s="17"/>
      <c r="K909" s="14"/>
      <c r="L909" s="15"/>
      <c r="M909" s="17"/>
      <c r="N909" s="14"/>
      <c r="O909" s="15"/>
      <c r="P909" s="14"/>
      <c r="Q909" s="16"/>
      <c r="R909" s="13" t="str">
        <f aca="false">IF(AND(B909&lt;&gt;"",L909&lt;&gt;""),L909-B909,"")</f>
        <v/>
      </c>
      <c r="S909" s="13" t="str">
        <f aca="true">IF(B909="","",IF(O909&lt;&gt;"",O909-B909,TODAY()-B909))</f>
        <v/>
      </c>
      <c r="T909" s="13" t="str">
        <f aca="false">IF(A909="","",SUMIF('Time Log'!$C$5:$C$1004,A909,'Time Log'!$E$5:$E$1004))</f>
        <v/>
      </c>
    </row>
    <row r="910" customFormat="false" ht="15" hidden="false" customHeight="false" outlineLevel="0" collapsed="false">
      <c r="A910" s="14"/>
      <c r="B910" s="15"/>
      <c r="C910" s="14"/>
      <c r="D910" s="14"/>
      <c r="E910" s="14"/>
      <c r="F910" s="14"/>
      <c r="G910" s="14"/>
      <c r="H910" s="14"/>
      <c r="I910" s="16"/>
      <c r="J910" s="17"/>
      <c r="K910" s="14"/>
      <c r="L910" s="15"/>
      <c r="M910" s="17"/>
      <c r="N910" s="14"/>
      <c r="O910" s="15"/>
      <c r="P910" s="14"/>
      <c r="Q910" s="16"/>
      <c r="R910" s="13" t="str">
        <f aca="false">IF(AND(B910&lt;&gt;"",L910&lt;&gt;""),L910-B910,"")</f>
        <v/>
      </c>
      <c r="S910" s="13" t="str">
        <f aca="true">IF(B910="","",IF(O910&lt;&gt;"",O910-B910,TODAY()-B910))</f>
        <v/>
      </c>
      <c r="T910" s="13" t="str">
        <f aca="false">IF(A910="","",SUMIF('Time Log'!$C$5:$C$1004,A910,'Time Log'!$E$5:$E$1004))</f>
        <v/>
      </c>
    </row>
    <row r="911" customFormat="false" ht="15" hidden="false" customHeight="false" outlineLevel="0" collapsed="false">
      <c r="A911" s="14"/>
      <c r="B911" s="15"/>
      <c r="C911" s="14"/>
      <c r="D911" s="14"/>
      <c r="E911" s="14"/>
      <c r="F911" s="14"/>
      <c r="G911" s="14"/>
      <c r="H911" s="14"/>
      <c r="I911" s="16"/>
      <c r="J911" s="17"/>
      <c r="K911" s="14"/>
      <c r="L911" s="15"/>
      <c r="M911" s="17"/>
      <c r="N911" s="14"/>
      <c r="O911" s="15"/>
      <c r="P911" s="14"/>
      <c r="Q911" s="16"/>
      <c r="R911" s="13" t="str">
        <f aca="false">IF(AND(B911&lt;&gt;"",L911&lt;&gt;""),L911-B911,"")</f>
        <v/>
      </c>
      <c r="S911" s="13" t="str">
        <f aca="true">IF(B911="","",IF(O911&lt;&gt;"",O911-B911,TODAY()-B911))</f>
        <v/>
      </c>
      <c r="T911" s="13" t="str">
        <f aca="false">IF(A911="","",SUMIF('Time Log'!$C$5:$C$1004,A911,'Time Log'!$E$5:$E$1004))</f>
        <v/>
      </c>
    </row>
    <row r="912" customFormat="false" ht="15" hidden="false" customHeight="false" outlineLevel="0" collapsed="false">
      <c r="A912" s="14"/>
      <c r="B912" s="15"/>
      <c r="C912" s="14"/>
      <c r="D912" s="14"/>
      <c r="E912" s="14"/>
      <c r="F912" s="14"/>
      <c r="G912" s="14"/>
      <c r="H912" s="14"/>
      <c r="I912" s="16"/>
      <c r="J912" s="17"/>
      <c r="K912" s="14"/>
      <c r="L912" s="15"/>
      <c r="M912" s="17"/>
      <c r="N912" s="14"/>
      <c r="O912" s="15"/>
      <c r="P912" s="14"/>
      <c r="Q912" s="16"/>
      <c r="R912" s="13" t="str">
        <f aca="false">IF(AND(B912&lt;&gt;"",L912&lt;&gt;""),L912-B912,"")</f>
        <v/>
      </c>
      <c r="S912" s="13" t="str">
        <f aca="true">IF(B912="","",IF(O912&lt;&gt;"",O912-B912,TODAY()-B912))</f>
        <v/>
      </c>
      <c r="T912" s="13" t="str">
        <f aca="false">IF(A912="","",SUMIF('Time Log'!$C$5:$C$1004,A912,'Time Log'!$E$5:$E$1004))</f>
        <v/>
      </c>
    </row>
    <row r="913" customFormat="false" ht="15" hidden="false" customHeight="false" outlineLevel="0" collapsed="false">
      <c r="A913" s="14"/>
      <c r="B913" s="15"/>
      <c r="C913" s="14"/>
      <c r="D913" s="14"/>
      <c r="E913" s="14"/>
      <c r="F913" s="14"/>
      <c r="G913" s="14"/>
      <c r="H913" s="14"/>
      <c r="I913" s="16"/>
      <c r="J913" s="17"/>
      <c r="K913" s="14"/>
      <c r="L913" s="15"/>
      <c r="M913" s="17"/>
      <c r="N913" s="14"/>
      <c r="O913" s="15"/>
      <c r="P913" s="14"/>
      <c r="Q913" s="16"/>
      <c r="R913" s="13" t="str">
        <f aca="false">IF(AND(B913&lt;&gt;"",L913&lt;&gt;""),L913-B913,"")</f>
        <v/>
      </c>
      <c r="S913" s="13" t="str">
        <f aca="true">IF(B913="","",IF(O913&lt;&gt;"",O913-B913,TODAY()-B913))</f>
        <v/>
      </c>
      <c r="T913" s="13" t="str">
        <f aca="false">IF(A913="","",SUMIF('Time Log'!$C$5:$C$1004,A913,'Time Log'!$E$5:$E$1004))</f>
        <v/>
      </c>
    </row>
    <row r="914" customFormat="false" ht="15" hidden="false" customHeight="false" outlineLevel="0" collapsed="false">
      <c r="A914" s="14"/>
      <c r="B914" s="15"/>
      <c r="C914" s="14"/>
      <c r="D914" s="14"/>
      <c r="E914" s="14"/>
      <c r="F914" s="14"/>
      <c r="G914" s="14"/>
      <c r="H914" s="14"/>
      <c r="I914" s="16"/>
      <c r="J914" s="17"/>
      <c r="K914" s="14"/>
      <c r="L914" s="15"/>
      <c r="M914" s="17"/>
      <c r="N914" s="14"/>
      <c r="O914" s="15"/>
      <c r="P914" s="14"/>
      <c r="Q914" s="16"/>
      <c r="R914" s="13" t="str">
        <f aca="false">IF(AND(B914&lt;&gt;"",L914&lt;&gt;""),L914-B914,"")</f>
        <v/>
      </c>
      <c r="S914" s="13" t="str">
        <f aca="true">IF(B914="","",IF(O914&lt;&gt;"",O914-B914,TODAY()-B914))</f>
        <v/>
      </c>
      <c r="T914" s="13" t="str">
        <f aca="false">IF(A914="","",SUMIF('Time Log'!$C$5:$C$1004,A914,'Time Log'!$E$5:$E$1004))</f>
        <v/>
      </c>
    </row>
    <row r="915" customFormat="false" ht="15" hidden="false" customHeight="false" outlineLevel="0" collapsed="false">
      <c r="A915" s="14"/>
      <c r="B915" s="15"/>
      <c r="C915" s="14"/>
      <c r="D915" s="14"/>
      <c r="E915" s="14"/>
      <c r="F915" s="14"/>
      <c r="G915" s="14"/>
      <c r="H915" s="14"/>
      <c r="I915" s="16"/>
      <c r="J915" s="17"/>
      <c r="K915" s="14"/>
      <c r="L915" s="15"/>
      <c r="M915" s="17"/>
      <c r="N915" s="14"/>
      <c r="O915" s="15"/>
      <c r="P915" s="14"/>
      <c r="Q915" s="16"/>
      <c r="R915" s="13" t="str">
        <f aca="false">IF(AND(B915&lt;&gt;"",L915&lt;&gt;""),L915-B915,"")</f>
        <v/>
      </c>
      <c r="S915" s="13" t="str">
        <f aca="true">IF(B915="","",IF(O915&lt;&gt;"",O915-B915,TODAY()-B915))</f>
        <v/>
      </c>
      <c r="T915" s="13" t="str">
        <f aca="false">IF(A915="","",SUMIF('Time Log'!$C$5:$C$1004,A915,'Time Log'!$E$5:$E$1004))</f>
        <v/>
      </c>
    </row>
    <row r="916" customFormat="false" ht="15" hidden="false" customHeight="false" outlineLevel="0" collapsed="false">
      <c r="A916" s="14"/>
      <c r="B916" s="15"/>
      <c r="C916" s="14"/>
      <c r="D916" s="14"/>
      <c r="E916" s="14"/>
      <c r="F916" s="14"/>
      <c r="G916" s="14"/>
      <c r="H916" s="14"/>
      <c r="I916" s="16"/>
      <c r="J916" s="17"/>
      <c r="K916" s="14"/>
      <c r="L916" s="15"/>
      <c r="M916" s="17"/>
      <c r="N916" s="14"/>
      <c r="O916" s="15"/>
      <c r="P916" s="14"/>
      <c r="Q916" s="16"/>
      <c r="R916" s="13" t="str">
        <f aca="false">IF(AND(B916&lt;&gt;"",L916&lt;&gt;""),L916-B916,"")</f>
        <v/>
      </c>
      <c r="S916" s="13" t="str">
        <f aca="true">IF(B916="","",IF(O916&lt;&gt;"",O916-B916,TODAY()-B916))</f>
        <v/>
      </c>
      <c r="T916" s="13" t="str">
        <f aca="false">IF(A916="","",SUMIF('Time Log'!$C$5:$C$1004,A916,'Time Log'!$E$5:$E$1004))</f>
        <v/>
      </c>
    </row>
    <row r="917" customFormat="false" ht="15" hidden="false" customHeight="false" outlineLevel="0" collapsed="false">
      <c r="A917" s="14"/>
      <c r="B917" s="15"/>
      <c r="C917" s="14"/>
      <c r="D917" s="14"/>
      <c r="E917" s="14"/>
      <c r="F917" s="14"/>
      <c r="G917" s="14"/>
      <c r="H917" s="14"/>
      <c r="I917" s="16"/>
      <c r="J917" s="17"/>
      <c r="K917" s="14"/>
      <c r="L917" s="15"/>
      <c r="M917" s="17"/>
      <c r="N917" s="14"/>
      <c r="O917" s="15"/>
      <c r="P917" s="14"/>
      <c r="Q917" s="16"/>
      <c r="R917" s="13" t="str">
        <f aca="false">IF(AND(B917&lt;&gt;"",L917&lt;&gt;""),L917-B917,"")</f>
        <v/>
      </c>
      <c r="S917" s="13" t="str">
        <f aca="true">IF(B917="","",IF(O917&lt;&gt;"",O917-B917,TODAY()-B917))</f>
        <v/>
      </c>
      <c r="T917" s="13" t="str">
        <f aca="false">IF(A917="","",SUMIF('Time Log'!$C$5:$C$1004,A917,'Time Log'!$E$5:$E$1004))</f>
        <v/>
      </c>
    </row>
    <row r="918" customFormat="false" ht="15" hidden="false" customHeight="false" outlineLevel="0" collapsed="false">
      <c r="A918" s="14"/>
      <c r="B918" s="15"/>
      <c r="C918" s="14"/>
      <c r="D918" s="14"/>
      <c r="E918" s="14"/>
      <c r="F918" s="14"/>
      <c r="G918" s="14"/>
      <c r="H918" s="14"/>
      <c r="I918" s="16"/>
      <c r="J918" s="17"/>
      <c r="K918" s="14"/>
      <c r="L918" s="15"/>
      <c r="M918" s="17"/>
      <c r="N918" s="14"/>
      <c r="O918" s="15"/>
      <c r="P918" s="14"/>
      <c r="Q918" s="16"/>
      <c r="R918" s="13" t="str">
        <f aca="false">IF(AND(B918&lt;&gt;"",L918&lt;&gt;""),L918-B918,"")</f>
        <v/>
      </c>
      <c r="S918" s="13" t="str">
        <f aca="true">IF(B918="","",IF(O918&lt;&gt;"",O918-B918,TODAY()-B918))</f>
        <v/>
      </c>
      <c r="T918" s="13" t="str">
        <f aca="false">IF(A918="","",SUMIF('Time Log'!$C$5:$C$1004,A918,'Time Log'!$E$5:$E$1004))</f>
        <v/>
      </c>
    </row>
    <row r="919" customFormat="false" ht="15" hidden="false" customHeight="false" outlineLevel="0" collapsed="false">
      <c r="A919" s="14"/>
      <c r="B919" s="15"/>
      <c r="C919" s="14"/>
      <c r="D919" s="14"/>
      <c r="E919" s="14"/>
      <c r="F919" s="14"/>
      <c r="G919" s="14"/>
      <c r="H919" s="14"/>
      <c r="I919" s="16"/>
      <c r="J919" s="17"/>
      <c r="K919" s="14"/>
      <c r="L919" s="15"/>
      <c r="M919" s="17"/>
      <c r="N919" s="14"/>
      <c r="O919" s="15"/>
      <c r="P919" s="14"/>
      <c r="Q919" s="16"/>
      <c r="R919" s="13" t="str">
        <f aca="false">IF(AND(B919&lt;&gt;"",L919&lt;&gt;""),L919-B919,"")</f>
        <v/>
      </c>
      <c r="S919" s="13" t="str">
        <f aca="true">IF(B919="","",IF(O919&lt;&gt;"",O919-B919,TODAY()-B919))</f>
        <v/>
      </c>
      <c r="T919" s="13" t="str">
        <f aca="false">IF(A919="","",SUMIF('Time Log'!$C$5:$C$1004,A919,'Time Log'!$E$5:$E$1004))</f>
        <v/>
      </c>
    </row>
    <row r="920" customFormat="false" ht="15" hidden="false" customHeight="false" outlineLevel="0" collapsed="false">
      <c r="A920" s="14"/>
      <c r="B920" s="15"/>
      <c r="C920" s="14"/>
      <c r="D920" s="14"/>
      <c r="E920" s="14"/>
      <c r="F920" s="14"/>
      <c r="G920" s="14"/>
      <c r="H920" s="14"/>
      <c r="I920" s="16"/>
      <c r="J920" s="17"/>
      <c r="K920" s="14"/>
      <c r="L920" s="15"/>
      <c r="M920" s="17"/>
      <c r="N920" s="14"/>
      <c r="O920" s="15"/>
      <c r="P920" s="14"/>
      <c r="Q920" s="16"/>
      <c r="R920" s="13" t="str">
        <f aca="false">IF(AND(B920&lt;&gt;"",L920&lt;&gt;""),L920-B920,"")</f>
        <v/>
      </c>
      <c r="S920" s="13" t="str">
        <f aca="true">IF(B920="","",IF(O920&lt;&gt;"",O920-B920,TODAY()-B920))</f>
        <v/>
      </c>
      <c r="T920" s="13" t="str">
        <f aca="false">IF(A920="","",SUMIF('Time Log'!$C$5:$C$1004,A920,'Time Log'!$E$5:$E$1004))</f>
        <v/>
      </c>
    </row>
    <row r="921" customFormat="false" ht="15" hidden="false" customHeight="false" outlineLevel="0" collapsed="false">
      <c r="A921" s="14"/>
      <c r="B921" s="15"/>
      <c r="C921" s="14"/>
      <c r="D921" s="14"/>
      <c r="E921" s="14"/>
      <c r="F921" s="14"/>
      <c r="G921" s="14"/>
      <c r="H921" s="14"/>
      <c r="I921" s="16"/>
      <c r="J921" s="17"/>
      <c r="K921" s="14"/>
      <c r="L921" s="15"/>
      <c r="M921" s="17"/>
      <c r="N921" s="14"/>
      <c r="O921" s="15"/>
      <c r="P921" s="14"/>
      <c r="Q921" s="16"/>
      <c r="R921" s="13" t="str">
        <f aca="false">IF(AND(B921&lt;&gt;"",L921&lt;&gt;""),L921-B921,"")</f>
        <v/>
      </c>
      <c r="S921" s="13" t="str">
        <f aca="true">IF(B921="","",IF(O921&lt;&gt;"",O921-B921,TODAY()-B921))</f>
        <v/>
      </c>
      <c r="T921" s="13" t="str">
        <f aca="false">IF(A921="","",SUMIF('Time Log'!$C$5:$C$1004,A921,'Time Log'!$E$5:$E$1004))</f>
        <v/>
      </c>
    </row>
    <row r="922" customFormat="false" ht="15" hidden="false" customHeight="false" outlineLevel="0" collapsed="false">
      <c r="A922" s="14"/>
      <c r="B922" s="15"/>
      <c r="C922" s="14"/>
      <c r="D922" s="14"/>
      <c r="E922" s="14"/>
      <c r="F922" s="14"/>
      <c r="G922" s="14"/>
      <c r="H922" s="14"/>
      <c r="I922" s="16"/>
      <c r="J922" s="17"/>
      <c r="K922" s="14"/>
      <c r="L922" s="15"/>
      <c r="M922" s="17"/>
      <c r="N922" s="14"/>
      <c r="O922" s="15"/>
      <c r="P922" s="14"/>
      <c r="Q922" s="16"/>
      <c r="R922" s="13" t="str">
        <f aca="false">IF(AND(B922&lt;&gt;"",L922&lt;&gt;""),L922-B922,"")</f>
        <v/>
      </c>
      <c r="S922" s="13" t="str">
        <f aca="true">IF(B922="","",IF(O922&lt;&gt;"",O922-B922,TODAY()-B922))</f>
        <v/>
      </c>
      <c r="T922" s="13" t="str">
        <f aca="false">IF(A922="","",SUMIF('Time Log'!$C$5:$C$1004,A922,'Time Log'!$E$5:$E$1004))</f>
        <v/>
      </c>
    </row>
    <row r="923" customFormat="false" ht="15" hidden="false" customHeight="false" outlineLevel="0" collapsed="false">
      <c r="A923" s="14"/>
      <c r="B923" s="15"/>
      <c r="C923" s="14"/>
      <c r="D923" s="14"/>
      <c r="E923" s="14"/>
      <c r="F923" s="14"/>
      <c r="G923" s="14"/>
      <c r="H923" s="14"/>
      <c r="I923" s="16"/>
      <c r="J923" s="17"/>
      <c r="K923" s="14"/>
      <c r="L923" s="15"/>
      <c r="M923" s="17"/>
      <c r="N923" s="14"/>
      <c r="O923" s="15"/>
      <c r="P923" s="14"/>
      <c r="Q923" s="16"/>
      <c r="R923" s="13" t="str">
        <f aca="false">IF(AND(B923&lt;&gt;"",L923&lt;&gt;""),L923-B923,"")</f>
        <v/>
      </c>
      <c r="S923" s="13" t="str">
        <f aca="true">IF(B923="","",IF(O923&lt;&gt;"",O923-B923,TODAY()-B923))</f>
        <v/>
      </c>
      <c r="T923" s="13" t="str">
        <f aca="false">IF(A923="","",SUMIF('Time Log'!$C$5:$C$1004,A923,'Time Log'!$E$5:$E$1004))</f>
        <v/>
      </c>
    </row>
    <row r="924" customFormat="false" ht="15" hidden="false" customHeight="false" outlineLevel="0" collapsed="false">
      <c r="A924" s="14"/>
      <c r="B924" s="15"/>
      <c r="C924" s="14"/>
      <c r="D924" s="14"/>
      <c r="E924" s="14"/>
      <c r="F924" s="14"/>
      <c r="G924" s="14"/>
      <c r="H924" s="14"/>
      <c r="I924" s="16"/>
      <c r="J924" s="17"/>
      <c r="K924" s="14"/>
      <c r="L924" s="15"/>
      <c r="M924" s="17"/>
      <c r="N924" s="14"/>
      <c r="O924" s="15"/>
      <c r="P924" s="14"/>
      <c r="Q924" s="16"/>
      <c r="R924" s="13" t="str">
        <f aca="false">IF(AND(B924&lt;&gt;"",L924&lt;&gt;""),L924-B924,"")</f>
        <v/>
      </c>
      <c r="S924" s="13" t="str">
        <f aca="true">IF(B924="","",IF(O924&lt;&gt;"",O924-B924,TODAY()-B924))</f>
        <v/>
      </c>
      <c r="T924" s="13" t="str">
        <f aca="false">IF(A924="","",SUMIF('Time Log'!$C$5:$C$1004,A924,'Time Log'!$E$5:$E$1004))</f>
        <v/>
      </c>
    </row>
    <row r="925" customFormat="false" ht="15" hidden="false" customHeight="false" outlineLevel="0" collapsed="false">
      <c r="A925" s="14"/>
      <c r="B925" s="15"/>
      <c r="C925" s="14"/>
      <c r="D925" s="14"/>
      <c r="E925" s="14"/>
      <c r="F925" s="14"/>
      <c r="G925" s="14"/>
      <c r="H925" s="14"/>
      <c r="I925" s="16"/>
      <c r="J925" s="17"/>
      <c r="K925" s="14"/>
      <c r="L925" s="15"/>
      <c r="M925" s="17"/>
      <c r="N925" s="14"/>
      <c r="O925" s="15"/>
      <c r="P925" s="14"/>
      <c r="Q925" s="16"/>
      <c r="R925" s="13" t="str">
        <f aca="false">IF(AND(B925&lt;&gt;"",L925&lt;&gt;""),L925-B925,"")</f>
        <v/>
      </c>
      <c r="S925" s="13" t="str">
        <f aca="true">IF(B925="","",IF(O925&lt;&gt;"",O925-B925,TODAY()-B925))</f>
        <v/>
      </c>
      <c r="T925" s="13" t="str">
        <f aca="false">IF(A925="","",SUMIF('Time Log'!$C$5:$C$1004,A925,'Time Log'!$E$5:$E$1004))</f>
        <v/>
      </c>
    </row>
    <row r="926" customFormat="false" ht="15" hidden="false" customHeight="false" outlineLevel="0" collapsed="false">
      <c r="A926" s="14"/>
      <c r="B926" s="15"/>
      <c r="C926" s="14"/>
      <c r="D926" s="14"/>
      <c r="E926" s="14"/>
      <c r="F926" s="14"/>
      <c r="G926" s="14"/>
      <c r="H926" s="14"/>
      <c r="I926" s="16"/>
      <c r="J926" s="17"/>
      <c r="K926" s="14"/>
      <c r="L926" s="15"/>
      <c r="M926" s="17"/>
      <c r="N926" s="14"/>
      <c r="O926" s="15"/>
      <c r="P926" s="14"/>
      <c r="Q926" s="16"/>
      <c r="R926" s="13" t="str">
        <f aca="false">IF(AND(B926&lt;&gt;"",L926&lt;&gt;""),L926-B926,"")</f>
        <v/>
      </c>
      <c r="S926" s="13" t="str">
        <f aca="true">IF(B926="","",IF(O926&lt;&gt;"",O926-B926,TODAY()-B926))</f>
        <v/>
      </c>
      <c r="T926" s="13" t="str">
        <f aca="false">IF(A926="","",SUMIF('Time Log'!$C$5:$C$1004,A926,'Time Log'!$E$5:$E$1004))</f>
        <v/>
      </c>
    </row>
    <row r="927" customFormat="false" ht="15" hidden="false" customHeight="false" outlineLevel="0" collapsed="false">
      <c r="A927" s="14"/>
      <c r="B927" s="15"/>
      <c r="C927" s="14"/>
      <c r="D927" s="14"/>
      <c r="E927" s="14"/>
      <c r="F927" s="14"/>
      <c r="G927" s="14"/>
      <c r="H927" s="14"/>
      <c r="I927" s="16"/>
      <c r="J927" s="17"/>
      <c r="K927" s="14"/>
      <c r="L927" s="15"/>
      <c r="M927" s="17"/>
      <c r="N927" s="14"/>
      <c r="O927" s="15"/>
      <c r="P927" s="14"/>
      <c r="Q927" s="16"/>
      <c r="R927" s="13" t="str">
        <f aca="false">IF(AND(B927&lt;&gt;"",L927&lt;&gt;""),L927-B927,"")</f>
        <v/>
      </c>
      <c r="S927" s="13" t="str">
        <f aca="true">IF(B927="","",IF(O927&lt;&gt;"",O927-B927,TODAY()-B927))</f>
        <v/>
      </c>
      <c r="T927" s="13" t="str">
        <f aca="false">IF(A927="","",SUMIF('Time Log'!$C$5:$C$1004,A927,'Time Log'!$E$5:$E$1004))</f>
        <v/>
      </c>
    </row>
    <row r="928" customFormat="false" ht="15" hidden="false" customHeight="false" outlineLevel="0" collapsed="false">
      <c r="A928" s="14"/>
      <c r="B928" s="15"/>
      <c r="C928" s="14"/>
      <c r="D928" s="14"/>
      <c r="E928" s="14"/>
      <c r="F928" s="14"/>
      <c r="G928" s="14"/>
      <c r="H928" s="14"/>
      <c r="I928" s="16"/>
      <c r="J928" s="17"/>
      <c r="K928" s="14"/>
      <c r="L928" s="15"/>
      <c r="M928" s="17"/>
      <c r="N928" s="14"/>
      <c r="O928" s="15"/>
      <c r="P928" s="14"/>
      <c r="Q928" s="16"/>
      <c r="R928" s="13" t="str">
        <f aca="false">IF(AND(B928&lt;&gt;"",L928&lt;&gt;""),L928-B928,"")</f>
        <v/>
      </c>
      <c r="S928" s="13" t="str">
        <f aca="true">IF(B928="","",IF(O928&lt;&gt;"",O928-B928,TODAY()-B928))</f>
        <v/>
      </c>
      <c r="T928" s="13" t="str">
        <f aca="false">IF(A928="","",SUMIF('Time Log'!$C$5:$C$1004,A928,'Time Log'!$E$5:$E$1004))</f>
        <v/>
      </c>
    </row>
    <row r="929" customFormat="false" ht="15" hidden="false" customHeight="false" outlineLevel="0" collapsed="false">
      <c r="A929" s="14"/>
      <c r="B929" s="15"/>
      <c r="C929" s="14"/>
      <c r="D929" s="14"/>
      <c r="E929" s="14"/>
      <c r="F929" s="14"/>
      <c r="G929" s="14"/>
      <c r="H929" s="14"/>
      <c r="I929" s="16"/>
      <c r="J929" s="17"/>
      <c r="K929" s="14"/>
      <c r="L929" s="15"/>
      <c r="M929" s="17"/>
      <c r="N929" s="14"/>
      <c r="O929" s="15"/>
      <c r="P929" s="14"/>
      <c r="Q929" s="16"/>
      <c r="R929" s="13" t="str">
        <f aca="false">IF(AND(B929&lt;&gt;"",L929&lt;&gt;""),L929-B929,"")</f>
        <v/>
      </c>
      <c r="S929" s="13" t="str">
        <f aca="true">IF(B929="","",IF(O929&lt;&gt;"",O929-B929,TODAY()-B929))</f>
        <v/>
      </c>
      <c r="T929" s="13" t="str">
        <f aca="false">IF(A929="","",SUMIF('Time Log'!$C$5:$C$1004,A929,'Time Log'!$E$5:$E$1004))</f>
        <v/>
      </c>
    </row>
    <row r="930" customFormat="false" ht="15" hidden="false" customHeight="false" outlineLevel="0" collapsed="false">
      <c r="A930" s="14"/>
      <c r="B930" s="15"/>
      <c r="C930" s="14"/>
      <c r="D930" s="14"/>
      <c r="E930" s="14"/>
      <c r="F930" s="14"/>
      <c r="G930" s="14"/>
      <c r="H930" s="14"/>
      <c r="I930" s="16"/>
      <c r="J930" s="17"/>
      <c r="K930" s="14"/>
      <c r="L930" s="15"/>
      <c r="M930" s="17"/>
      <c r="N930" s="14"/>
      <c r="O930" s="15"/>
      <c r="P930" s="14"/>
      <c r="Q930" s="16"/>
      <c r="R930" s="13" t="str">
        <f aca="false">IF(AND(B930&lt;&gt;"",L930&lt;&gt;""),L930-B930,"")</f>
        <v/>
      </c>
      <c r="S930" s="13" t="str">
        <f aca="true">IF(B930="","",IF(O930&lt;&gt;"",O930-B930,TODAY()-B930))</f>
        <v/>
      </c>
      <c r="T930" s="13" t="str">
        <f aca="false">IF(A930="","",SUMIF('Time Log'!$C$5:$C$1004,A930,'Time Log'!$E$5:$E$1004))</f>
        <v/>
      </c>
    </row>
    <row r="931" customFormat="false" ht="15" hidden="false" customHeight="false" outlineLevel="0" collapsed="false">
      <c r="A931" s="14"/>
      <c r="B931" s="15"/>
      <c r="C931" s="14"/>
      <c r="D931" s="14"/>
      <c r="E931" s="14"/>
      <c r="F931" s="14"/>
      <c r="G931" s="14"/>
      <c r="H931" s="14"/>
      <c r="I931" s="16"/>
      <c r="J931" s="17"/>
      <c r="K931" s="14"/>
      <c r="L931" s="15"/>
      <c r="M931" s="17"/>
      <c r="N931" s="14"/>
      <c r="O931" s="15"/>
      <c r="P931" s="14"/>
      <c r="Q931" s="16"/>
      <c r="R931" s="13" t="str">
        <f aca="false">IF(AND(B931&lt;&gt;"",L931&lt;&gt;""),L931-B931,"")</f>
        <v/>
      </c>
      <c r="S931" s="13" t="str">
        <f aca="true">IF(B931="","",IF(O931&lt;&gt;"",O931-B931,TODAY()-B931))</f>
        <v/>
      </c>
      <c r="T931" s="13" t="str">
        <f aca="false">IF(A931="","",SUMIF('Time Log'!$C$5:$C$1004,A931,'Time Log'!$E$5:$E$1004))</f>
        <v/>
      </c>
    </row>
    <row r="932" customFormat="false" ht="15" hidden="false" customHeight="false" outlineLevel="0" collapsed="false">
      <c r="A932" s="14"/>
      <c r="B932" s="15"/>
      <c r="C932" s="14"/>
      <c r="D932" s="14"/>
      <c r="E932" s="14"/>
      <c r="F932" s="14"/>
      <c r="G932" s="14"/>
      <c r="H932" s="14"/>
      <c r="I932" s="16"/>
      <c r="J932" s="17"/>
      <c r="K932" s="14"/>
      <c r="L932" s="15"/>
      <c r="M932" s="17"/>
      <c r="N932" s="14"/>
      <c r="O932" s="15"/>
      <c r="P932" s="14"/>
      <c r="Q932" s="16"/>
      <c r="R932" s="13" t="str">
        <f aca="false">IF(AND(B932&lt;&gt;"",L932&lt;&gt;""),L932-B932,"")</f>
        <v/>
      </c>
      <c r="S932" s="13" t="str">
        <f aca="true">IF(B932="","",IF(O932&lt;&gt;"",O932-B932,TODAY()-B932))</f>
        <v/>
      </c>
      <c r="T932" s="13" t="str">
        <f aca="false">IF(A932="","",SUMIF('Time Log'!$C$5:$C$1004,A932,'Time Log'!$E$5:$E$1004))</f>
        <v/>
      </c>
    </row>
    <row r="933" customFormat="false" ht="15" hidden="false" customHeight="false" outlineLevel="0" collapsed="false">
      <c r="A933" s="14"/>
      <c r="B933" s="15"/>
      <c r="C933" s="14"/>
      <c r="D933" s="14"/>
      <c r="E933" s="14"/>
      <c r="F933" s="14"/>
      <c r="G933" s="14"/>
      <c r="H933" s="14"/>
      <c r="I933" s="16"/>
      <c r="J933" s="17"/>
      <c r="K933" s="14"/>
      <c r="L933" s="15"/>
      <c r="M933" s="17"/>
      <c r="N933" s="14"/>
      <c r="O933" s="15"/>
      <c r="P933" s="14"/>
      <c r="Q933" s="16"/>
      <c r="R933" s="13" t="str">
        <f aca="false">IF(AND(B933&lt;&gt;"",L933&lt;&gt;""),L933-B933,"")</f>
        <v/>
      </c>
      <c r="S933" s="13" t="str">
        <f aca="true">IF(B933="","",IF(O933&lt;&gt;"",O933-B933,TODAY()-B933))</f>
        <v/>
      </c>
      <c r="T933" s="13" t="str">
        <f aca="false">IF(A933="","",SUMIF('Time Log'!$C$5:$C$1004,A933,'Time Log'!$E$5:$E$1004))</f>
        <v/>
      </c>
    </row>
    <row r="934" customFormat="false" ht="15" hidden="false" customHeight="false" outlineLevel="0" collapsed="false">
      <c r="A934" s="14"/>
      <c r="B934" s="15"/>
      <c r="C934" s="14"/>
      <c r="D934" s="14"/>
      <c r="E934" s="14"/>
      <c r="F934" s="14"/>
      <c r="G934" s="14"/>
      <c r="H934" s="14"/>
      <c r="I934" s="16"/>
      <c r="J934" s="17"/>
      <c r="K934" s="14"/>
      <c r="L934" s="15"/>
      <c r="M934" s="17"/>
      <c r="N934" s="14"/>
      <c r="O934" s="15"/>
      <c r="P934" s="14"/>
      <c r="Q934" s="16"/>
      <c r="R934" s="13" t="str">
        <f aca="false">IF(AND(B934&lt;&gt;"",L934&lt;&gt;""),L934-B934,"")</f>
        <v/>
      </c>
      <c r="S934" s="13" t="str">
        <f aca="true">IF(B934="","",IF(O934&lt;&gt;"",O934-B934,TODAY()-B934))</f>
        <v/>
      </c>
      <c r="T934" s="13" t="str">
        <f aca="false">IF(A934="","",SUMIF('Time Log'!$C$5:$C$1004,A934,'Time Log'!$E$5:$E$1004))</f>
        <v/>
      </c>
    </row>
    <row r="935" customFormat="false" ht="15" hidden="false" customHeight="false" outlineLevel="0" collapsed="false">
      <c r="A935" s="14"/>
      <c r="B935" s="15"/>
      <c r="C935" s="14"/>
      <c r="D935" s="14"/>
      <c r="E935" s="14"/>
      <c r="F935" s="14"/>
      <c r="G935" s="14"/>
      <c r="H935" s="14"/>
      <c r="I935" s="16"/>
      <c r="J935" s="17"/>
      <c r="K935" s="14"/>
      <c r="L935" s="15"/>
      <c r="M935" s="17"/>
      <c r="N935" s="14"/>
      <c r="O935" s="15"/>
      <c r="P935" s="14"/>
      <c r="Q935" s="16"/>
      <c r="R935" s="13" t="str">
        <f aca="false">IF(AND(B935&lt;&gt;"",L935&lt;&gt;""),L935-B935,"")</f>
        <v/>
      </c>
      <c r="S935" s="13" t="str">
        <f aca="true">IF(B935="","",IF(O935&lt;&gt;"",O935-B935,TODAY()-B935))</f>
        <v/>
      </c>
      <c r="T935" s="13" t="str">
        <f aca="false">IF(A935="","",SUMIF('Time Log'!$C$5:$C$1004,A935,'Time Log'!$E$5:$E$1004))</f>
        <v/>
      </c>
    </row>
    <row r="936" customFormat="false" ht="15" hidden="false" customHeight="false" outlineLevel="0" collapsed="false">
      <c r="A936" s="14"/>
      <c r="B936" s="15"/>
      <c r="C936" s="14"/>
      <c r="D936" s="14"/>
      <c r="E936" s="14"/>
      <c r="F936" s="14"/>
      <c r="G936" s="14"/>
      <c r="H936" s="14"/>
      <c r="I936" s="16"/>
      <c r="J936" s="17"/>
      <c r="K936" s="14"/>
      <c r="L936" s="15"/>
      <c r="M936" s="17"/>
      <c r="N936" s="14"/>
      <c r="O936" s="15"/>
      <c r="P936" s="14"/>
      <c r="Q936" s="16"/>
      <c r="R936" s="13" t="str">
        <f aca="false">IF(AND(B936&lt;&gt;"",L936&lt;&gt;""),L936-B936,"")</f>
        <v/>
      </c>
      <c r="S936" s="13" t="str">
        <f aca="true">IF(B936="","",IF(O936&lt;&gt;"",O936-B936,TODAY()-B936))</f>
        <v/>
      </c>
      <c r="T936" s="13" t="str">
        <f aca="false">IF(A936="","",SUMIF('Time Log'!$C$5:$C$1004,A936,'Time Log'!$E$5:$E$1004))</f>
        <v/>
      </c>
    </row>
    <row r="937" customFormat="false" ht="15" hidden="false" customHeight="false" outlineLevel="0" collapsed="false">
      <c r="A937" s="14"/>
      <c r="B937" s="15"/>
      <c r="C937" s="14"/>
      <c r="D937" s="14"/>
      <c r="E937" s="14"/>
      <c r="F937" s="14"/>
      <c r="G937" s="14"/>
      <c r="H937" s="14"/>
      <c r="I937" s="16"/>
      <c r="J937" s="17"/>
      <c r="K937" s="14"/>
      <c r="L937" s="15"/>
      <c r="M937" s="17"/>
      <c r="N937" s="14"/>
      <c r="O937" s="15"/>
      <c r="P937" s="14"/>
      <c r="Q937" s="16"/>
      <c r="R937" s="13" t="str">
        <f aca="false">IF(AND(B937&lt;&gt;"",L937&lt;&gt;""),L937-B937,"")</f>
        <v/>
      </c>
      <c r="S937" s="13" t="str">
        <f aca="true">IF(B937="","",IF(O937&lt;&gt;"",O937-B937,TODAY()-B937))</f>
        <v/>
      </c>
      <c r="T937" s="13" t="str">
        <f aca="false">IF(A937="","",SUMIF('Time Log'!$C$5:$C$1004,A937,'Time Log'!$E$5:$E$1004))</f>
        <v/>
      </c>
    </row>
    <row r="938" customFormat="false" ht="15" hidden="false" customHeight="false" outlineLevel="0" collapsed="false">
      <c r="A938" s="14"/>
      <c r="B938" s="15"/>
      <c r="C938" s="14"/>
      <c r="D938" s="14"/>
      <c r="E938" s="14"/>
      <c r="F938" s="14"/>
      <c r="G938" s="14"/>
      <c r="H938" s="14"/>
      <c r="I938" s="16"/>
      <c r="J938" s="17"/>
      <c r="K938" s="14"/>
      <c r="L938" s="15"/>
      <c r="M938" s="17"/>
      <c r="N938" s="14"/>
      <c r="O938" s="15"/>
      <c r="P938" s="14"/>
      <c r="Q938" s="16"/>
      <c r="R938" s="13" t="str">
        <f aca="false">IF(AND(B938&lt;&gt;"",L938&lt;&gt;""),L938-B938,"")</f>
        <v/>
      </c>
      <c r="S938" s="13" t="str">
        <f aca="true">IF(B938="","",IF(O938&lt;&gt;"",O938-B938,TODAY()-B938))</f>
        <v/>
      </c>
      <c r="T938" s="13" t="str">
        <f aca="false">IF(A938="","",SUMIF('Time Log'!$C$5:$C$1004,A938,'Time Log'!$E$5:$E$1004))</f>
        <v/>
      </c>
    </row>
    <row r="939" customFormat="false" ht="15" hidden="false" customHeight="false" outlineLevel="0" collapsed="false">
      <c r="A939" s="14"/>
      <c r="B939" s="15"/>
      <c r="C939" s="14"/>
      <c r="D939" s="14"/>
      <c r="E939" s="14"/>
      <c r="F939" s="14"/>
      <c r="G939" s="14"/>
      <c r="H939" s="14"/>
      <c r="I939" s="16"/>
      <c r="J939" s="17"/>
      <c r="K939" s="14"/>
      <c r="L939" s="15"/>
      <c r="M939" s="17"/>
      <c r="N939" s="14"/>
      <c r="O939" s="15"/>
      <c r="P939" s="14"/>
      <c r="Q939" s="16"/>
      <c r="R939" s="13" t="str">
        <f aca="false">IF(AND(B939&lt;&gt;"",L939&lt;&gt;""),L939-B939,"")</f>
        <v/>
      </c>
      <c r="S939" s="13" t="str">
        <f aca="true">IF(B939="","",IF(O939&lt;&gt;"",O939-B939,TODAY()-B939))</f>
        <v/>
      </c>
      <c r="T939" s="13" t="str">
        <f aca="false">IF(A939="","",SUMIF('Time Log'!$C$5:$C$1004,A939,'Time Log'!$E$5:$E$1004))</f>
        <v/>
      </c>
    </row>
    <row r="940" customFormat="false" ht="15" hidden="false" customHeight="false" outlineLevel="0" collapsed="false">
      <c r="A940" s="14"/>
      <c r="B940" s="15"/>
      <c r="C940" s="14"/>
      <c r="D940" s="14"/>
      <c r="E940" s="14"/>
      <c r="F940" s="14"/>
      <c r="G940" s="14"/>
      <c r="H940" s="14"/>
      <c r="I940" s="16"/>
      <c r="J940" s="17"/>
      <c r="K940" s="14"/>
      <c r="L940" s="15"/>
      <c r="M940" s="17"/>
      <c r="N940" s="14"/>
      <c r="O940" s="15"/>
      <c r="P940" s="14"/>
      <c r="Q940" s="16"/>
      <c r="R940" s="13" t="str">
        <f aca="false">IF(AND(B940&lt;&gt;"",L940&lt;&gt;""),L940-B940,"")</f>
        <v/>
      </c>
      <c r="S940" s="13" t="str">
        <f aca="true">IF(B940="","",IF(O940&lt;&gt;"",O940-B940,TODAY()-B940))</f>
        <v/>
      </c>
      <c r="T940" s="13" t="str">
        <f aca="false">IF(A940="","",SUMIF('Time Log'!$C$5:$C$1004,A940,'Time Log'!$E$5:$E$1004))</f>
        <v/>
      </c>
    </row>
    <row r="941" customFormat="false" ht="15" hidden="false" customHeight="false" outlineLevel="0" collapsed="false">
      <c r="A941" s="14"/>
      <c r="B941" s="15"/>
      <c r="C941" s="14"/>
      <c r="D941" s="14"/>
      <c r="E941" s="14"/>
      <c r="F941" s="14"/>
      <c r="G941" s="14"/>
      <c r="H941" s="14"/>
      <c r="I941" s="16"/>
      <c r="J941" s="17"/>
      <c r="K941" s="14"/>
      <c r="L941" s="15"/>
      <c r="M941" s="17"/>
      <c r="N941" s="14"/>
      <c r="O941" s="15"/>
      <c r="P941" s="14"/>
      <c r="Q941" s="16"/>
      <c r="R941" s="13" t="str">
        <f aca="false">IF(AND(B941&lt;&gt;"",L941&lt;&gt;""),L941-B941,"")</f>
        <v/>
      </c>
      <c r="S941" s="13" t="str">
        <f aca="true">IF(B941="","",IF(O941&lt;&gt;"",O941-B941,TODAY()-B941))</f>
        <v/>
      </c>
      <c r="T941" s="13" t="str">
        <f aca="false">IF(A941="","",SUMIF('Time Log'!$C$5:$C$1004,A941,'Time Log'!$E$5:$E$1004))</f>
        <v/>
      </c>
    </row>
    <row r="942" customFormat="false" ht="15" hidden="false" customHeight="false" outlineLevel="0" collapsed="false">
      <c r="A942" s="14"/>
      <c r="B942" s="15"/>
      <c r="C942" s="14"/>
      <c r="D942" s="14"/>
      <c r="E942" s="14"/>
      <c r="F942" s="14"/>
      <c r="G942" s="14"/>
      <c r="H942" s="14"/>
      <c r="I942" s="16"/>
      <c r="J942" s="17"/>
      <c r="K942" s="14"/>
      <c r="L942" s="15"/>
      <c r="M942" s="17"/>
      <c r="N942" s="14"/>
      <c r="O942" s="15"/>
      <c r="P942" s="14"/>
      <c r="Q942" s="16"/>
      <c r="R942" s="13" t="str">
        <f aca="false">IF(AND(B942&lt;&gt;"",L942&lt;&gt;""),L942-B942,"")</f>
        <v/>
      </c>
      <c r="S942" s="13" t="str">
        <f aca="true">IF(B942="","",IF(O942&lt;&gt;"",O942-B942,TODAY()-B942))</f>
        <v/>
      </c>
      <c r="T942" s="13" t="str">
        <f aca="false">IF(A942="","",SUMIF('Time Log'!$C$5:$C$1004,A942,'Time Log'!$E$5:$E$1004))</f>
        <v/>
      </c>
    </row>
    <row r="943" customFormat="false" ht="15" hidden="false" customHeight="false" outlineLevel="0" collapsed="false">
      <c r="A943" s="14"/>
      <c r="B943" s="15"/>
      <c r="C943" s="14"/>
      <c r="D943" s="14"/>
      <c r="E943" s="14"/>
      <c r="F943" s="14"/>
      <c r="G943" s="14"/>
      <c r="H943" s="14"/>
      <c r="I943" s="16"/>
      <c r="J943" s="17"/>
      <c r="K943" s="14"/>
      <c r="L943" s="15"/>
      <c r="M943" s="17"/>
      <c r="N943" s="14"/>
      <c r="O943" s="15"/>
      <c r="P943" s="14"/>
      <c r="Q943" s="16"/>
      <c r="R943" s="13" t="str">
        <f aca="false">IF(AND(B943&lt;&gt;"",L943&lt;&gt;""),L943-B943,"")</f>
        <v/>
      </c>
      <c r="S943" s="13" t="str">
        <f aca="true">IF(B943="","",IF(O943&lt;&gt;"",O943-B943,TODAY()-B943))</f>
        <v/>
      </c>
      <c r="T943" s="13" t="str">
        <f aca="false">IF(A943="","",SUMIF('Time Log'!$C$5:$C$1004,A943,'Time Log'!$E$5:$E$1004))</f>
        <v/>
      </c>
    </row>
    <row r="944" customFormat="false" ht="15" hidden="false" customHeight="false" outlineLevel="0" collapsed="false">
      <c r="A944" s="14"/>
      <c r="B944" s="15"/>
      <c r="C944" s="14"/>
      <c r="D944" s="14"/>
      <c r="E944" s="14"/>
      <c r="F944" s="14"/>
      <c r="G944" s="14"/>
      <c r="H944" s="14"/>
      <c r="I944" s="16"/>
      <c r="J944" s="17"/>
      <c r="K944" s="14"/>
      <c r="L944" s="15"/>
      <c r="M944" s="17"/>
      <c r="N944" s="14"/>
      <c r="O944" s="15"/>
      <c r="P944" s="14"/>
      <c r="Q944" s="16"/>
      <c r="R944" s="13" t="str">
        <f aca="false">IF(AND(B944&lt;&gt;"",L944&lt;&gt;""),L944-B944,"")</f>
        <v/>
      </c>
      <c r="S944" s="13" t="str">
        <f aca="true">IF(B944="","",IF(O944&lt;&gt;"",O944-B944,TODAY()-B944))</f>
        <v/>
      </c>
      <c r="T944" s="13" t="str">
        <f aca="false">IF(A944="","",SUMIF('Time Log'!$C$5:$C$1004,A944,'Time Log'!$E$5:$E$1004))</f>
        <v/>
      </c>
    </row>
    <row r="945" customFormat="false" ht="15" hidden="false" customHeight="false" outlineLevel="0" collapsed="false">
      <c r="A945" s="14"/>
      <c r="B945" s="15"/>
      <c r="C945" s="14"/>
      <c r="D945" s="14"/>
      <c r="E945" s="14"/>
      <c r="F945" s="14"/>
      <c r="G945" s="14"/>
      <c r="H945" s="14"/>
      <c r="I945" s="16"/>
      <c r="J945" s="17"/>
      <c r="K945" s="14"/>
      <c r="L945" s="15"/>
      <c r="M945" s="17"/>
      <c r="N945" s="14"/>
      <c r="O945" s="15"/>
      <c r="P945" s="14"/>
      <c r="Q945" s="16"/>
      <c r="R945" s="13" t="str">
        <f aca="false">IF(AND(B945&lt;&gt;"",L945&lt;&gt;""),L945-B945,"")</f>
        <v/>
      </c>
      <c r="S945" s="13" t="str">
        <f aca="true">IF(B945="","",IF(O945&lt;&gt;"",O945-B945,TODAY()-B945))</f>
        <v/>
      </c>
      <c r="T945" s="13" t="str">
        <f aca="false">IF(A945="","",SUMIF('Time Log'!$C$5:$C$1004,A945,'Time Log'!$E$5:$E$1004))</f>
        <v/>
      </c>
    </row>
    <row r="946" customFormat="false" ht="15" hidden="false" customHeight="false" outlineLevel="0" collapsed="false">
      <c r="A946" s="14"/>
      <c r="B946" s="15"/>
      <c r="C946" s="14"/>
      <c r="D946" s="14"/>
      <c r="E946" s="14"/>
      <c r="F946" s="14"/>
      <c r="G946" s="14"/>
      <c r="H946" s="14"/>
      <c r="I946" s="16"/>
      <c r="J946" s="17"/>
      <c r="K946" s="14"/>
      <c r="L946" s="15"/>
      <c r="M946" s="17"/>
      <c r="N946" s="14"/>
      <c r="O946" s="15"/>
      <c r="P946" s="14"/>
      <c r="Q946" s="16"/>
      <c r="R946" s="13" t="str">
        <f aca="false">IF(AND(B946&lt;&gt;"",L946&lt;&gt;""),L946-B946,"")</f>
        <v/>
      </c>
      <c r="S946" s="13" t="str">
        <f aca="true">IF(B946="","",IF(O946&lt;&gt;"",O946-B946,TODAY()-B946))</f>
        <v/>
      </c>
      <c r="T946" s="13" t="str">
        <f aca="false">IF(A946="","",SUMIF('Time Log'!$C$5:$C$1004,A946,'Time Log'!$E$5:$E$1004))</f>
        <v/>
      </c>
    </row>
    <row r="947" customFormat="false" ht="15" hidden="false" customHeight="false" outlineLevel="0" collapsed="false">
      <c r="A947" s="14"/>
      <c r="B947" s="15"/>
      <c r="C947" s="14"/>
      <c r="D947" s="14"/>
      <c r="E947" s="14"/>
      <c r="F947" s="14"/>
      <c r="G947" s="14"/>
      <c r="H947" s="14"/>
      <c r="I947" s="16"/>
      <c r="J947" s="17"/>
      <c r="K947" s="14"/>
      <c r="L947" s="15"/>
      <c r="M947" s="17"/>
      <c r="N947" s="14"/>
      <c r="O947" s="15"/>
      <c r="P947" s="14"/>
      <c r="Q947" s="16"/>
      <c r="R947" s="13" t="str">
        <f aca="false">IF(AND(B947&lt;&gt;"",L947&lt;&gt;""),L947-B947,"")</f>
        <v/>
      </c>
      <c r="S947" s="13" t="str">
        <f aca="true">IF(B947="","",IF(O947&lt;&gt;"",O947-B947,TODAY()-B947))</f>
        <v/>
      </c>
      <c r="T947" s="13" t="str">
        <f aca="false">IF(A947="","",SUMIF('Time Log'!$C$5:$C$1004,A947,'Time Log'!$E$5:$E$1004))</f>
        <v/>
      </c>
    </row>
    <row r="948" customFormat="false" ht="15" hidden="false" customHeight="false" outlineLevel="0" collapsed="false">
      <c r="A948" s="14"/>
      <c r="B948" s="15"/>
      <c r="C948" s="14"/>
      <c r="D948" s="14"/>
      <c r="E948" s="14"/>
      <c r="F948" s="14"/>
      <c r="G948" s="14"/>
      <c r="H948" s="14"/>
      <c r="I948" s="16"/>
      <c r="J948" s="17"/>
      <c r="K948" s="14"/>
      <c r="L948" s="15"/>
      <c r="M948" s="17"/>
      <c r="N948" s="14"/>
      <c r="O948" s="15"/>
      <c r="P948" s="14"/>
      <c r="Q948" s="16"/>
      <c r="R948" s="13" t="str">
        <f aca="false">IF(AND(B948&lt;&gt;"",L948&lt;&gt;""),L948-B948,"")</f>
        <v/>
      </c>
      <c r="S948" s="13" t="str">
        <f aca="true">IF(B948="","",IF(O948&lt;&gt;"",O948-B948,TODAY()-B948))</f>
        <v/>
      </c>
      <c r="T948" s="13" t="str">
        <f aca="false">IF(A948="","",SUMIF('Time Log'!$C$5:$C$1004,A948,'Time Log'!$E$5:$E$1004))</f>
        <v/>
      </c>
    </row>
    <row r="949" customFormat="false" ht="15" hidden="false" customHeight="false" outlineLevel="0" collapsed="false">
      <c r="A949" s="14"/>
      <c r="B949" s="15"/>
      <c r="C949" s="14"/>
      <c r="D949" s="14"/>
      <c r="E949" s="14"/>
      <c r="F949" s="14"/>
      <c r="G949" s="14"/>
      <c r="H949" s="14"/>
      <c r="I949" s="16"/>
      <c r="J949" s="17"/>
      <c r="K949" s="14"/>
      <c r="L949" s="15"/>
      <c r="M949" s="17"/>
      <c r="N949" s="14"/>
      <c r="O949" s="15"/>
      <c r="P949" s="14"/>
      <c r="Q949" s="16"/>
      <c r="R949" s="13" t="str">
        <f aca="false">IF(AND(B949&lt;&gt;"",L949&lt;&gt;""),L949-B949,"")</f>
        <v/>
      </c>
      <c r="S949" s="13" t="str">
        <f aca="true">IF(B949="","",IF(O949&lt;&gt;"",O949-B949,TODAY()-B949))</f>
        <v/>
      </c>
      <c r="T949" s="13" t="str">
        <f aca="false">IF(A949="","",SUMIF('Time Log'!$C$5:$C$1004,A949,'Time Log'!$E$5:$E$1004))</f>
        <v/>
      </c>
    </row>
    <row r="950" customFormat="false" ht="15" hidden="false" customHeight="false" outlineLevel="0" collapsed="false">
      <c r="A950" s="14"/>
      <c r="B950" s="15"/>
      <c r="C950" s="14"/>
      <c r="D950" s="14"/>
      <c r="E950" s="14"/>
      <c r="F950" s="14"/>
      <c r="G950" s="14"/>
      <c r="H950" s="14"/>
      <c r="I950" s="16"/>
      <c r="J950" s="17"/>
      <c r="K950" s="14"/>
      <c r="L950" s="15"/>
      <c r="M950" s="17"/>
      <c r="N950" s="14"/>
      <c r="O950" s="15"/>
      <c r="P950" s="14"/>
      <c r="Q950" s="16"/>
      <c r="R950" s="13" t="str">
        <f aca="false">IF(AND(B950&lt;&gt;"",L950&lt;&gt;""),L950-B950,"")</f>
        <v/>
      </c>
      <c r="S950" s="13" t="str">
        <f aca="true">IF(B950="","",IF(O950&lt;&gt;"",O950-B950,TODAY()-B950))</f>
        <v/>
      </c>
      <c r="T950" s="13" t="str">
        <f aca="false">IF(A950="","",SUMIF('Time Log'!$C$5:$C$1004,A950,'Time Log'!$E$5:$E$1004))</f>
        <v/>
      </c>
    </row>
    <row r="951" customFormat="false" ht="15" hidden="false" customHeight="false" outlineLevel="0" collapsed="false">
      <c r="A951" s="14"/>
      <c r="B951" s="15"/>
      <c r="C951" s="14"/>
      <c r="D951" s="14"/>
      <c r="E951" s="14"/>
      <c r="F951" s="14"/>
      <c r="G951" s="14"/>
      <c r="H951" s="14"/>
      <c r="I951" s="16"/>
      <c r="J951" s="17"/>
      <c r="K951" s="14"/>
      <c r="L951" s="15"/>
      <c r="M951" s="17"/>
      <c r="N951" s="14"/>
      <c r="O951" s="15"/>
      <c r="P951" s="14"/>
      <c r="Q951" s="16"/>
      <c r="R951" s="13" t="str">
        <f aca="false">IF(AND(B951&lt;&gt;"",L951&lt;&gt;""),L951-B951,"")</f>
        <v/>
      </c>
      <c r="S951" s="13" t="str">
        <f aca="true">IF(B951="","",IF(O951&lt;&gt;"",O951-B951,TODAY()-B951))</f>
        <v/>
      </c>
      <c r="T951" s="13" t="str">
        <f aca="false">IF(A951="","",SUMIF('Time Log'!$C$5:$C$1004,A951,'Time Log'!$E$5:$E$1004))</f>
        <v/>
      </c>
    </row>
    <row r="952" customFormat="false" ht="15" hidden="false" customHeight="false" outlineLevel="0" collapsed="false">
      <c r="A952" s="14"/>
      <c r="B952" s="15"/>
      <c r="C952" s="14"/>
      <c r="D952" s="14"/>
      <c r="E952" s="14"/>
      <c r="F952" s="14"/>
      <c r="G952" s="14"/>
      <c r="H952" s="14"/>
      <c r="I952" s="16"/>
      <c r="J952" s="17"/>
      <c r="K952" s="14"/>
      <c r="L952" s="15"/>
      <c r="M952" s="17"/>
      <c r="N952" s="14"/>
      <c r="O952" s="15"/>
      <c r="P952" s="14"/>
      <c r="Q952" s="16"/>
      <c r="R952" s="13" t="str">
        <f aca="false">IF(AND(B952&lt;&gt;"",L952&lt;&gt;""),L952-B952,"")</f>
        <v/>
      </c>
      <c r="S952" s="13" t="str">
        <f aca="true">IF(B952="","",IF(O952&lt;&gt;"",O952-B952,TODAY()-B952))</f>
        <v/>
      </c>
      <c r="T952" s="13" t="str">
        <f aca="false">IF(A952="","",SUMIF('Time Log'!$C$5:$C$1004,A952,'Time Log'!$E$5:$E$1004))</f>
        <v/>
      </c>
    </row>
    <row r="953" customFormat="false" ht="15" hidden="false" customHeight="false" outlineLevel="0" collapsed="false">
      <c r="A953" s="14"/>
      <c r="B953" s="15"/>
      <c r="C953" s="14"/>
      <c r="D953" s="14"/>
      <c r="E953" s="14"/>
      <c r="F953" s="14"/>
      <c r="G953" s="14"/>
      <c r="H953" s="14"/>
      <c r="I953" s="16"/>
      <c r="J953" s="17"/>
      <c r="K953" s="14"/>
      <c r="L953" s="15"/>
      <c r="M953" s="17"/>
      <c r="N953" s="14"/>
      <c r="O953" s="15"/>
      <c r="P953" s="14"/>
      <c r="Q953" s="16"/>
      <c r="R953" s="13" t="str">
        <f aca="false">IF(AND(B953&lt;&gt;"",L953&lt;&gt;""),L953-B953,"")</f>
        <v/>
      </c>
      <c r="S953" s="13" t="str">
        <f aca="true">IF(B953="","",IF(O953&lt;&gt;"",O953-B953,TODAY()-B953))</f>
        <v/>
      </c>
      <c r="T953" s="13" t="str">
        <f aca="false">IF(A953="","",SUMIF('Time Log'!$C$5:$C$1004,A953,'Time Log'!$E$5:$E$1004))</f>
        <v/>
      </c>
    </row>
    <row r="954" customFormat="false" ht="15" hidden="false" customHeight="false" outlineLevel="0" collapsed="false">
      <c r="A954" s="14"/>
      <c r="B954" s="15"/>
      <c r="C954" s="14"/>
      <c r="D954" s="14"/>
      <c r="E954" s="14"/>
      <c r="F954" s="14"/>
      <c r="G954" s="14"/>
      <c r="H954" s="14"/>
      <c r="I954" s="16"/>
      <c r="J954" s="17"/>
      <c r="K954" s="14"/>
      <c r="L954" s="15"/>
      <c r="M954" s="17"/>
      <c r="N954" s="14"/>
      <c r="O954" s="15"/>
      <c r="P954" s="14"/>
      <c r="Q954" s="16"/>
      <c r="R954" s="13" t="str">
        <f aca="false">IF(AND(B954&lt;&gt;"",L954&lt;&gt;""),L954-B954,"")</f>
        <v/>
      </c>
      <c r="S954" s="13" t="str">
        <f aca="true">IF(B954="","",IF(O954&lt;&gt;"",O954-B954,TODAY()-B954))</f>
        <v/>
      </c>
      <c r="T954" s="13" t="str">
        <f aca="false">IF(A954="","",SUMIF('Time Log'!$C$5:$C$1004,A954,'Time Log'!$E$5:$E$1004))</f>
        <v/>
      </c>
    </row>
    <row r="955" customFormat="false" ht="15" hidden="false" customHeight="false" outlineLevel="0" collapsed="false">
      <c r="A955" s="14"/>
      <c r="B955" s="15"/>
      <c r="C955" s="14"/>
      <c r="D955" s="14"/>
      <c r="E955" s="14"/>
      <c r="F955" s="14"/>
      <c r="G955" s="14"/>
      <c r="H955" s="14"/>
      <c r="I955" s="16"/>
      <c r="J955" s="17"/>
      <c r="K955" s="14"/>
      <c r="L955" s="15"/>
      <c r="M955" s="17"/>
      <c r="N955" s="14"/>
      <c r="O955" s="15"/>
      <c r="P955" s="14"/>
      <c r="Q955" s="16"/>
      <c r="R955" s="13" t="str">
        <f aca="false">IF(AND(B955&lt;&gt;"",L955&lt;&gt;""),L955-B955,"")</f>
        <v/>
      </c>
      <c r="S955" s="13" t="str">
        <f aca="true">IF(B955="","",IF(O955&lt;&gt;"",O955-B955,TODAY()-B955))</f>
        <v/>
      </c>
      <c r="T955" s="13" t="str">
        <f aca="false">IF(A955="","",SUMIF('Time Log'!$C$5:$C$1004,A955,'Time Log'!$E$5:$E$1004))</f>
        <v/>
      </c>
    </row>
    <row r="956" customFormat="false" ht="15" hidden="false" customHeight="false" outlineLevel="0" collapsed="false">
      <c r="A956" s="14"/>
      <c r="B956" s="15"/>
      <c r="C956" s="14"/>
      <c r="D956" s="14"/>
      <c r="E956" s="14"/>
      <c r="F956" s="14"/>
      <c r="G956" s="14"/>
      <c r="H956" s="14"/>
      <c r="I956" s="16"/>
      <c r="J956" s="17"/>
      <c r="K956" s="14"/>
      <c r="L956" s="15"/>
      <c r="M956" s="17"/>
      <c r="N956" s="14"/>
      <c r="O956" s="15"/>
      <c r="P956" s="14"/>
      <c r="Q956" s="16"/>
      <c r="R956" s="13" t="str">
        <f aca="false">IF(AND(B956&lt;&gt;"",L956&lt;&gt;""),L956-B956,"")</f>
        <v/>
      </c>
      <c r="S956" s="13" t="str">
        <f aca="true">IF(B956="","",IF(O956&lt;&gt;"",O956-B956,TODAY()-B956))</f>
        <v/>
      </c>
      <c r="T956" s="13" t="str">
        <f aca="false">IF(A956="","",SUMIF('Time Log'!$C$5:$C$1004,A956,'Time Log'!$E$5:$E$1004))</f>
        <v/>
      </c>
    </row>
    <row r="957" customFormat="false" ht="15" hidden="false" customHeight="false" outlineLevel="0" collapsed="false">
      <c r="A957" s="14"/>
      <c r="B957" s="15"/>
      <c r="C957" s="14"/>
      <c r="D957" s="14"/>
      <c r="E957" s="14"/>
      <c r="F957" s="14"/>
      <c r="G957" s="14"/>
      <c r="H957" s="14"/>
      <c r="I957" s="16"/>
      <c r="J957" s="17"/>
      <c r="K957" s="14"/>
      <c r="L957" s="15"/>
      <c r="M957" s="17"/>
      <c r="N957" s="14"/>
      <c r="O957" s="15"/>
      <c r="P957" s="14"/>
      <c r="Q957" s="16"/>
      <c r="R957" s="13" t="str">
        <f aca="false">IF(AND(B957&lt;&gt;"",L957&lt;&gt;""),L957-B957,"")</f>
        <v/>
      </c>
      <c r="S957" s="13" t="str">
        <f aca="true">IF(B957="","",IF(O957&lt;&gt;"",O957-B957,TODAY()-B957))</f>
        <v/>
      </c>
      <c r="T957" s="13" t="str">
        <f aca="false">IF(A957="","",SUMIF('Time Log'!$C$5:$C$1004,A957,'Time Log'!$E$5:$E$1004))</f>
        <v/>
      </c>
    </row>
    <row r="958" customFormat="false" ht="15" hidden="false" customHeight="false" outlineLevel="0" collapsed="false">
      <c r="A958" s="14"/>
      <c r="B958" s="15"/>
      <c r="C958" s="14"/>
      <c r="D958" s="14"/>
      <c r="E958" s="14"/>
      <c r="F958" s="14"/>
      <c r="G958" s="14"/>
      <c r="H958" s="14"/>
      <c r="I958" s="16"/>
      <c r="J958" s="17"/>
      <c r="K958" s="14"/>
      <c r="L958" s="15"/>
      <c r="M958" s="17"/>
      <c r="N958" s="14"/>
      <c r="O958" s="15"/>
      <c r="P958" s="14"/>
      <c r="Q958" s="16"/>
      <c r="R958" s="13" t="str">
        <f aca="false">IF(AND(B958&lt;&gt;"",L958&lt;&gt;""),L958-B958,"")</f>
        <v/>
      </c>
      <c r="S958" s="13" t="str">
        <f aca="true">IF(B958="","",IF(O958&lt;&gt;"",O958-B958,TODAY()-B958))</f>
        <v/>
      </c>
      <c r="T958" s="13" t="str">
        <f aca="false">IF(A958="","",SUMIF('Time Log'!$C$5:$C$1004,A958,'Time Log'!$E$5:$E$1004))</f>
        <v/>
      </c>
    </row>
    <row r="959" customFormat="false" ht="15" hidden="false" customHeight="false" outlineLevel="0" collapsed="false">
      <c r="A959" s="14"/>
      <c r="B959" s="15"/>
      <c r="C959" s="14"/>
      <c r="D959" s="14"/>
      <c r="E959" s="14"/>
      <c r="F959" s="14"/>
      <c r="G959" s="14"/>
      <c r="H959" s="14"/>
      <c r="I959" s="16"/>
      <c r="J959" s="17"/>
      <c r="K959" s="14"/>
      <c r="L959" s="15"/>
      <c r="M959" s="17"/>
      <c r="N959" s="14"/>
      <c r="O959" s="15"/>
      <c r="P959" s="14"/>
      <c r="Q959" s="16"/>
      <c r="R959" s="13" t="str">
        <f aca="false">IF(AND(B959&lt;&gt;"",L959&lt;&gt;""),L959-B959,"")</f>
        <v/>
      </c>
      <c r="S959" s="13" t="str">
        <f aca="true">IF(B959="","",IF(O959&lt;&gt;"",O959-B959,TODAY()-B959))</f>
        <v/>
      </c>
      <c r="T959" s="13" t="str">
        <f aca="false">IF(A959="","",SUMIF('Time Log'!$C$5:$C$1004,A959,'Time Log'!$E$5:$E$1004))</f>
        <v/>
      </c>
    </row>
    <row r="960" customFormat="false" ht="15" hidden="false" customHeight="false" outlineLevel="0" collapsed="false">
      <c r="A960" s="14"/>
      <c r="B960" s="15"/>
      <c r="C960" s="14"/>
      <c r="D960" s="14"/>
      <c r="E960" s="14"/>
      <c r="F960" s="14"/>
      <c r="G960" s="14"/>
      <c r="H960" s="14"/>
      <c r="I960" s="16"/>
      <c r="J960" s="17"/>
      <c r="K960" s="14"/>
      <c r="L960" s="15"/>
      <c r="M960" s="17"/>
      <c r="N960" s="14"/>
      <c r="O960" s="15"/>
      <c r="P960" s="14"/>
      <c r="Q960" s="16"/>
      <c r="R960" s="13" t="str">
        <f aca="false">IF(AND(B960&lt;&gt;"",L960&lt;&gt;""),L960-B960,"")</f>
        <v/>
      </c>
      <c r="S960" s="13" t="str">
        <f aca="true">IF(B960="","",IF(O960&lt;&gt;"",O960-B960,TODAY()-B960))</f>
        <v/>
      </c>
      <c r="T960" s="13" t="str">
        <f aca="false">IF(A960="","",SUMIF('Time Log'!$C$5:$C$1004,A960,'Time Log'!$E$5:$E$1004))</f>
        <v/>
      </c>
    </row>
    <row r="961" customFormat="false" ht="15" hidden="false" customHeight="false" outlineLevel="0" collapsed="false">
      <c r="A961" s="14"/>
      <c r="B961" s="15"/>
      <c r="C961" s="14"/>
      <c r="D961" s="14"/>
      <c r="E961" s="14"/>
      <c r="F961" s="14"/>
      <c r="G961" s="14"/>
      <c r="H961" s="14"/>
      <c r="I961" s="16"/>
      <c r="J961" s="17"/>
      <c r="K961" s="14"/>
      <c r="L961" s="15"/>
      <c r="M961" s="17"/>
      <c r="N961" s="14"/>
      <c r="O961" s="15"/>
      <c r="P961" s="14"/>
      <c r="Q961" s="16"/>
      <c r="R961" s="13" t="str">
        <f aca="false">IF(AND(B961&lt;&gt;"",L961&lt;&gt;""),L961-B961,"")</f>
        <v/>
      </c>
      <c r="S961" s="13" t="str">
        <f aca="true">IF(B961="","",IF(O961&lt;&gt;"",O961-B961,TODAY()-B961))</f>
        <v/>
      </c>
      <c r="T961" s="13" t="str">
        <f aca="false">IF(A961="","",SUMIF('Time Log'!$C$5:$C$1004,A961,'Time Log'!$E$5:$E$1004))</f>
        <v/>
      </c>
    </row>
    <row r="962" customFormat="false" ht="15" hidden="false" customHeight="false" outlineLevel="0" collapsed="false">
      <c r="A962" s="14"/>
      <c r="B962" s="15"/>
      <c r="C962" s="14"/>
      <c r="D962" s="14"/>
      <c r="E962" s="14"/>
      <c r="F962" s="14"/>
      <c r="G962" s="14"/>
      <c r="H962" s="14"/>
      <c r="I962" s="16"/>
      <c r="J962" s="17"/>
      <c r="K962" s="14"/>
      <c r="L962" s="15"/>
      <c r="M962" s="17"/>
      <c r="N962" s="14"/>
      <c r="O962" s="15"/>
      <c r="P962" s="14"/>
      <c r="Q962" s="16"/>
      <c r="R962" s="13" t="str">
        <f aca="false">IF(AND(B962&lt;&gt;"",L962&lt;&gt;""),L962-B962,"")</f>
        <v/>
      </c>
      <c r="S962" s="13" t="str">
        <f aca="true">IF(B962="","",IF(O962&lt;&gt;"",O962-B962,TODAY()-B962))</f>
        <v/>
      </c>
      <c r="T962" s="13" t="str">
        <f aca="false">IF(A962="","",SUMIF('Time Log'!$C$5:$C$1004,A962,'Time Log'!$E$5:$E$1004))</f>
        <v/>
      </c>
    </row>
    <row r="963" customFormat="false" ht="15" hidden="false" customHeight="false" outlineLevel="0" collapsed="false">
      <c r="A963" s="14"/>
      <c r="B963" s="15"/>
      <c r="C963" s="14"/>
      <c r="D963" s="14"/>
      <c r="E963" s="14"/>
      <c r="F963" s="14"/>
      <c r="G963" s="14"/>
      <c r="H963" s="14"/>
      <c r="I963" s="16"/>
      <c r="J963" s="17"/>
      <c r="K963" s="14"/>
      <c r="L963" s="15"/>
      <c r="M963" s="17"/>
      <c r="N963" s="14"/>
      <c r="O963" s="15"/>
      <c r="P963" s="14"/>
      <c r="Q963" s="16"/>
      <c r="R963" s="13" t="str">
        <f aca="false">IF(AND(B963&lt;&gt;"",L963&lt;&gt;""),L963-B963,"")</f>
        <v/>
      </c>
      <c r="S963" s="13" t="str">
        <f aca="true">IF(B963="","",IF(O963&lt;&gt;"",O963-B963,TODAY()-B963))</f>
        <v/>
      </c>
      <c r="T963" s="13" t="str">
        <f aca="false">IF(A963="","",SUMIF('Time Log'!$C$5:$C$1004,A963,'Time Log'!$E$5:$E$1004))</f>
        <v/>
      </c>
    </row>
    <row r="964" customFormat="false" ht="15" hidden="false" customHeight="false" outlineLevel="0" collapsed="false">
      <c r="A964" s="14"/>
      <c r="B964" s="15"/>
      <c r="C964" s="14"/>
      <c r="D964" s="14"/>
      <c r="E964" s="14"/>
      <c r="F964" s="14"/>
      <c r="G964" s="14"/>
      <c r="H964" s="14"/>
      <c r="I964" s="16"/>
      <c r="J964" s="17"/>
      <c r="K964" s="14"/>
      <c r="L964" s="15"/>
      <c r="M964" s="17"/>
      <c r="N964" s="14"/>
      <c r="O964" s="15"/>
      <c r="P964" s="14"/>
      <c r="Q964" s="16"/>
      <c r="R964" s="13" t="str">
        <f aca="false">IF(AND(B964&lt;&gt;"",L964&lt;&gt;""),L964-B964,"")</f>
        <v/>
      </c>
      <c r="S964" s="13" t="str">
        <f aca="true">IF(B964="","",IF(O964&lt;&gt;"",O964-B964,TODAY()-B964))</f>
        <v/>
      </c>
      <c r="T964" s="13" t="str">
        <f aca="false">IF(A964="","",SUMIF('Time Log'!$C$5:$C$1004,A964,'Time Log'!$E$5:$E$1004))</f>
        <v/>
      </c>
    </row>
    <row r="965" customFormat="false" ht="15" hidden="false" customHeight="false" outlineLevel="0" collapsed="false">
      <c r="A965" s="14"/>
      <c r="B965" s="15"/>
      <c r="C965" s="14"/>
      <c r="D965" s="14"/>
      <c r="E965" s="14"/>
      <c r="F965" s="14"/>
      <c r="G965" s="14"/>
      <c r="H965" s="14"/>
      <c r="I965" s="16"/>
      <c r="J965" s="17"/>
      <c r="K965" s="14"/>
      <c r="L965" s="15"/>
      <c r="M965" s="17"/>
      <c r="N965" s="14"/>
      <c r="O965" s="15"/>
      <c r="P965" s="14"/>
      <c r="Q965" s="16"/>
      <c r="R965" s="13" t="str">
        <f aca="false">IF(AND(B965&lt;&gt;"",L965&lt;&gt;""),L965-B965,"")</f>
        <v/>
      </c>
      <c r="S965" s="13" t="str">
        <f aca="true">IF(B965="","",IF(O965&lt;&gt;"",O965-B965,TODAY()-B965))</f>
        <v/>
      </c>
      <c r="T965" s="13" t="str">
        <f aca="false">IF(A965="","",SUMIF('Time Log'!$C$5:$C$1004,A965,'Time Log'!$E$5:$E$1004))</f>
        <v/>
      </c>
    </row>
    <row r="966" customFormat="false" ht="15" hidden="false" customHeight="false" outlineLevel="0" collapsed="false">
      <c r="A966" s="14"/>
      <c r="B966" s="15"/>
      <c r="C966" s="14"/>
      <c r="D966" s="14"/>
      <c r="E966" s="14"/>
      <c r="F966" s="14"/>
      <c r="G966" s="14"/>
      <c r="H966" s="14"/>
      <c r="I966" s="16"/>
      <c r="J966" s="17"/>
      <c r="K966" s="14"/>
      <c r="L966" s="15"/>
      <c r="M966" s="17"/>
      <c r="N966" s="14"/>
      <c r="O966" s="15"/>
      <c r="P966" s="14"/>
      <c r="Q966" s="16"/>
      <c r="R966" s="13" t="str">
        <f aca="false">IF(AND(B966&lt;&gt;"",L966&lt;&gt;""),L966-B966,"")</f>
        <v/>
      </c>
      <c r="S966" s="13" t="str">
        <f aca="true">IF(B966="","",IF(O966&lt;&gt;"",O966-B966,TODAY()-B966))</f>
        <v/>
      </c>
      <c r="T966" s="13" t="str">
        <f aca="false">IF(A966="","",SUMIF('Time Log'!$C$5:$C$1004,A966,'Time Log'!$E$5:$E$1004))</f>
        <v/>
      </c>
    </row>
    <row r="967" customFormat="false" ht="15" hidden="false" customHeight="false" outlineLevel="0" collapsed="false">
      <c r="A967" s="14"/>
      <c r="B967" s="15"/>
      <c r="C967" s="14"/>
      <c r="D967" s="14"/>
      <c r="E967" s="14"/>
      <c r="F967" s="14"/>
      <c r="G967" s="14"/>
      <c r="H967" s="14"/>
      <c r="I967" s="16"/>
      <c r="J967" s="17"/>
      <c r="K967" s="14"/>
      <c r="L967" s="15"/>
      <c r="M967" s="17"/>
      <c r="N967" s="14"/>
      <c r="O967" s="15"/>
      <c r="P967" s="14"/>
      <c r="Q967" s="16"/>
      <c r="R967" s="13" t="str">
        <f aca="false">IF(AND(B967&lt;&gt;"",L967&lt;&gt;""),L967-B967,"")</f>
        <v/>
      </c>
      <c r="S967" s="13" t="str">
        <f aca="true">IF(B967="","",IF(O967&lt;&gt;"",O967-B967,TODAY()-B967))</f>
        <v/>
      </c>
      <c r="T967" s="13" t="str">
        <f aca="false">IF(A967="","",SUMIF('Time Log'!$C$5:$C$1004,A967,'Time Log'!$E$5:$E$1004))</f>
        <v/>
      </c>
    </row>
    <row r="968" customFormat="false" ht="15" hidden="false" customHeight="false" outlineLevel="0" collapsed="false">
      <c r="A968" s="14"/>
      <c r="B968" s="15"/>
      <c r="C968" s="14"/>
      <c r="D968" s="14"/>
      <c r="E968" s="14"/>
      <c r="F968" s="14"/>
      <c r="G968" s="14"/>
      <c r="H968" s="14"/>
      <c r="I968" s="16"/>
      <c r="J968" s="17"/>
      <c r="K968" s="14"/>
      <c r="L968" s="15"/>
      <c r="M968" s="17"/>
      <c r="N968" s="14"/>
      <c r="O968" s="15"/>
      <c r="P968" s="14"/>
      <c r="Q968" s="16"/>
      <c r="R968" s="13" t="str">
        <f aca="false">IF(AND(B968&lt;&gt;"",L968&lt;&gt;""),L968-B968,"")</f>
        <v/>
      </c>
      <c r="S968" s="13" t="str">
        <f aca="true">IF(B968="","",IF(O968&lt;&gt;"",O968-B968,TODAY()-B968))</f>
        <v/>
      </c>
      <c r="T968" s="13" t="str">
        <f aca="false">IF(A968="","",SUMIF('Time Log'!$C$5:$C$1004,A968,'Time Log'!$E$5:$E$1004))</f>
        <v/>
      </c>
    </row>
    <row r="969" customFormat="false" ht="15" hidden="false" customHeight="false" outlineLevel="0" collapsed="false">
      <c r="A969" s="14"/>
      <c r="B969" s="15"/>
      <c r="C969" s="14"/>
      <c r="D969" s="14"/>
      <c r="E969" s="14"/>
      <c r="F969" s="14"/>
      <c r="G969" s="14"/>
      <c r="H969" s="14"/>
      <c r="I969" s="16"/>
      <c r="J969" s="17"/>
      <c r="K969" s="14"/>
      <c r="L969" s="15"/>
      <c r="M969" s="17"/>
      <c r="N969" s="14"/>
      <c r="O969" s="15"/>
      <c r="P969" s="14"/>
      <c r="Q969" s="16"/>
      <c r="R969" s="13" t="str">
        <f aca="false">IF(AND(B969&lt;&gt;"",L969&lt;&gt;""),L969-B969,"")</f>
        <v/>
      </c>
      <c r="S969" s="13" t="str">
        <f aca="true">IF(B969="","",IF(O969&lt;&gt;"",O969-B969,TODAY()-B969))</f>
        <v/>
      </c>
      <c r="T969" s="13" t="str">
        <f aca="false">IF(A969="","",SUMIF('Time Log'!$C$5:$C$1004,A969,'Time Log'!$E$5:$E$1004))</f>
        <v/>
      </c>
    </row>
    <row r="970" customFormat="false" ht="15" hidden="false" customHeight="false" outlineLevel="0" collapsed="false">
      <c r="A970" s="14"/>
      <c r="B970" s="15"/>
      <c r="C970" s="14"/>
      <c r="D970" s="14"/>
      <c r="E970" s="14"/>
      <c r="F970" s="14"/>
      <c r="G970" s="14"/>
      <c r="H970" s="14"/>
      <c r="I970" s="16"/>
      <c r="J970" s="17"/>
      <c r="K970" s="14"/>
      <c r="L970" s="15"/>
      <c r="M970" s="17"/>
      <c r="N970" s="14"/>
      <c r="O970" s="15"/>
      <c r="P970" s="14"/>
      <c r="Q970" s="16"/>
      <c r="R970" s="13" t="str">
        <f aca="false">IF(AND(B970&lt;&gt;"",L970&lt;&gt;""),L970-B970,"")</f>
        <v/>
      </c>
      <c r="S970" s="13" t="str">
        <f aca="true">IF(B970="","",IF(O970&lt;&gt;"",O970-B970,TODAY()-B970))</f>
        <v/>
      </c>
      <c r="T970" s="13" t="str">
        <f aca="false">IF(A970="","",SUMIF('Time Log'!$C$5:$C$1004,A970,'Time Log'!$E$5:$E$1004))</f>
        <v/>
      </c>
    </row>
    <row r="971" customFormat="false" ht="15" hidden="false" customHeight="false" outlineLevel="0" collapsed="false">
      <c r="A971" s="14"/>
      <c r="B971" s="15"/>
      <c r="C971" s="14"/>
      <c r="D971" s="14"/>
      <c r="E971" s="14"/>
      <c r="F971" s="14"/>
      <c r="G971" s="14"/>
      <c r="H971" s="14"/>
      <c r="I971" s="16"/>
      <c r="J971" s="17"/>
      <c r="K971" s="14"/>
      <c r="L971" s="15"/>
      <c r="M971" s="17"/>
      <c r="N971" s="14"/>
      <c r="O971" s="15"/>
      <c r="P971" s="14"/>
      <c r="Q971" s="16"/>
      <c r="R971" s="13" t="str">
        <f aca="false">IF(AND(B971&lt;&gt;"",L971&lt;&gt;""),L971-B971,"")</f>
        <v/>
      </c>
      <c r="S971" s="13" t="str">
        <f aca="true">IF(B971="","",IF(O971&lt;&gt;"",O971-B971,TODAY()-B971))</f>
        <v/>
      </c>
      <c r="T971" s="13" t="str">
        <f aca="false">IF(A971="","",SUMIF('Time Log'!$C$5:$C$1004,A971,'Time Log'!$E$5:$E$1004))</f>
        <v/>
      </c>
    </row>
    <row r="972" customFormat="false" ht="15" hidden="false" customHeight="false" outlineLevel="0" collapsed="false">
      <c r="A972" s="14"/>
      <c r="B972" s="15"/>
      <c r="C972" s="14"/>
      <c r="D972" s="14"/>
      <c r="E972" s="14"/>
      <c r="F972" s="14"/>
      <c r="G972" s="14"/>
      <c r="H972" s="14"/>
      <c r="I972" s="16"/>
      <c r="J972" s="17"/>
      <c r="K972" s="14"/>
      <c r="L972" s="15"/>
      <c r="M972" s="17"/>
      <c r="N972" s="14"/>
      <c r="O972" s="15"/>
      <c r="P972" s="14"/>
      <c r="Q972" s="16"/>
      <c r="R972" s="13" t="str">
        <f aca="false">IF(AND(B972&lt;&gt;"",L972&lt;&gt;""),L972-B972,"")</f>
        <v/>
      </c>
      <c r="S972" s="13" t="str">
        <f aca="true">IF(B972="","",IF(O972&lt;&gt;"",O972-B972,TODAY()-B972))</f>
        <v/>
      </c>
      <c r="T972" s="13" t="str">
        <f aca="false">IF(A972="","",SUMIF('Time Log'!$C$5:$C$1004,A972,'Time Log'!$E$5:$E$1004))</f>
        <v/>
      </c>
    </row>
    <row r="973" customFormat="false" ht="15" hidden="false" customHeight="false" outlineLevel="0" collapsed="false">
      <c r="A973" s="14"/>
      <c r="B973" s="15"/>
      <c r="C973" s="14"/>
      <c r="D973" s="14"/>
      <c r="E973" s="14"/>
      <c r="F973" s="14"/>
      <c r="G973" s="14"/>
      <c r="H973" s="14"/>
      <c r="I973" s="16"/>
      <c r="J973" s="17"/>
      <c r="K973" s="14"/>
      <c r="L973" s="15"/>
      <c r="M973" s="17"/>
      <c r="N973" s="14"/>
      <c r="O973" s="15"/>
      <c r="P973" s="14"/>
      <c r="Q973" s="16"/>
      <c r="R973" s="13" t="str">
        <f aca="false">IF(AND(B973&lt;&gt;"",L973&lt;&gt;""),L973-B973,"")</f>
        <v/>
      </c>
      <c r="S973" s="13" t="str">
        <f aca="true">IF(B973="","",IF(O973&lt;&gt;"",O973-B973,TODAY()-B973))</f>
        <v/>
      </c>
      <c r="T973" s="13" t="str">
        <f aca="false">IF(A973="","",SUMIF('Time Log'!$C$5:$C$1004,A973,'Time Log'!$E$5:$E$1004))</f>
        <v/>
      </c>
    </row>
    <row r="974" customFormat="false" ht="15" hidden="false" customHeight="false" outlineLevel="0" collapsed="false">
      <c r="A974" s="14"/>
      <c r="B974" s="15"/>
      <c r="C974" s="14"/>
      <c r="D974" s="14"/>
      <c r="E974" s="14"/>
      <c r="F974" s="14"/>
      <c r="G974" s="14"/>
      <c r="H974" s="14"/>
      <c r="I974" s="16"/>
      <c r="J974" s="17"/>
      <c r="K974" s="14"/>
      <c r="L974" s="15"/>
      <c r="M974" s="17"/>
      <c r="N974" s="14"/>
      <c r="O974" s="15"/>
      <c r="P974" s="14"/>
      <c r="Q974" s="16"/>
      <c r="R974" s="13" t="str">
        <f aca="false">IF(AND(B974&lt;&gt;"",L974&lt;&gt;""),L974-B974,"")</f>
        <v/>
      </c>
      <c r="S974" s="13" t="str">
        <f aca="true">IF(B974="","",IF(O974&lt;&gt;"",O974-B974,TODAY()-B974))</f>
        <v/>
      </c>
      <c r="T974" s="13" t="str">
        <f aca="false">IF(A974="","",SUMIF('Time Log'!$C$5:$C$1004,A974,'Time Log'!$E$5:$E$1004))</f>
        <v/>
      </c>
    </row>
    <row r="975" customFormat="false" ht="15" hidden="false" customHeight="false" outlineLevel="0" collapsed="false">
      <c r="A975" s="14"/>
      <c r="B975" s="15"/>
      <c r="C975" s="14"/>
      <c r="D975" s="14"/>
      <c r="E975" s="14"/>
      <c r="F975" s="14"/>
      <c r="G975" s="14"/>
      <c r="H975" s="14"/>
      <c r="I975" s="16"/>
      <c r="J975" s="17"/>
      <c r="K975" s="14"/>
      <c r="L975" s="15"/>
      <c r="M975" s="17"/>
      <c r="N975" s="14"/>
      <c r="O975" s="15"/>
      <c r="P975" s="14"/>
      <c r="Q975" s="16"/>
      <c r="R975" s="13" t="str">
        <f aca="false">IF(AND(B975&lt;&gt;"",L975&lt;&gt;""),L975-B975,"")</f>
        <v/>
      </c>
      <c r="S975" s="13" t="str">
        <f aca="true">IF(B975="","",IF(O975&lt;&gt;"",O975-B975,TODAY()-B975))</f>
        <v/>
      </c>
      <c r="T975" s="13" t="str">
        <f aca="false">IF(A975="","",SUMIF('Time Log'!$C$5:$C$1004,A975,'Time Log'!$E$5:$E$1004))</f>
        <v/>
      </c>
    </row>
    <row r="976" customFormat="false" ht="15" hidden="false" customHeight="false" outlineLevel="0" collapsed="false">
      <c r="A976" s="14"/>
      <c r="B976" s="15"/>
      <c r="C976" s="14"/>
      <c r="D976" s="14"/>
      <c r="E976" s="14"/>
      <c r="F976" s="14"/>
      <c r="G976" s="14"/>
      <c r="H976" s="14"/>
      <c r="I976" s="16"/>
      <c r="J976" s="17"/>
      <c r="K976" s="14"/>
      <c r="L976" s="15"/>
      <c r="M976" s="17"/>
      <c r="N976" s="14"/>
      <c r="O976" s="15"/>
      <c r="P976" s="14"/>
      <c r="Q976" s="16"/>
      <c r="R976" s="13" t="str">
        <f aca="false">IF(AND(B976&lt;&gt;"",L976&lt;&gt;""),L976-B976,"")</f>
        <v/>
      </c>
      <c r="S976" s="13" t="str">
        <f aca="true">IF(B976="","",IF(O976&lt;&gt;"",O976-B976,TODAY()-B976))</f>
        <v/>
      </c>
      <c r="T976" s="13" t="str">
        <f aca="false">IF(A976="","",SUMIF('Time Log'!$C$5:$C$1004,A976,'Time Log'!$E$5:$E$1004))</f>
        <v/>
      </c>
    </row>
    <row r="977" customFormat="false" ht="15" hidden="false" customHeight="false" outlineLevel="0" collapsed="false">
      <c r="A977" s="14"/>
      <c r="B977" s="15"/>
      <c r="C977" s="14"/>
      <c r="D977" s="14"/>
      <c r="E977" s="14"/>
      <c r="F977" s="14"/>
      <c r="G977" s="14"/>
      <c r="H977" s="14"/>
      <c r="I977" s="16"/>
      <c r="J977" s="17"/>
      <c r="K977" s="14"/>
      <c r="L977" s="15"/>
      <c r="M977" s="17"/>
      <c r="N977" s="14"/>
      <c r="O977" s="15"/>
      <c r="P977" s="14"/>
      <c r="Q977" s="16"/>
      <c r="R977" s="13" t="str">
        <f aca="false">IF(AND(B977&lt;&gt;"",L977&lt;&gt;""),L977-B977,"")</f>
        <v/>
      </c>
      <c r="S977" s="13" t="str">
        <f aca="true">IF(B977="","",IF(O977&lt;&gt;"",O977-B977,TODAY()-B977))</f>
        <v/>
      </c>
      <c r="T977" s="13" t="str">
        <f aca="false">IF(A977="","",SUMIF('Time Log'!$C$5:$C$1004,A977,'Time Log'!$E$5:$E$1004))</f>
        <v/>
      </c>
    </row>
    <row r="978" customFormat="false" ht="15" hidden="false" customHeight="false" outlineLevel="0" collapsed="false">
      <c r="A978" s="14"/>
      <c r="B978" s="15"/>
      <c r="C978" s="14"/>
      <c r="D978" s="14"/>
      <c r="E978" s="14"/>
      <c r="F978" s="14"/>
      <c r="G978" s="14"/>
      <c r="H978" s="14"/>
      <c r="I978" s="16"/>
      <c r="J978" s="17"/>
      <c r="K978" s="14"/>
      <c r="L978" s="15"/>
      <c r="M978" s="17"/>
      <c r="N978" s="14"/>
      <c r="O978" s="15"/>
      <c r="P978" s="14"/>
      <c r="Q978" s="16"/>
      <c r="R978" s="13" t="str">
        <f aca="false">IF(AND(B978&lt;&gt;"",L978&lt;&gt;""),L978-B978,"")</f>
        <v/>
      </c>
      <c r="S978" s="13" t="str">
        <f aca="true">IF(B978="","",IF(O978&lt;&gt;"",O978-B978,TODAY()-B978))</f>
        <v/>
      </c>
      <c r="T978" s="13" t="str">
        <f aca="false">IF(A978="","",SUMIF('Time Log'!$C$5:$C$1004,A978,'Time Log'!$E$5:$E$1004))</f>
        <v/>
      </c>
    </row>
    <row r="979" customFormat="false" ht="15" hidden="false" customHeight="false" outlineLevel="0" collapsed="false">
      <c r="A979" s="14"/>
      <c r="B979" s="15"/>
      <c r="C979" s="14"/>
      <c r="D979" s="14"/>
      <c r="E979" s="14"/>
      <c r="F979" s="14"/>
      <c r="G979" s="14"/>
      <c r="H979" s="14"/>
      <c r="I979" s="16"/>
      <c r="J979" s="17"/>
      <c r="K979" s="14"/>
      <c r="L979" s="15"/>
      <c r="M979" s="17"/>
      <c r="N979" s="14"/>
      <c r="O979" s="15"/>
      <c r="P979" s="14"/>
      <c r="Q979" s="16"/>
      <c r="R979" s="13" t="str">
        <f aca="false">IF(AND(B979&lt;&gt;"",L979&lt;&gt;""),L979-B979,"")</f>
        <v/>
      </c>
      <c r="S979" s="13" t="str">
        <f aca="true">IF(B979="","",IF(O979&lt;&gt;"",O979-B979,TODAY()-B979))</f>
        <v/>
      </c>
      <c r="T979" s="13" t="str">
        <f aca="false">IF(A979="","",SUMIF('Time Log'!$C$5:$C$1004,A979,'Time Log'!$E$5:$E$1004))</f>
        <v/>
      </c>
    </row>
    <row r="980" customFormat="false" ht="15" hidden="false" customHeight="false" outlineLevel="0" collapsed="false">
      <c r="A980" s="14"/>
      <c r="B980" s="15"/>
      <c r="C980" s="14"/>
      <c r="D980" s="14"/>
      <c r="E980" s="14"/>
      <c r="F980" s="14"/>
      <c r="G980" s="14"/>
      <c r="H980" s="14"/>
      <c r="I980" s="16"/>
      <c r="J980" s="17"/>
      <c r="K980" s="14"/>
      <c r="L980" s="15"/>
      <c r="M980" s="17"/>
      <c r="N980" s="14"/>
      <c r="O980" s="15"/>
      <c r="P980" s="14"/>
      <c r="Q980" s="16"/>
      <c r="R980" s="13" t="str">
        <f aca="false">IF(AND(B980&lt;&gt;"",L980&lt;&gt;""),L980-B980,"")</f>
        <v/>
      </c>
      <c r="S980" s="13" t="str">
        <f aca="true">IF(B980="","",IF(O980&lt;&gt;"",O980-B980,TODAY()-B980))</f>
        <v/>
      </c>
      <c r="T980" s="13" t="str">
        <f aca="false">IF(A980="","",SUMIF('Time Log'!$C$5:$C$1004,A980,'Time Log'!$E$5:$E$1004))</f>
        <v/>
      </c>
    </row>
    <row r="981" customFormat="false" ht="15" hidden="false" customHeight="false" outlineLevel="0" collapsed="false">
      <c r="A981" s="14"/>
      <c r="B981" s="15"/>
      <c r="C981" s="14"/>
      <c r="D981" s="14"/>
      <c r="E981" s="14"/>
      <c r="F981" s="14"/>
      <c r="G981" s="14"/>
      <c r="H981" s="14"/>
      <c r="I981" s="16"/>
      <c r="J981" s="17"/>
      <c r="K981" s="14"/>
      <c r="L981" s="15"/>
      <c r="M981" s="17"/>
      <c r="N981" s="14"/>
      <c r="O981" s="15"/>
      <c r="P981" s="14"/>
      <c r="Q981" s="16"/>
      <c r="R981" s="13" t="str">
        <f aca="false">IF(AND(B981&lt;&gt;"",L981&lt;&gt;""),L981-B981,"")</f>
        <v/>
      </c>
      <c r="S981" s="13" t="str">
        <f aca="true">IF(B981="","",IF(O981&lt;&gt;"",O981-B981,TODAY()-B981))</f>
        <v/>
      </c>
      <c r="T981" s="13" t="str">
        <f aca="false">IF(A981="","",SUMIF('Time Log'!$C$5:$C$1004,A981,'Time Log'!$E$5:$E$1004))</f>
        <v/>
      </c>
    </row>
    <row r="982" customFormat="false" ht="15" hidden="false" customHeight="false" outlineLevel="0" collapsed="false">
      <c r="A982" s="14"/>
      <c r="B982" s="15"/>
      <c r="C982" s="14"/>
      <c r="D982" s="14"/>
      <c r="E982" s="14"/>
      <c r="F982" s="14"/>
      <c r="G982" s="14"/>
      <c r="H982" s="14"/>
      <c r="I982" s="16"/>
      <c r="J982" s="17"/>
      <c r="K982" s="14"/>
      <c r="L982" s="15"/>
      <c r="M982" s="17"/>
      <c r="N982" s="14"/>
      <c r="O982" s="15"/>
      <c r="P982" s="14"/>
      <c r="Q982" s="16"/>
      <c r="R982" s="13" t="str">
        <f aca="false">IF(AND(B982&lt;&gt;"",L982&lt;&gt;""),L982-B982,"")</f>
        <v/>
      </c>
      <c r="S982" s="13" t="str">
        <f aca="true">IF(B982="","",IF(O982&lt;&gt;"",O982-B982,TODAY()-B982))</f>
        <v/>
      </c>
      <c r="T982" s="13" t="str">
        <f aca="false">IF(A982="","",SUMIF('Time Log'!$C$5:$C$1004,A982,'Time Log'!$E$5:$E$1004))</f>
        <v/>
      </c>
    </row>
    <row r="983" customFormat="false" ht="15" hidden="false" customHeight="false" outlineLevel="0" collapsed="false">
      <c r="A983" s="14"/>
      <c r="B983" s="15"/>
      <c r="C983" s="14"/>
      <c r="D983" s="14"/>
      <c r="E983" s="14"/>
      <c r="F983" s="14"/>
      <c r="G983" s="14"/>
      <c r="H983" s="14"/>
      <c r="I983" s="16"/>
      <c r="J983" s="17"/>
      <c r="K983" s="14"/>
      <c r="L983" s="15"/>
      <c r="M983" s="17"/>
      <c r="N983" s="14"/>
      <c r="O983" s="15"/>
      <c r="P983" s="14"/>
      <c r="Q983" s="16"/>
      <c r="R983" s="13" t="str">
        <f aca="false">IF(AND(B983&lt;&gt;"",L983&lt;&gt;""),L983-B983,"")</f>
        <v/>
      </c>
      <c r="S983" s="13" t="str">
        <f aca="true">IF(B983="","",IF(O983&lt;&gt;"",O983-B983,TODAY()-B983))</f>
        <v/>
      </c>
      <c r="T983" s="13" t="str">
        <f aca="false">IF(A983="","",SUMIF('Time Log'!$C$5:$C$1004,A983,'Time Log'!$E$5:$E$1004))</f>
        <v/>
      </c>
    </row>
    <row r="984" customFormat="false" ht="15" hidden="false" customHeight="false" outlineLevel="0" collapsed="false">
      <c r="A984" s="14"/>
      <c r="B984" s="15"/>
      <c r="C984" s="14"/>
      <c r="D984" s="14"/>
      <c r="E984" s="14"/>
      <c r="F984" s="14"/>
      <c r="G984" s="14"/>
      <c r="H984" s="14"/>
      <c r="I984" s="16"/>
      <c r="J984" s="17"/>
      <c r="K984" s="14"/>
      <c r="L984" s="15"/>
      <c r="M984" s="17"/>
      <c r="N984" s="14"/>
      <c r="O984" s="15"/>
      <c r="P984" s="14"/>
      <c r="Q984" s="16"/>
      <c r="R984" s="13" t="str">
        <f aca="false">IF(AND(B984&lt;&gt;"",L984&lt;&gt;""),L984-B984,"")</f>
        <v/>
      </c>
      <c r="S984" s="13" t="str">
        <f aca="true">IF(B984="","",IF(O984&lt;&gt;"",O984-B984,TODAY()-B984))</f>
        <v/>
      </c>
      <c r="T984" s="13" t="str">
        <f aca="false">IF(A984="","",SUMIF('Time Log'!$C$5:$C$1004,A984,'Time Log'!$E$5:$E$1004))</f>
        <v/>
      </c>
    </row>
    <row r="985" customFormat="false" ht="15" hidden="false" customHeight="false" outlineLevel="0" collapsed="false">
      <c r="A985" s="14"/>
      <c r="B985" s="15"/>
      <c r="C985" s="14"/>
      <c r="D985" s="14"/>
      <c r="E985" s="14"/>
      <c r="F985" s="14"/>
      <c r="G985" s="14"/>
      <c r="H985" s="14"/>
      <c r="I985" s="16"/>
      <c r="J985" s="17"/>
      <c r="K985" s="14"/>
      <c r="L985" s="15"/>
      <c r="M985" s="17"/>
      <c r="N985" s="14"/>
      <c r="O985" s="15"/>
      <c r="P985" s="14"/>
      <c r="Q985" s="16"/>
      <c r="R985" s="13" t="str">
        <f aca="false">IF(AND(B985&lt;&gt;"",L985&lt;&gt;""),L985-B985,"")</f>
        <v/>
      </c>
      <c r="S985" s="13" t="str">
        <f aca="true">IF(B985="","",IF(O985&lt;&gt;"",O985-B985,TODAY()-B985))</f>
        <v/>
      </c>
      <c r="T985" s="13" t="str">
        <f aca="false">IF(A985="","",SUMIF('Time Log'!$C$5:$C$1004,A985,'Time Log'!$E$5:$E$1004))</f>
        <v/>
      </c>
    </row>
    <row r="986" customFormat="false" ht="15" hidden="false" customHeight="false" outlineLevel="0" collapsed="false">
      <c r="A986" s="14"/>
      <c r="B986" s="15"/>
      <c r="C986" s="14"/>
      <c r="D986" s="14"/>
      <c r="E986" s="14"/>
      <c r="F986" s="14"/>
      <c r="G986" s="14"/>
      <c r="H986" s="14"/>
      <c r="I986" s="16"/>
      <c r="J986" s="17"/>
      <c r="K986" s="14"/>
      <c r="L986" s="15"/>
      <c r="M986" s="17"/>
      <c r="N986" s="14"/>
      <c r="O986" s="15"/>
      <c r="P986" s="14"/>
      <c r="Q986" s="16"/>
      <c r="R986" s="13" t="str">
        <f aca="false">IF(AND(B986&lt;&gt;"",L986&lt;&gt;""),L986-B986,"")</f>
        <v/>
      </c>
      <c r="S986" s="13" t="str">
        <f aca="true">IF(B986="","",IF(O986&lt;&gt;"",O986-B986,TODAY()-B986))</f>
        <v/>
      </c>
      <c r="T986" s="13" t="str">
        <f aca="false">IF(A986="","",SUMIF('Time Log'!$C$5:$C$1004,A986,'Time Log'!$E$5:$E$1004))</f>
        <v/>
      </c>
    </row>
    <row r="987" customFormat="false" ht="15" hidden="false" customHeight="false" outlineLevel="0" collapsed="false">
      <c r="A987" s="14"/>
      <c r="B987" s="15"/>
      <c r="C987" s="14"/>
      <c r="D987" s="14"/>
      <c r="E987" s="14"/>
      <c r="F987" s="14"/>
      <c r="G987" s="14"/>
      <c r="H987" s="14"/>
      <c r="I987" s="16"/>
      <c r="J987" s="17"/>
      <c r="K987" s="14"/>
      <c r="L987" s="15"/>
      <c r="M987" s="17"/>
      <c r="N987" s="14"/>
      <c r="O987" s="15"/>
      <c r="P987" s="14"/>
      <c r="Q987" s="16"/>
      <c r="R987" s="13" t="str">
        <f aca="false">IF(AND(B987&lt;&gt;"",L987&lt;&gt;""),L987-B987,"")</f>
        <v/>
      </c>
      <c r="S987" s="13" t="str">
        <f aca="true">IF(B987="","",IF(O987&lt;&gt;"",O987-B987,TODAY()-B987))</f>
        <v/>
      </c>
      <c r="T987" s="13" t="str">
        <f aca="false">IF(A987="","",SUMIF('Time Log'!$C$5:$C$1004,A987,'Time Log'!$E$5:$E$1004))</f>
        <v/>
      </c>
    </row>
    <row r="988" customFormat="false" ht="15" hidden="false" customHeight="false" outlineLevel="0" collapsed="false">
      <c r="A988" s="14"/>
      <c r="B988" s="15"/>
      <c r="C988" s="14"/>
      <c r="D988" s="14"/>
      <c r="E988" s="14"/>
      <c r="F988" s="14"/>
      <c r="G988" s="14"/>
      <c r="H988" s="14"/>
      <c r="I988" s="16"/>
      <c r="J988" s="17"/>
      <c r="K988" s="14"/>
      <c r="L988" s="15"/>
      <c r="M988" s="17"/>
      <c r="N988" s="14"/>
      <c r="O988" s="15"/>
      <c r="P988" s="14"/>
      <c r="Q988" s="16"/>
      <c r="R988" s="13" t="str">
        <f aca="false">IF(AND(B988&lt;&gt;"",L988&lt;&gt;""),L988-B988,"")</f>
        <v/>
      </c>
      <c r="S988" s="13" t="str">
        <f aca="true">IF(B988="","",IF(O988&lt;&gt;"",O988-B988,TODAY()-B988))</f>
        <v/>
      </c>
      <c r="T988" s="13" t="str">
        <f aca="false">IF(A988="","",SUMIF('Time Log'!$C$5:$C$1004,A988,'Time Log'!$E$5:$E$1004))</f>
        <v/>
      </c>
    </row>
    <row r="989" customFormat="false" ht="15" hidden="false" customHeight="false" outlineLevel="0" collapsed="false">
      <c r="A989" s="14"/>
      <c r="B989" s="15"/>
      <c r="C989" s="14"/>
      <c r="D989" s="14"/>
      <c r="E989" s="14"/>
      <c r="F989" s="14"/>
      <c r="G989" s="14"/>
      <c r="H989" s="14"/>
      <c r="I989" s="16"/>
      <c r="J989" s="17"/>
      <c r="K989" s="14"/>
      <c r="L989" s="15"/>
      <c r="M989" s="17"/>
      <c r="N989" s="14"/>
      <c r="O989" s="15"/>
      <c r="P989" s="14"/>
      <c r="Q989" s="16"/>
      <c r="R989" s="13" t="str">
        <f aca="false">IF(AND(B989&lt;&gt;"",L989&lt;&gt;""),L989-B989,"")</f>
        <v/>
      </c>
      <c r="S989" s="13" t="str">
        <f aca="true">IF(B989="","",IF(O989&lt;&gt;"",O989-B989,TODAY()-B989))</f>
        <v/>
      </c>
      <c r="T989" s="13" t="str">
        <f aca="false">IF(A989="","",SUMIF('Time Log'!$C$5:$C$1004,A989,'Time Log'!$E$5:$E$1004))</f>
        <v/>
      </c>
    </row>
    <row r="990" customFormat="false" ht="15" hidden="false" customHeight="false" outlineLevel="0" collapsed="false">
      <c r="A990" s="14"/>
      <c r="B990" s="15"/>
      <c r="C990" s="14"/>
      <c r="D990" s="14"/>
      <c r="E990" s="14"/>
      <c r="F990" s="14"/>
      <c r="G990" s="14"/>
      <c r="H990" s="14"/>
      <c r="I990" s="16"/>
      <c r="J990" s="17"/>
      <c r="K990" s="14"/>
      <c r="L990" s="15"/>
      <c r="M990" s="17"/>
      <c r="N990" s="14"/>
      <c r="O990" s="15"/>
      <c r="P990" s="14"/>
      <c r="Q990" s="16"/>
      <c r="R990" s="13" t="str">
        <f aca="false">IF(AND(B990&lt;&gt;"",L990&lt;&gt;""),L990-B990,"")</f>
        <v/>
      </c>
      <c r="S990" s="13" t="str">
        <f aca="true">IF(B990="","",IF(O990&lt;&gt;"",O990-B990,TODAY()-B990))</f>
        <v/>
      </c>
      <c r="T990" s="13" t="str">
        <f aca="false">IF(A990="","",SUMIF('Time Log'!$C$5:$C$1004,A990,'Time Log'!$E$5:$E$1004))</f>
        <v/>
      </c>
    </row>
    <row r="991" customFormat="false" ht="15" hidden="false" customHeight="false" outlineLevel="0" collapsed="false">
      <c r="A991" s="14"/>
      <c r="B991" s="15"/>
      <c r="C991" s="14"/>
      <c r="D991" s="14"/>
      <c r="E991" s="14"/>
      <c r="F991" s="14"/>
      <c r="G991" s="14"/>
      <c r="H991" s="14"/>
      <c r="I991" s="16"/>
      <c r="J991" s="17"/>
      <c r="K991" s="14"/>
      <c r="L991" s="15"/>
      <c r="M991" s="17"/>
      <c r="N991" s="14"/>
      <c r="O991" s="15"/>
      <c r="P991" s="14"/>
      <c r="Q991" s="16"/>
      <c r="R991" s="13" t="str">
        <f aca="false">IF(AND(B991&lt;&gt;"",L991&lt;&gt;""),L991-B991,"")</f>
        <v/>
      </c>
      <c r="S991" s="13" t="str">
        <f aca="true">IF(B991="","",IF(O991&lt;&gt;"",O991-B991,TODAY()-B991))</f>
        <v/>
      </c>
      <c r="T991" s="13" t="str">
        <f aca="false">IF(A991="","",SUMIF('Time Log'!$C$5:$C$1004,A991,'Time Log'!$E$5:$E$1004))</f>
        <v/>
      </c>
    </row>
    <row r="992" customFormat="false" ht="15" hidden="false" customHeight="false" outlineLevel="0" collapsed="false">
      <c r="A992" s="14"/>
      <c r="B992" s="15"/>
      <c r="C992" s="14"/>
      <c r="D992" s="14"/>
      <c r="E992" s="14"/>
      <c r="F992" s="14"/>
      <c r="G992" s="14"/>
      <c r="H992" s="14"/>
      <c r="I992" s="16"/>
      <c r="J992" s="17"/>
      <c r="K992" s="14"/>
      <c r="L992" s="15"/>
      <c r="M992" s="17"/>
      <c r="N992" s="14"/>
      <c r="O992" s="15"/>
      <c r="P992" s="14"/>
      <c r="Q992" s="16"/>
      <c r="R992" s="13" t="str">
        <f aca="false">IF(AND(B992&lt;&gt;"",L992&lt;&gt;""),L992-B992,"")</f>
        <v/>
      </c>
      <c r="S992" s="13" t="str">
        <f aca="true">IF(B992="","",IF(O992&lt;&gt;"",O992-B992,TODAY()-B992))</f>
        <v/>
      </c>
      <c r="T992" s="13" t="str">
        <f aca="false">IF(A992="","",SUMIF('Time Log'!$C$5:$C$1004,A992,'Time Log'!$E$5:$E$1004))</f>
        <v/>
      </c>
    </row>
    <row r="993" customFormat="false" ht="15" hidden="false" customHeight="false" outlineLevel="0" collapsed="false">
      <c r="A993" s="14"/>
      <c r="B993" s="15"/>
      <c r="C993" s="14"/>
      <c r="D993" s="14"/>
      <c r="E993" s="14"/>
      <c r="F993" s="14"/>
      <c r="G993" s="14"/>
      <c r="H993" s="14"/>
      <c r="I993" s="16"/>
      <c r="J993" s="17"/>
      <c r="K993" s="14"/>
      <c r="L993" s="15"/>
      <c r="M993" s="17"/>
      <c r="N993" s="14"/>
      <c r="O993" s="15"/>
      <c r="P993" s="14"/>
      <c r="Q993" s="16"/>
      <c r="R993" s="13" t="str">
        <f aca="false">IF(AND(B993&lt;&gt;"",L993&lt;&gt;""),L993-B993,"")</f>
        <v/>
      </c>
      <c r="S993" s="13" t="str">
        <f aca="true">IF(B993="","",IF(O993&lt;&gt;"",O993-B993,TODAY()-B993))</f>
        <v/>
      </c>
      <c r="T993" s="13" t="str">
        <f aca="false">IF(A993="","",SUMIF('Time Log'!$C$5:$C$1004,A993,'Time Log'!$E$5:$E$1004))</f>
        <v/>
      </c>
    </row>
    <row r="994" customFormat="false" ht="15" hidden="false" customHeight="false" outlineLevel="0" collapsed="false">
      <c r="A994" s="14"/>
      <c r="B994" s="15"/>
      <c r="C994" s="14"/>
      <c r="D994" s="14"/>
      <c r="E994" s="14"/>
      <c r="F994" s="14"/>
      <c r="G994" s="14"/>
      <c r="H994" s="14"/>
      <c r="I994" s="16"/>
      <c r="J994" s="17"/>
      <c r="K994" s="14"/>
      <c r="L994" s="15"/>
      <c r="M994" s="17"/>
      <c r="N994" s="14"/>
      <c r="O994" s="15"/>
      <c r="P994" s="14"/>
      <c r="Q994" s="16"/>
      <c r="R994" s="13" t="str">
        <f aca="false">IF(AND(B994&lt;&gt;"",L994&lt;&gt;""),L994-B994,"")</f>
        <v/>
      </c>
      <c r="S994" s="13" t="str">
        <f aca="true">IF(B994="","",IF(O994&lt;&gt;"",O994-B994,TODAY()-B994))</f>
        <v/>
      </c>
      <c r="T994" s="13" t="str">
        <f aca="false">IF(A994="","",SUMIF('Time Log'!$C$5:$C$1004,A994,'Time Log'!$E$5:$E$1004))</f>
        <v/>
      </c>
    </row>
    <row r="995" customFormat="false" ht="15" hidden="false" customHeight="false" outlineLevel="0" collapsed="false">
      <c r="A995" s="14"/>
      <c r="B995" s="15"/>
      <c r="C995" s="14"/>
      <c r="D995" s="14"/>
      <c r="E995" s="14"/>
      <c r="F995" s="14"/>
      <c r="G995" s="14"/>
      <c r="H995" s="14"/>
      <c r="I995" s="16"/>
      <c r="J995" s="17"/>
      <c r="K995" s="14"/>
      <c r="L995" s="15"/>
      <c r="M995" s="17"/>
      <c r="N995" s="14"/>
      <c r="O995" s="15"/>
      <c r="P995" s="14"/>
      <c r="Q995" s="16"/>
      <c r="R995" s="13" t="str">
        <f aca="false">IF(AND(B995&lt;&gt;"",L995&lt;&gt;""),L995-B995,"")</f>
        <v/>
      </c>
      <c r="S995" s="13" t="str">
        <f aca="true">IF(B995="","",IF(O995&lt;&gt;"",O995-B995,TODAY()-B995))</f>
        <v/>
      </c>
      <c r="T995" s="13" t="str">
        <f aca="false">IF(A995="","",SUMIF('Time Log'!$C$5:$C$1004,A995,'Time Log'!$E$5:$E$1004))</f>
        <v/>
      </c>
    </row>
    <row r="996" customFormat="false" ht="15" hidden="false" customHeight="false" outlineLevel="0" collapsed="false">
      <c r="A996" s="14"/>
      <c r="B996" s="15"/>
      <c r="C996" s="14"/>
      <c r="D996" s="14"/>
      <c r="E996" s="14"/>
      <c r="F996" s="14"/>
      <c r="G996" s="14"/>
      <c r="H996" s="14"/>
      <c r="I996" s="16"/>
      <c r="J996" s="17"/>
      <c r="K996" s="14"/>
      <c r="L996" s="15"/>
      <c r="M996" s="17"/>
      <c r="N996" s="14"/>
      <c r="O996" s="15"/>
      <c r="P996" s="14"/>
      <c r="Q996" s="16"/>
      <c r="R996" s="13" t="str">
        <f aca="false">IF(AND(B996&lt;&gt;"",L996&lt;&gt;""),L996-B996,"")</f>
        <v/>
      </c>
      <c r="S996" s="13" t="str">
        <f aca="true">IF(B996="","",IF(O996&lt;&gt;"",O996-B996,TODAY()-B996))</f>
        <v/>
      </c>
      <c r="T996" s="13" t="str">
        <f aca="false">IF(A996="","",SUMIF('Time Log'!$C$5:$C$1004,A996,'Time Log'!$E$5:$E$1004))</f>
        <v/>
      </c>
    </row>
    <row r="997" customFormat="false" ht="15" hidden="false" customHeight="false" outlineLevel="0" collapsed="false">
      <c r="A997" s="14"/>
      <c r="B997" s="15"/>
      <c r="C997" s="14"/>
      <c r="D997" s="14"/>
      <c r="E997" s="14"/>
      <c r="F997" s="14"/>
      <c r="G997" s="14"/>
      <c r="H997" s="14"/>
      <c r="I997" s="16"/>
      <c r="J997" s="17"/>
      <c r="K997" s="14"/>
      <c r="L997" s="15"/>
      <c r="M997" s="17"/>
      <c r="N997" s="14"/>
      <c r="O997" s="15"/>
      <c r="P997" s="14"/>
      <c r="Q997" s="16"/>
      <c r="R997" s="13" t="str">
        <f aca="false">IF(AND(B997&lt;&gt;"",L997&lt;&gt;""),L997-B997,"")</f>
        <v/>
      </c>
      <c r="S997" s="13" t="str">
        <f aca="true">IF(B997="","",IF(O997&lt;&gt;"",O997-B997,TODAY()-B997))</f>
        <v/>
      </c>
      <c r="T997" s="13" t="str">
        <f aca="false">IF(A997="","",SUMIF('Time Log'!$C$5:$C$1004,A997,'Time Log'!$E$5:$E$1004))</f>
        <v/>
      </c>
    </row>
    <row r="998" customFormat="false" ht="15" hidden="false" customHeight="false" outlineLevel="0" collapsed="false">
      <c r="A998" s="14"/>
      <c r="B998" s="15"/>
      <c r="C998" s="14"/>
      <c r="D998" s="14"/>
      <c r="E998" s="14"/>
      <c r="F998" s="14"/>
      <c r="G998" s="14"/>
      <c r="H998" s="14"/>
      <c r="I998" s="16"/>
      <c r="J998" s="17"/>
      <c r="K998" s="14"/>
      <c r="L998" s="15"/>
      <c r="M998" s="17"/>
      <c r="N998" s="14"/>
      <c r="O998" s="15"/>
      <c r="P998" s="14"/>
      <c r="Q998" s="16"/>
      <c r="R998" s="13" t="str">
        <f aca="false">IF(AND(B998&lt;&gt;"",L998&lt;&gt;""),L998-B998,"")</f>
        <v/>
      </c>
      <c r="S998" s="13" t="str">
        <f aca="true">IF(B998="","",IF(O998&lt;&gt;"",O998-B998,TODAY()-B998))</f>
        <v/>
      </c>
      <c r="T998" s="13" t="str">
        <f aca="false">IF(A998="","",SUMIF('Time Log'!$C$5:$C$1004,A998,'Time Log'!$E$5:$E$1004))</f>
        <v/>
      </c>
    </row>
    <row r="999" customFormat="false" ht="15" hidden="false" customHeight="false" outlineLevel="0" collapsed="false">
      <c r="A999" s="14"/>
      <c r="B999" s="15"/>
      <c r="C999" s="14"/>
      <c r="D999" s="14"/>
      <c r="E999" s="14"/>
      <c r="F999" s="14"/>
      <c r="G999" s="14"/>
      <c r="H999" s="14"/>
      <c r="I999" s="16"/>
      <c r="J999" s="17"/>
      <c r="K999" s="14"/>
      <c r="L999" s="15"/>
      <c r="M999" s="17"/>
      <c r="N999" s="14"/>
      <c r="O999" s="15"/>
      <c r="P999" s="14"/>
      <c r="Q999" s="16"/>
      <c r="R999" s="13" t="str">
        <f aca="false">IF(AND(B999&lt;&gt;"",L999&lt;&gt;""),L999-B999,"")</f>
        <v/>
      </c>
      <c r="S999" s="13" t="str">
        <f aca="true">IF(B999="","",IF(O999&lt;&gt;"",O999-B999,TODAY()-B999))</f>
        <v/>
      </c>
      <c r="T999" s="13" t="str">
        <f aca="false">IF(A999="","",SUMIF('Time Log'!$C$5:$C$1004,A999,'Time Log'!$E$5:$E$1004))</f>
        <v/>
      </c>
    </row>
    <row r="1000" customFormat="false" ht="15" hidden="false" customHeight="false" outlineLevel="0" collapsed="false">
      <c r="A1000" s="14"/>
      <c r="B1000" s="15"/>
      <c r="C1000" s="14"/>
      <c r="D1000" s="14"/>
      <c r="E1000" s="14"/>
      <c r="F1000" s="14"/>
      <c r="G1000" s="14"/>
      <c r="H1000" s="14"/>
      <c r="I1000" s="16"/>
      <c r="J1000" s="17"/>
      <c r="K1000" s="14"/>
      <c r="L1000" s="15"/>
      <c r="M1000" s="17"/>
      <c r="N1000" s="14"/>
      <c r="O1000" s="15"/>
      <c r="P1000" s="14"/>
      <c r="Q1000" s="16"/>
      <c r="R1000" s="13" t="str">
        <f aca="false">IF(AND(B1000&lt;&gt;"",L1000&lt;&gt;""),L1000-B1000,"")</f>
        <v/>
      </c>
      <c r="S1000" s="13" t="str">
        <f aca="true">IF(B1000="","",IF(O1000&lt;&gt;"",O1000-B1000,TODAY()-B1000))</f>
        <v/>
      </c>
      <c r="T1000" s="13" t="str">
        <f aca="false">IF(A1000="","",SUMIF('Time Log'!$C$5:$C$1004,A1000,'Time Log'!$E$5:$E$1004))</f>
        <v/>
      </c>
    </row>
    <row r="1001" customFormat="false" ht="15" hidden="false" customHeight="false" outlineLevel="0" collapsed="false">
      <c r="A1001" s="14"/>
      <c r="B1001" s="15"/>
      <c r="C1001" s="14"/>
      <c r="D1001" s="14"/>
      <c r="E1001" s="14"/>
      <c r="F1001" s="14"/>
      <c r="G1001" s="14"/>
      <c r="H1001" s="14"/>
      <c r="I1001" s="16"/>
      <c r="J1001" s="17"/>
      <c r="K1001" s="14"/>
      <c r="L1001" s="15"/>
      <c r="M1001" s="17"/>
      <c r="N1001" s="14"/>
      <c r="O1001" s="15"/>
      <c r="P1001" s="14"/>
      <c r="Q1001" s="16"/>
      <c r="R1001" s="13" t="str">
        <f aca="false">IF(AND(B1001&lt;&gt;"",L1001&lt;&gt;""),L1001-B1001,"")</f>
        <v/>
      </c>
      <c r="S1001" s="13" t="str">
        <f aca="true">IF(B1001="","",IF(O1001&lt;&gt;"",O1001-B1001,TODAY()-B1001))</f>
        <v/>
      </c>
      <c r="T1001" s="13" t="str">
        <f aca="false">IF(A1001="","",SUMIF('Time Log'!$C$5:$C$1004,A1001,'Time Log'!$E$5:$E$1004))</f>
        <v/>
      </c>
    </row>
    <row r="1002" customFormat="false" ht="15" hidden="false" customHeight="false" outlineLevel="0" collapsed="false">
      <c r="A1002" s="14"/>
      <c r="B1002" s="15"/>
      <c r="C1002" s="14"/>
      <c r="D1002" s="14"/>
      <c r="E1002" s="14"/>
      <c r="F1002" s="14"/>
      <c r="G1002" s="14"/>
      <c r="H1002" s="14"/>
      <c r="I1002" s="16"/>
      <c r="J1002" s="17"/>
      <c r="K1002" s="14"/>
      <c r="L1002" s="15"/>
      <c r="M1002" s="17"/>
      <c r="N1002" s="14"/>
      <c r="O1002" s="15"/>
      <c r="P1002" s="14"/>
      <c r="Q1002" s="16"/>
      <c r="R1002" s="13" t="str">
        <f aca="false">IF(AND(B1002&lt;&gt;"",L1002&lt;&gt;""),L1002-B1002,"")</f>
        <v/>
      </c>
      <c r="S1002" s="13" t="str">
        <f aca="true">IF(B1002="","",IF(O1002&lt;&gt;"",O1002-B1002,TODAY()-B1002))</f>
        <v/>
      </c>
      <c r="T1002" s="13" t="str">
        <f aca="false">IF(A1002="","",SUMIF('Time Log'!$C$5:$C$1004,A1002,'Time Log'!$E$5:$E$1004))</f>
        <v/>
      </c>
    </row>
    <row r="1003" customFormat="false" ht="15" hidden="false" customHeight="false" outlineLevel="0" collapsed="false">
      <c r="A1003" s="14"/>
      <c r="B1003" s="15"/>
      <c r="C1003" s="14"/>
      <c r="D1003" s="14"/>
      <c r="E1003" s="14"/>
      <c r="F1003" s="14"/>
      <c r="G1003" s="14"/>
      <c r="H1003" s="14"/>
      <c r="I1003" s="16"/>
      <c r="J1003" s="17"/>
      <c r="K1003" s="14"/>
      <c r="L1003" s="15"/>
      <c r="M1003" s="17"/>
      <c r="N1003" s="14"/>
      <c r="O1003" s="15"/>
      <c r="P1003" s="14"/>
      <c r="Q1003" s="16"/>
      <c r="R1003" s="13" t="str">
        <f aca="false">IF(AND(B1003&lt;&gt;"",L1003&lt;&gt;""),L1003-B1003,"")</f>
        <v/>
      </c>
      <c r="S1003" s="13" t="str">
        <f aca="true">IF(B1003="","",IF(O1003&lt;&gt;"",O1003-B1003,TODAY()-B1003))</f>
        <v/>
      </c>
      <c r="T1003" s="13" t="str">
        <f aca="false">IF(A1003="","",SUMIF('Time Log'!$C$5:$C$1004,A1003,'Time Log'!$E$5:$E$1004))</f>
        <v/>
      </c>
    </row>
    <row r="1004" customFormat="false" ht="15" hidden="false" customHeight="false" outlineLevel="0" collapsed="false">
      <c r="A1004" s="14"/>
      <c r="B1004" s="15"/>
      <c r="C1004" s="14"/>
      <c r="D1004" s="14"/>
      <c r="E1004" s="14"/>
      <c r="F1004" s="14"/>
      <c r="G1004" s="14"/>
      <c r="H1004" s="14"/>
      <c r="I1004" s="16"/>
      <c r="J1004" s="17"/>
      <c r="K1004" s="14"/>
      <c r="L1004" s="15"/>
      <c r="M1004" s="17"/>
      <c r="N1004" s="14"/>
      <c r="O1004" s="15"/>
      <c r="P1004" s="14"/>
      <c r="Q1004" s="16"/>
      <c r="R1004" s="13" t="str">
        <f aca="false">IF(AND(B1004&lt;&gt;"",L1004&lt;&gt;""),L1004-B1004,"")</f>
        <v/>
      </c>
      <c r="S1004" s="13" t="str">
        <f aca="true">IF(B1004="","",IF(O1004&lt;&gt;"",O1004-B1004,TODAY()-B1004))</f>
        <v/>
      </c>
      <c r="T1004" s="13" t="str">
        <f aca="false">IF(A1004="","",SUMIF('Time Log'!$C$5:$C$1004,A1004,'Time Log'!$E$5:$E$1004))</f>
        <v/>
      </c>
    </row>
  </sheetData>
  <autoFilter ref="A4:T1004"/>
  <dataValidations count="7">
    <dataValidation allowBlank="true" errorStyle="stop" operator="between" showDropDown="false" showErrorMessage="false" showInputMessage="false" sqref="D5:D1004" type="list">
      <formula1>Lists!$B$5:$B$40</formula1>
      <formula2>0</formula2>
    </dataValidation>
    <dataValidation allowBlank="true" errorStyle="stop" operator="between" showDropDown="false" showErrorMessage="false" showInputMessage="false" sqref="E5:E1004" type="list">
      <formula1>Lists!$A$5:$A$40</formula1>
      <formula2>0</formula2>
    </dataValidation>
    <dataValidation allowBlank="true" errorStyle="stop" operator="between" showDropDown="false" showErrorMessage="false" showInputMessage="false" sqref="H5:H1004" type="list">
      <formula1>Lists!$C$5:$C$40</formula1>
      <formula2>0</formula2>
    </dataValidation>
    <dataValidation allowBlank="true" errorStyle="stop" operator="between" showDropDown="false" showErrorMessage="false" showInputMessage="false" sqref="N5:N1004" type="list">
      <formula1>Lists!$D$5:$D$40</formula1>
      <formula2>0</formula2>
    </dataValidation>
    <dataValidation allowBlank="true" errorStyle="stop" operator="between" showDropDown="false" showErrorMessage="false" showInputMessage="false" sqref="P5:P1004" type="list">
      <formula1>Lists!$E$5:$E$40</formula1>
      <formula2>0</formula2>
    </dataValidation>
    <dataValidation allowBlank="true" error="This Dispute ID already exists." errorStyle="stop" operator="between" showDropDown="false" showErrorMessage="true" showInputMessage="false" sqref="A5:A1004" type="custom">
      <formula1>COUNTIF($A$5:$A$1004,A5)=1</formula1>
      <formula2>0</formula2>
    </dataValidation>
    <dataValidation allowBlank="true" error="Value maintained cannot exceed the value disputed." errorStyle="stop" operator="between" showDropDown="false" showErrorMessage="true" showInputMessage="false" sqref="Q5:Q1004" type="custom">
      <formula1>Q5&lt;=I5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8D"/>
    <pageSetUpPr fitToPage="false"/>
  </sheetPr>
  <dimension ref="A1:H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14"/>
    <col collapsed="false" customWidth="true" hidden="false" outlineLevel="0" max="4" min="4" style="0" width="26"/>
    <col collapsed="false" customWidth="true" hidden="false" outlineLevel="0" max="5" min="5" style="0" width="9"/>
    <col collapsed="false" customWidth="true" hidden="false" outlineLevel="0" max="6" min="6" style="0" width="13"/>
    <col collapsed="false" customWidth="true" hidden="false" outlineLevel="0" max="7" min="7" style="0" width="34"/>
    <col collapsed="false" customWidth="true" hidden="false" outlineLevel="0" max="8" min="8" style="0" width="11"/>
  </cols>
  <sheetData>
    <row r="1" customFormat="false" ht="17.35" hidden="false" customHeight="false" outlineLevel="0" collapsed="false">
      <c r="A1" s="1" t="s">
        <v>62</v>
      </c>
    </row>
    <row r="2" customFormat="false" ht="15" hidden="false" customHeight="false" outlineLevel="0" collapsed="false">
      <c r="A2" s="2" t="s">
        <v>63</v>
      </c>
    </row>
    <row r="4" customFormat="false" ht="33.75" hidden="false" customHeight="true" outlineLevel="0" collapsed="false">
      <c r="A4" s="7" t="s">
        <v>64</v>
      </c>
      <c r="B4" s="7" t="s">
        <v>65</v>
      </c>
      <c r="C4" s="7" t="s">
        <v>30</v>
      </c>
      <c r="D4" s="7" t="s">
        <v>66</v>
      </c>
      <c r="E4" s="7" t="s">
        <v>67</v>
      </c>
      <c r="F4" s="7" t="s">
        <v>68</v>
      </c>
      <c r="G4" s="7" t="s">
        <v>69</v>
      </c>
      <c r="H4" s="8" t="s">
        <v>70</v>
      </c>
    </row>
    <row r="5" customFormat="false" ht="15" hidden="false" customHeight="false" outlineLevel="0" collapsed="false">
      <c r="A5" s="18" t="n">
        <v>46302</v>
      </c>
      <c r="B5" s="19" t="s">
        <v>58</v>
      </c>
      <c r="C5" s="19" t="s">
        <v>50</v>
      </c>
      <c r="D5" s="19" t="s">
        <v>71</v>
      </c>
      <c r="E5" s="20" t="n">
        <v>1.5</v>
      </c>
      <c r="F5" s="19" t="s">
        <v>72</v>
      </c>
      <c r="G5" s="19" t="s">
        <v>73</v>
      </c>
      <c r="H5" s="21" t="n">
        <f aca="false">IF(A5="","",DATE(YEAR(A5),MONTH(A5),1))</f>
        <v>46296</v>
      </c>
    </row>
    <row r="6" customFormat="false" ht="15" hidden="false" customHeight="false" outlineLevel="0" collapsed="false">
      <c r="A6" s="22"/>
      <c r="B6" s="23"/>
      <c r="C6" s="23"/>
      <c r="D6" s="23"/>
      <c r="E6" s="24"/>
      <c r="F6" s="23"/>
      <c r="G6" s="23"/>
      <c r="H6" s="21" t="str">
        <f aca="false">IF(A6="","",DATE(YEAR(A6),MONTH(A6),1))</f>
        <v/>
      </c>
    </row>
    <row r="7" customFormat="false" ht="15" hidden="false" customHeight="false" outlineLevel="0" collapsed="false">
      <c r="A7" s="22"/>
      <c r="B7" s="23"/>
      <c r="C7" s="23"/>
      <c r="D7" s="23"/>
      <c r="E7" s="24"/>
      <c r="F7" s="23"/>
      <c r="G7" s="23"/>
      <c r="H7" s="21" t="str">
        <f aca="false">IF(A7="","",DATE(YEAR(A7),MONTH(A7),1))</f>
        <v/>
      </c>
    </row>
    <row r="8" customFormat="false" ht="15" hidden="false" customHeight="false" outlineLevel="0" collapsed="false">
      <c r="A8" s="22"/>
      <c r="B8" s="23"/>
      <c r="C8" s="23"/>
      <c r="D8" s="23"/>
      <c r="E8" s="24"/>
      <c r="F8" s="23"/>
      <c r="G8" s="23"/>
      <c r="H8" s="21" t="str">
        <f aca="false">IF(A8="","",DATE(YEAR(A8),MONTH(A8),1))</f>
        <v/>
      </c>
    </row>
    <row r="9" customFormat="false" ht="15" hidden="false" customHeight="false" outlineLevel="0" collapsed="false">
      <c r="A9" s="22"/>
      <c r="B9" s="23"/>
      <c r="C9" s="23"/>
      <c r="D9" s="23"/>
      <c r="E9" s="24"/>
      <c r="F9" s="23"/>
      <c r="G9" s="23"/>
      <c r="H9" s="21" t="str">
        <f aca="false">IF(A9="","",DATE(YEAR(A9),MONTH(A9),1))</f>
        <v/>
      </c>
    </row>
    <row r="10" customFormat="false" ht="15" hidden="false" customHeight="false" outlineLevel="0" collapsed="false">
      <c r="A10" s="22"/>
      <c r="B10" s="23"/>
      <c r="C10" s="23"/>
      <c r="D10" s="23"/>
      <c r="E10" s="24"/>
      <c r="F10" s="23"/>
      <c r="G10" s="23"/>
      <c r="H10" s="21" t="str">
        <f aca="false">IF(A10="","",DATE(YEAR(A10),MONTH(A10),1))</f>
        <v/>
      </c>
    </row>
    <row r="11" customFormat="false" ht="15" hidden="false" customHeight="false" outlineLevel="0" collapsed="false">
      <c r="A11" s="22"/>
      <c r="B11" s="23"/>
      <c r="C11" s="23"/>
      <c r="D11" s="23"/>
      <c r="E11" s="24"/>
      <c r="F11" s="23"/>
      <c r="G11" s="23"/>
      <c r="H11" s="21" t="str">
        <f aca="false">IF(A11="","",DATE(YEAR(A11),MONTH(A11),1))</f>
        <v/>
      </c>
    </row>
    <row r="12" customFormat="false" ht="15" hidden="false" customHeight="false" outlineLevel="0" collapsed="false">
      <c r="A12" s="22"/>
      <c r="B12" s="23"/>
      <c r="C12" s="23"/>
      <c r="D12" s="23"/>
      <c r="E12" s="24"/>
      <c r="F12" s="23"/>
      <c r="G12" s="23"/>
      <c r="H12" s="21" t="str">
        <f aca="false">IF(A12="","",DATE(YEAR(A12),MONTH(A12),1))</f>
        <v/>
      </c>
    </row>
    <row r="13" customFormat="false" ht="15" hidden="false" customHeight="false" outlineLevel="0" collapsed="false">
      <c r="A13" s="22"/>
      <c r="B13" s="23"/>
      <c r="C13" s="23"/>
      <c r="D13" s="23"/>
      <c r="E13" s="24"/>
      <c r="F13" s="23"/>
      <c r="G13" s="23"/>
      <c r="H13" s="21" t="str">
        <f aca="false">IF(A13="","",DATE(YEAR(A13),MONTH(A13),1))</f>
        <v/>
      </c>
    </row>
    <row r="14" customFormat="false" ht="15" hidden="false" customHeight="false" outlineLevel="0" collapsed="false">
      <c r="A14" s="22"/>
      <c r="B14" s="23"/>
      <c r="C14" s="23"/>
      <c r="D14" s="23"/>
      <c r="E14" s="24"/>
      <c r="F14" s="23"/>
      <c r="G14" s="23"/>
      <c r="H14" s="21" t="str">
        <f aca="false">IF(A14="","",DATE(YEAR(A14),MONTH(A14),1))</f>
        <v/>
      </c>
    </row>
    <row r="15" customFormat="false" ht="15" hidden="false" customHeight="false" outlineLevel="0" collapsed="false">
      <c r="A15" s="22"/>
      <c r="B15" s="23"/>
      <c r="C15" s="23"/>
      <c r="D15" s="23"/>
      <c r="E15" s="24"/>
      <c r="F15" s="23"/>
      <c r="G15" s="23"/>
      <c r="H15" s="21" t="str">
        <f aca="false">IF(A15="","",DATE(YEAR(A15),MONTH(A15),1))</f>
        <v/>
      </c>
    </row>
    <row r="16" customFormat="false" ht="15" hidden="false" customHeight="false" outlineLevel="0" collapsed="false">
      <c r="A16" s="22"/>
      <c r="B16" s="23"/>
      <c r="C16" s="23"/>
      <c r="D16" s="23"/>
      <c r="E16" s="24"/>
      <c r="F16" s="23"/>
      <c r="G16" s="23"/>
      <c r="H16" s="21" t="str">
        <f aca="false">IF(A16="","",DATE(YEAR(A16),MONTH(A16),1))</f>
        <v/>
      </c>
    </row>
    <row r="17" customFormat="false" ht="15" hidden="false" customHeight="false" outlineLevel="0" collapsed="false">
      <c r="A17" s="22"/>
      <c r="B17" s="23"/>
      <c r="C17" s="23"/>
      <c r="D17" s="23"/>
      <c r="E17" s="24"/>
      <c r="F17" s="23"/>
      <c r="G17" s="23"/>
      <c r="H17" s="21" t="str">
        <f aca="false">IF(A17="","",DATE(YEAR(A17),MONTH(A17),1))</f>
        <v/>
      </c>
    </row>
    <row r="18" customFormat="false" ht="15" hidden="false" customHeight="false" outlineLevel="0" collapsed="false">
      <c r="A18" s="22"/>
      <c r="B18" s="23"/>
      <c r="C18" s="23"/>
      <c r="D18" s="23"/>
      <c r="E18" s="24"/>
      <c r="F18" s="23"/>
      <c r="G18" s="23"/>
      <c r="H18" s="21" t="str">
        <f aca="false">IF(A18="","",DATE(YEAR(A18),MONTH(A18),1))</f>
        <v/>
      </c>
    </row>
    <row r="19" customFormat="false" ht="15" hidden="false" customHeight="false" outlineLevel="0" collapsed="false">
      <c r="A19" s="22"/>
      <c r="B19" s="23"/>
      <c r="C19" s="23"/>
      <c r="D19" s="23"/>
      <c r="E19" s="24"/>
      <c r="F19" s="23"/>
      <c r="G19" s="23"/>
      <c r="H19" s="21" t="str">
        <f aca="false">IF(A19="","",DATE(YEAR(A19),MONTH(A19),1))</f>
        <v/>
      </c>
    </row>
    <row r="20" customFormat="false" ht="15" hidden="false" customHeight="false" outlineLevel="0" collapsed="false">
      <c r="A20" s="22"/>
      <c r="B20" s="23"/>
      <c r="C20" s="23"/>
      <c r="D20" s="23"/>
      <c r="E20" s="24"/>
      <c r="F20" s="23"/>
      <c r="G20" s="23"/>
      <c r="H20" s="21" t="str">
        <f aca="false">IF(A20="","",DATE(YEAR(A20),MONTH(A20),1))</f>
        <v/>
      </c>
    </row>
    <row r="21" customFormat="false" ht="15" hidden="false" customHeight="false" outlineLevel="0" collapsed="false">
      <c r="A21" s="22"/>
      <c r="B21" s="23"/>
      <c r="C21" s="23"/>
      <c r="D21" s="23"/>
      <c r="E21" s="24"/>
      <c r="F21" s="23"/>
      <c r="G21" s="23"/>
      <c r="H21" s="21" t="str">
        <f aca="false">IF(A21="","",DATE(YEAR(A21),MONTH(A21),1))</f>
        <v/>
      </c>
    </row>
    <row r="22" customFormat="false" ht="15" hidden="false" customHeight="false" outlineLevel="0" collapsed="false">
      <c r="A22" s="22"/>
      <c r="B22" s="23"/>
      <c r="C22" s="23"/>
      <c r="D22" s="23"/>
      <c r="E22" s="24"/>
      <c r="F22" s="23"/>
      <c r="G22" s="23"/>
      <c r="H22" s="21" t="str">
        <f aca="false">IF(A22="","",DATE(YEAR(A22),MONTH(A22),1))</f>
        <v/>
      </c>
    </row>
    <row r="23" customFormat="false" ht="15" hidden="false" customHeight="false" outlineLevel="0" collapsed="false">
      <c r="A23" s="22"/>
      <c r="B23" s="23"/>
      <c r="C23" s="23"/>
      <c r="D23" s="23"/>
      <c r="E23" s="24"/>
      <c r="F23" s="23"/>
      <c r="G23" s="23"/>
      <c r="H23" s="21" t="str">
        <f aca="false">IF(A23="","",DATE(YEAR(A23),MONTH(A23),1))</f>
        <v/>
      </c>
    </row>
    <row r="24" customFormat="false" ht="15" hidden="false" customHeight="false" outlineLevel="0" collapsed="false">
      <c r="A24" s="22"/>
      <c r="B24" s="23"/>
      <c r="C24" s="23"/>
      <c r="D24" s="23"/>
      <c r="E24" s="24"/>
      <c r="F24" s="23"/>
      <c r="G24" s="23"/>
      <c r="H24" s="21" t="str">
        <f aca="false">IF(A24="","",DATE(YEAR(A24),MONTH(A24),1))</f>
        <v/>
      </c>
    </row>
    <row r="25" customFormat="false" ht="15" hidden="false" customHeight="false" outlineLevel="0" collapsed="false">
      <c r="A25" s="22"/>
      <c r="B25" s="23"/>
      <c r="C25" s="23"/>
      <c r="D25" s="23"/>
      <c r="E25" s="24"/>
      <c r="F25" s="23"/>
      <c r="G25" s="23"/>
      <c r="H25" s="21" t="str">
        <f aca="false">IF(A25="","",DATE(YEAR(A25),MONTH(A25),1))</f>
        <v/>
      </c>
    </row>
    <row r="26" customFormat="false" ht="15" hidden="false" customHeight="false" outlineLevel="0" collapsed="false">
      <c r="A26" s="22"/>
      <c r="B26" s="23"/>
      <c r="C26" s="23"/>
      <c r="D26" s="23"/>
      <c r="E26" s="24"/>
      <c r="F26" s="23"/>
      <c r="G26" s="23"/>
      <c r="H26" s="21" t="str">
        <f aca="false">IF(A26="","",DATE(YEAR(A26),MONTH(A26),1))</f>
        <v/>
      </c>
    </row>
    <row r="27" customFormat="false" ht="15" hidden="false" customHeight="false" outlineLevel="0" collapsed="false">
      <c r="A27" s="22"/>
      <c r="B27" s="23"/>
      <c r="C27" s="23"/>
      <c r="D27" s="23"/>
      <c r="E27" s="24"/>
      <c r="F27" s="23"/>
      <c r="G27" s="23"/>
      <c r="H27" s="21" t="str">
        <f aca="false">IF(A27="","",DATE(YEAR(A27),MONTH(A27),1))</f>
        <v/>
      </c>
    </row>
    <row r="28" customFormat="false" ht="15" hidden="false" customHeight="false" outlineLevel="0" collapsed="false">
      <c r="A28" s="22"/>
      <c r="B28" s="23"/>
      <c r="C28" s="23"/>
      <c r="D28" s="23"/>
      <c r="E28" s="24"/>
      <c r="F28" s="23"/>
      <c r="G28" s="23"/>
      <c r="H28" s="21" t="str">
        <f aca="false">IF(A28="","",DATE(YEAR(A28),MONTH(A28),1))</f>
        <v/>
      </c>
    </row>
    <row r="29" customFormat="false" ht="15" hidden="false" customHeight="false" outlineLevel="0" collapsed="false">
      <c r="A29" s="22"/>
      <c r="B29" s="23"/>
      <c r="C29" s="23"/>
      <c r="D29" s="23"/>
      <c r="E29" s="24"/>
      <c r="F29" s="23"/>
      <c r="G29" s="23"/>
      <c r="H29" s="21" t="str">
        <f aca="false">IF(A29="","",DATE(YEAR(A29),MONTH(A29),1))</f>
        <v/>
      </c>
    </row>
    <row r="30" customFormat="false" ht="15" hidden="false" customHeight="false" outlineLevel="0" collapsed="false">
      <c r="A30" s="22"/>
      <c r="B30" s="23"/>
      <c r="C30" s="23"/>
      <c r="D30" s="23"/>
      <c r="E30" s="24"/>
      <c r="F30" s="23"/>
      <c r="G30" s="23"/>
      <c r="H30" s="21" t="str">
        <f aca="false">IF(A30="","",DATE(YEAR(A30),MONTH(A30),1))</f>
        <v/>
      </c>
    </row>
    <row r="31" customFormat="false" ht="15" hidden="false" customHeight="false" outlineLevel="0" collapsed="false">
      <c r="A31" s="22"/>
      <c r="B31" s="23"/>
      <c r="C31" s="23"/>
      <c r="D31" s="23"/>
      <c r="E31" s="24"/>
      <c r="F31" s="23"/>
      <c r="G31" s="23"/>
      <c r="H31" s="21" t="str">
        <f aca="false">IF(A31="","",DATE(YEAR(A31),MONTH(A31),1))</f>
        <v/>
      </c>
    </row>
    <row r="32" customFormat="false" ht="15" hidden="false" customHeight="false" outlineLevel="0" collapsed="false">
      <c r="A32" s="22"/>
      <c r="B32" s="23"/>
      <c r="C32" s="23"/>
      <c r="D32" s="23"/>
      <c r="E32" s="24"/>
      <c r="F32" s="23"/>
      <c r="G32" s="23"/>
      <c r="H32" s="21" t="str">
        <f aca="false">IF(A32="","",DATE(YEAR(A32),MONTH(A32),1))</f>
        <v/>
      </c>
    </row>
    <row r="33" customFormat="false" ht="15" hidden="false" customHeight="false" outlineLevel="0" collapsed="false">
      <c r="A33" s="22"/>
      <c r="B33" s="23"/>
      <c r="C33" s="23"/>
      <c r="D33" s="23"/>
      <c r="E33" s="24"/>
      <c r="F33" s="23"/>
      <c r="G33" s="23"/>
      <c r="H33" s="21" t="str">
        <f aca="false">IF(A33="","",DATE(YEAR(A33),MONTH(A33),1))</f>
        <v/>
      </c>
    </row>
    <row r="34" customFormat="false" ht="15" hidden="false" customHeight="false" outlineLevel="0" collapsed="false">
      <c r="A34" s="22"/>
      <c r="B34" s="23"/>
      <c r="C34" s="23"/>
      <c r="D34" s="23"/>
      <c r="E34" s="24"/>
      <c r="F34" s="23"/>
      <c r="G34" s="23"/>
      <c r="H34" s="21" t="str">
        <f aca="false">IF(A34="","",DATE(YEAR(A34),MONTH(A34),1))</f>
        <v/>
      </c>
    </row>
    <row r="35" customFormat="false" ht="15" hidden="false" customHeight="false" outlineLevel="0" collapsed="false">
      <c r="A35" s="22"/>
      <c r="B35" s="23"/>
      <c r="C35" s="23"/>
      <c r="D35" s="23"/>
      <c r="E35" s="24"/>
      <c r="F35" s="23"/>
      <c r="G35" s="23"/>
      <c r="H35" s="21" t="str">
        <f aca="false">IF(A35="","",DATE(YEAR(A35),MONTH(A35),1))</f>
        <v/>
      </c>
    </row>
    <row r="36" customFormat="false" ht="15" hidden="false" customHeight="false" outlineLevel="0" collapsed="false">
      <c r="A36" s="22"/>
      <c r="B36" s="23"/>
      <c r="C36" s="23"/>
      <c r="D36" s="23"/>
      <c r="E36" s="24"/>
      <c r="F36" s="23"/>
      <c r="G36" s="23"/>
      <c r="H36" s="21" t="str">
        <f aca="false">IF(A36="","",DATE(YEAR(A36),MONTH(A36),1))</f>
        <v/>
      </c>
    </row>
    <row r="37" customFormat="false" ht="15" hidden="false" customHeight="false" outlineLevel="0" collapsed="false">
      <c r="A37" s="22"/>
      <c r="B37" s="23"/>
      <c r="C37" s="23"/>
      <c r="D37" s="23"/>
      <c r="E37" s="24"/>
      <c r="F37" s="23"/>
      <c r="G37" s="23"/>
      <c r="H37" s="21" t="str">
        <f aca="false">IF(A37="","",DATE(YEAR(A37),MONTH(A37),1))</f>
        <v/>
      </c>
    </row>
    <row r="38" customFormat="false" ht="15" hidden="false" customHeight="false" outlineLevel="0" collapsed="false">
      <c r="A38" s="22"/>
      <c r="B38" s="23"/>
      <c r="C38" s="23"/>
      <c r="D38" s="23"/>
      <c r="E38" s="24"/>
      <c r="F38" s="23"/>
      <c r="G38" s="23"/>
      <c r="H38" s="21" t="str">
        <f aca="false">IF(A38="","",DATE(YEAR(A38),MONTH(A38),1))</f>
        <v/>
      </c>
    </row>
    <row r="39" customFormat="false" ht="15" hidden="false" customHeight="false" outlineLevel="0" collapsed="false">
      <c r="A39" s="22"/>
      <c r="B39" s="23"/>
      <c r="C39" s="23"/>
      <c r="D39" s="23"/>
      <c r="E39" s="24"/>
      <c r="F39" s="23"/>
      <c r="G39" s="23"/>
      <c r="H39" s="21" t="str">
        <f aca="false">IF(A39="","",DATE(YEAR(A39),MONTH(A39),1))</f>
        <v/>
      </c>
    </row>
    <row r="40" customFormat="false" ht="15" hidden="false" customHeight="false" outlineLevel="0" collapsed="false">
      <c r="A40" s="22"/>
      <c r="B40" s="23"/>
      <c r="C40" s="23"/>
      <c r="D40" s="23"/>
      <c r="E40" s="24"/>
      <c r="F40" s="23"/>
      <c r="G40" s="23"/>
      <c r="H40" s="21" t="str">
        <f aca="false">IF(A40="","",DATE(YEAR(A40),MONTH(A40),1))</f>
        <v/>
      </c>
    </row>
    <row r="41" customFormat="false" ht="15" hidden="false" customHeight="false" outlineLevel="0" collapsed="false">
      <c r="A41" s="22"/>
      <c r="B41" s="23"/>
      <c r="C41" s="23"/>
      <c r="D41" s="23"/>
      <c r="E41" s="24"/>
      <c r="F41" s="23"/>
      <c r="G41" s="23"/>
      <c r="H41" s="21" t="str">
        <f aca="false">IF(A41="","",DATE(YEAR(A41),MONTH(A41),1))</f>
        <v/>
      </c>
    </row>
    <row r="42" customFormat="false" ht="15" hidden="false" customHeight="false" outlineLevel="0" collapsed="false">
      <c r="A42" s="22"/>
      <c r="B42" s="23"/>
      <c r="C42" s="23"/>
      <c r="D42" s="23"/>
      <c r="E42" s="24"/>
      <c r="F42" s="23"/>
      <c r="G42" s="23"/>
      <c r="H42" s="21" t="str">
        <f aca="false">IF(A42="","",DATE(YEAR(A42),MONTH(A42),1))</f>
        <v/>
      </c>
    </row>
    <row r="43" customFormat="false" ht="15" hidden="false" customHeight="false" outlineLevel="0" collapsed="false">
      <c r="A43" s="22"/>
      <c r="B43" s="23"/>
      <c r="C43" s="23"/>
      <c r="D43" s="23"/>
      <c r="E43" s="24"/>
      <c r="F43" s="23"/>
      <c r="G43" s="23"/>
      <c r="H43" s="21" t="str">
        <f aca="false">IF(A43="","",DATE(YEAR(A43),MONTH(A43),1))</f>
        <v/>
      </c>
    </row>
    <row r="44" customFormat="false" ht="15" hidden="false" customHeight="false" outlineLevel="0" collapsed="false">
      <c r="A44" s="22"/>
      <c r="B44" s="23"/>
      <c r="C44" s="23"/>
      <c r="D44" s="23"/>
      <c r="E44" s="24"/>
      <c r="F44" s="23"/>
      <c r="G44" s="23"/>
      <c r="H44" s="21" t="str">
        <f aca="false">IF(A44="","",DATE(YEAR(A44),MONTH(A44),1))</f>
        <v/>
      </c>
    </row>
    <row r="45" customFormat="false" ht="15" hidden="false" customHeight="false" outlineLevel="0" collapsed="false">
      <c r="A45" s="22"/>
      <c r="B45" s="23"/>
      <c r="C45" s="23"/>
      <c r="D45" s="23"/>
      <c r="E45" s="24"/>
      <c r="F45" s="23"/>
      <c r="G45" s="23"/>
      <c r="H45" s="21" t="str">
        <f aca="false">IF(A45="","",DATE(YEAR(A45),MONTH(A45),1))</f>
        <v/>
      </c>
    </row>
    <row r="46" customFormat="false" ht="15" hidden="false" customHeight="false" outlineLevel="0" collapsed="false">
      <c r="A46" s="22"/>
      <c r="B46" s="23"/>
      <c r="C46" s="23"/>
      <c r="D46" s="23"/>
      <c r="E46" s="24"/>
      <c r="F46" s="23"/>
      <c r="G46" s="23"/>
      <c r="H46" s="21" t="str">
        <f aca="false">IF(A46="","",DATE(YEAR(A46),MONTH(A46),1))</f>
        <v/>
      </c>
    </row>
    <row r="47" customFormat="false" ht="15" hidden="false" customHeight="false" outlineLevel="0" collapsed="false">
      <c r="A47" s="22"/>
      <c r="B47" s="23"/>
      <c r="C47" s="23"/>
      <c r="D47" s="23"/>
      <c r="E47" s="24"/>
      <c r="F47" s="23"/>
      <c r="G47" s="23"/>
      <c r="H47" s="21" t="str">
        <f aca="false">IF(A47="","",DATE(YEAR(A47),MONTH(A47),1))</f>
        <v/>
      </c>
    </row>
    <row r="48" customFormat="false" ht="15" hidden="false" customHeight="false" outlineLevel="0" collapsed="false">
      <c r="A48" s="22"/>
      <c r="B48" s="23"/>
      <c r="C48" s="23"/>
      <c r="D48" s="23"/>
      <c r="E48" s="24"/>
      <c r="F48" s="23"/>
      <c r="G48" s="23"/>
      <c r="H48" s="21" t="str">
        <f aca="false">IF(A48="","",DATE(YEAR(A48),MONTH(A48),1))</f>
        <v/>
      </c>
    </row>
    <row r="49" customFormat="false" ht="15" hidden="false" customHeight="false" outlineLevel="0" collapsed="false">
      <c r="A49" s="22"/>
      <c r="B49" s="23"/>
      <c r="C49" s="23"/>
      <c r="D49" s="23"/>
      <c r="E49" s="24"/>
      <c r="F49" s="23"/>
      <c r="G49" s="23"/>
      <c r="H49" s="21" t="str">
        <f aca="false">IF(A49="","",DATE(YEAR(A49),MONTH(A49),1))</f>
        <v/>
      </c>
    </row>
    <row r="50" customFormat="false" ht="15" hidden="false" customHeight="false" outlineLevel="0" collapsed="false">
      <c r="A50" s="22"/>
      <c r="B50" s="23"/>
      <c r="C50" s="23"/>
      <c r="D50" s="23"/>
      <c r="E50" s="24"/>
      <c r="F50" s="23"/>
      <c r="G50" s="23"/>
      <c r="H50" s="21" t="str">
        <f aca="false">IF(A50="","",DATE(YEAR(A50),MONTH(A50),1))</f>
        <v/>
      </c>
    </row>
    <row r="51" customFormat="false" ht="15" hidden="false" customHeight="false" outlineLevel="0" collapsed="false">
      <c r="A51" s="22"/>
      <c r="B51" s="23"/>
      <c r="C51" s="23"/>
      <c r="D51" s="23"/>
      <c r="E51" s="24"/>
      <c r="F51" s="23"/>
      <c r="G51" s="23"/>
      <c r="H51" s="21" t="str">
        <f aca="false">IF(A51="","",DATE(YEAR(A51),MONTH(A51),1))</f>
        <v/>
      </c>
    </row>
    <row r="52" customFormat="false" ht="15" hidden="false" customHeight="false" outlineLevel="0" collapsed="false">
      <c r="A52" s="22"/>
      <c r="B52" s="23"/>
      <c r="C52" s="23"/>
      <c r="D52" s="23"/>
      <c r="E52" s="24"/>
      <c r="F52" s="23"/>
      <c r="G52" s="23"/>
      <c r="H52" s="21" t="str">
        <f aca="false">IF(A52="","",DATE(YEAR(A52),MONTH(A52),1))</f>
        <v/>
      </c>
    </row>
    <row r="53" customFormat="false" ht="15" hidden="false" customHeight="false" outlineLevel="0" collapsed="false">
      <c r="A53" s="22"/>
      <c r="B53" s="23"/>
      <c r="C53" s="23"/>
      <c r="D53" s="23"/>
      <c r="E53" s="24"/>
      <c r="F53" s="23"/>
      <c r="G53" s="23"/>
      <c r="H53" s="21" t="str">
        <f aca="false">IF(A53="","",DATE(YEAR(A53),MONTH(A53),1))</f>
        <v/>
      </c>
    </row>
    <row r="54" customFormat="false" ht="15" hidden="false" customHeight="false" outlineLevel="0" collapsed="false">
      <c r="A54" s="22"/>
      <c r="B54" s="23"/>
      <c r="C54" s="23"/>
      <c r="D54" s="23"/>
      <c r="E54" s="24"/>
      <c r="F54" s="23"/>
      <c r="G54" s="23"/>
      <c r="H54" s="21" t="str">
        <f aca="false">IF(A54="","",DATE(YEAR(A54),MONTH(A54),1))</f>
        <v/>
      </c>
    </row>
    <row r="55" customFormat="false" ht="15" hidden="false" customHeight="false" outlineLevel="0" collapsed="false">
      <c r="A55" s="22"/>
      <c r="B55" s="23"/>
      <c r="C55" s="23"/>
      <c r="D55" s="23"/>
      <c r="E55" s="24"/>
      <c r="F55" s="23"/>
      <c r="G55" s="23"/>
      <c r="H55" s="21" t="str">
        <f aca="false">IF(A55="","",DATE(YEAR(A55),MONTH(A55),1))</f>
        <v/>
      </c>
    </row>
    <row r="56" customFormat="false" ht="15" hidden="false" customHeight="false" outlineLevel="0" collapsed="false">
      <c r="A56" s="22"/>
      <c r="B56" s="23"/>
      <c r="C56" s="23"/>
      <c r="D56" s="23"/>
      <c r="E56" s="24"/>
      <c r="F56" s="23"/>
      <c r="G56" s="23"/>
      <c r="H56" s="21" t="str">
        <f aca="false">IF(A56="","",DATE(YEAR(A56),MONTH(A56),1))</f>
        <v/>
      </c>
    </row>
    <row r="57" customFormat="false" ht="15" hidden="false" customHeight="false" outlineLevel="0" collapsed="false">
      <c r="A57" s="22"/>
      <c r="B57" s="23"/>
      <c r="C57" s="23"/>
      <c r="D57" s="23"/>
      <c r="E57" s="24"/>
      <c r="F57" s="23"/>
      <c r="G57" s="23"/>
      <c r="H57" s="21" t="str">
        <f aca="false">IF(A57="","",DATE(YEAR(A57),MONTH(A57),1))</f>
        <v/>
      </c>
    </row>
    <row r="58" customFormat="false" ht="15" hidden="false" customHeight="false" outlineLevel="0" collapsed="false">
      <c r="A58" s="22"/>
      <c r="B58" s="23"/>
      <c r="C58" s="23"/>
      <c r="D58" s="23"/>
      <c r="E58" s="24"/>
      <c r="F58" s="23"/>
      <c r="G58" s="23"/>
      <c r="H58" s="21" t="str">
        <f aca="false">IF(A58="","",DATE(YEAR(A58),MONTH(A58),1))</f>
        <v/>
      </c>
    </row>
    <row r="59" customFormat="false" ht="15" hidden="false" customHeight="false" outlineLevel="0" collapsed="false">
      <c r="A59" s="22"/>
      <c r="B59" s="23"/>
      <c r="C59" s="23"/>
      <c r="D59" s="23"/>
      <c r="E59" s="24"/>
      <c r="F59" s="23"/>
      <c r="G59" s="23"/>
      <c r="H59" s="21" t="str">
        <f aca="false">IF(A59="","",DATE(YEAR(A59),MONTH(A59),1))</f>
        <v/>
      </c>
    </row>
    <row r="60" customFormat="false" ht="15" hidden="false" customHeight="false" outlineLevel="0" collapsed="false">
      <c r="A60" s="22"/>
      <c r="B60" s="23"/>
      <c r="C60" s="23"/>
      <c r="D60" s="23"/>
      <c r="E60" s="24"/>
      <c r="F60" s="23"/>
      <c r="G60" s="23"/>
      <c r="H60" s="21" t="str">
        <f aca="false">IF(A60="","",DATE(YEAR(A60),MONTH(A60),1))</f>
        <v/>
      </c>
    </row>
    <row r="61" customFormat="false" ht="15" hidden="false" customHeight="false" outlineLevel="0" collapsed="false">
      <c r="A61" s="22"/>
      <c r="B61" s="23"/>
      <c r="C61" s="23"/>
      <c r="D61" s="23"/>
      <c r="E61" s="24"/>
      <c r="F61" s="23"/>
      <c r="G61" s="23"/>
      <c r="H61" s="21" t="str">
        <f aca="false">IF(A61="","",DATE(YEAR(A61),MONTH(A61),1))</f>
        <v/>
      </c>
    </row>
    <row r="62" customFormat="false" ht="15" hidden="false" customHeight="false" outlineLevel="0" collapsed="false">
      <c r="A62" s="22"/>
      <c r="B62" s="23"/>
      <c r="C62" s="23"/>
      <c r="D62" s="23"/>
      <c r="E62" s="24"/>
      <c r="F62" s="23"/>
      <c r="G62" s="23"/>
      <c r="H62" s="21" t="str">
        <f aca="false">IF(A62="","",DATE(YEAR(A62),MONTH(A62),1))</f>
        <v/>
      </c>
    </row>
    <row r="63" customFormat="false" ht="15" hidden="false" customHeight="false" outlineLevel="0" collapsed="false">
      <c r="A63" s="22"/>
      <c r="B63" s="23"/>
      <c r="C63" s="23"/>
      <c r="D63" s="23"/>
      <c r="E63" s="24"/>
      <c r="F63" s="23"/>
      <c r="G63" s="23"/>
      <c r="H63" s="21" t="str">
        <f aca="false">IF(A63="","",DATE(YEAR(A63),MONTH(A63),1))</f>
        <v/>
      </c>
    </row>
    <row r="64" customFormat="false" ht="15" hidden="false" customHeight="false" outlineLevel="0" collapsed="false">
      <c r="A64" s="22"/>
      <c r="B64" s="23"/>
      <c r="C64" s="23"/>
      <c r="D64" s="23"/>
      <c r="E64" s="24"/>
      <c r="F64" s="23"/>
      <c r="G64" s="23"/>
      <c r="H64" s="21" t="str">
        <f aca="false">IF(A64="","",DATE(YEAR(A64),MONTH(A64),1))</f>
        <v/>
      </c>
    </row>
    <row r="65" customFormat="false" ht="15" hidden="false" customHeight="false" outlineLevel="0" collapsed="false">
      <c r="A65" s="22"/>
      <c r="B65" s="23"/>
      <c r="C65" s="23"/>
      <c r="D65" s="23"/>
      <c r="E65" s="24"/>
      <c r="F65" s="23"/>
      <c r="G65" s="23"/>
      <c r="H65" s="21" t="str">
        <f aca="false">IF(A65="","",DATE(YEAR(A65),MONTH(A65),1))</f>
        <v/>
      </c>
    </row>
    <row r="66" customFormat="false" ht="15" hidden="false" customHeight="false" outlineLevel="0" collapsed="false">
      <c r="A66" s="22"/>
      <c r="B66" s="23"/>
      <c r="C66" s="23"/>
      <c r="D66" s="23"/>
      <c r="E66" s="24"/>
      <c r="F66" s="23"/>
      <c r="G66" s="23"/>
      <c r="H66" s="21" t="str">
        <f aca="false">IF(A66="","",DATE(YEAR(A66),MONTH(A66),1))</f>
        <v/>
      </c>
    </row>
    <row r="67" customFormat="false" ht="15" hidden="false" customHeight="false" outlineLevel="0" collapsed="false">
      <c r="A67" s="22"/>
      <c r="B67" s="23"/>
      <c r="C67" s="23"/>
      <c r="D67" s="23"/>
      <c r="E67" s="24"/>
      <c r="F67" s="23"/>
      <c r="G67" s="23"/>
      <c r="H67" s="21" t="str">
        <f aca="false">IF(A67="","",DATE(YEAR(A67),MONTH(A67),1))</f>
        <v/>
      </c>
    </row>
    <row r="68" customFormat="false" ht="15" hidden="false" customHeight="false" outlineLevel="0" collapsed="false">
      <c r="A68" s="22"/>
      <c r="B68" s="23"/>
      <c r="C68" s="23"/>
      <c r="D68" s="23"/>
      <c r="E68" s="24"/>
      <c r="F68" s="23"/>
      <c r="G68" s="23"/>
      <c r="H68" s="21" t="str">
        <f aca="false">IF(A68="","",DATE(YEAR(A68),MONTH(A68),1))</f>
        <v/>
      </c>
    </row>
    <row r="69" customFormat="false" ht="15" hidden="false" customHeight="false" outlineLevel="0" collapsed="false">
      <c r="A69" s="22"/>
      <c r="B69" s="23"/>
      <c r="C69" s="23"/>
      <c r="D69" s="23"/>
      <c r="E69" s="24"/>
      <c r="F69" s="23"/>
      <c r="G69" s="23"/>
      <c r="H69" s="21" t="str">
        <f aca="false">IF(A69="","",DATE(YEAR(A69),MONTH(A69),1))</f>
        <v/>
      </c>
    </row>
    <row r="70" customFormat="false" ht="15" hidden="false" customHeight="false" outlineLevel="0" collapsed="false">
      <c r="A70" s="22"/>
      <c r="B70" s="23"/>
      <c r="C70" s="23"/>
      <c r="D70" s="23"/>
      <c r="E70" s="24"/>
      <c r="F70" s="23"/>
      <c r="G70" s="23"/>
      <c r="H70" s="21" t="str">
        <f aca="false">IF(A70="","",DATE(YEAR(A70),MONTH(A70),1))</f>
        <v/>
      </c>
    </row>
    <row r="71" customFormat="false" ht="15" hidden="false" customHeight="false" outlineLevel="0" collapsed="false">
      <c r="A71" s="22"/>
      <c r="B71" s="23"/>
      <c r="C71" s="23"/>
      <c r="D71" s="23"/>
      <c r="E71" s="24"/>
      <c r="F71" s="23"/>
      <c r="G71" s="23"/>
      <c r="H71" s="21" t="str">
        <f aca="false">IF(A71="","",DATE(YEAR(A71),MONTH(A71),1))</f>
        <v/>
      </c>
    </row>
    <row r="72" customFormat="false" ht="15" hidden="false" customHeight="false" outlineLevel="0" collapsed="false">
      <c r="A72" s="22"/>
      <c r="B72" s="23"/>
      <c r="C72" s="23"/>
      <c r="D72" s="23"/>
      <c r="E72" s="24"/>
      <c r="F72" s="23"/>
      <c r="G72" s="23"/>
      <c r="H72" s="21" t="str">
        <f aca="false">IF(A72="","",DATE(YEAR(A72),MONTH(A72),1))</f>
        <v/>
      </c>
    </row>
    <row r="73" customFormat="false" ht="15" hidden="false" customHeight="false" outlineLevel="0" collapsed="false">
      <c r="A73" s="22"/>
      <c r="B73" s="23"/>
      <c r="C73" s="23"/>
      <c r="D73" s="23"/>
      <c r="E73" s="24"/>
      <c r="F73" s="23"/>
      <c r="G73" s="23"/>
      <c r="H73" s="21" t="str">
        <f aca="false">IF(A73="","",DATE(YEAR(A73),MONTH(A73),1))</f>
        <v/>
      </c>
    </row>
    <row r="74" customFormat="false" ht="15" hidden="false" customHeight="false" outlineLevel="0" collapsed="false">
      <c r="A74" s="22"/>
      <c r="B74" s="23"/>
      <c r="C74" s="23"/>
      <c r="D74" s="23"/>
      <c r="E74" s="24"/>
      <c r="F74" s="23"/>
      <c r="G74" s="23"/>
      <c r="H74" s="21" t="str">
        <f aca="false">IF(A74="","",DATE(YEAR(A74),MONTH(A74),1))</f>
        <v/>
      </c>
    </row>
    <row r="75" customFormat="false" ht="15" hidden="false" customHeight="false" outlineLevel="0" collapsed="false">
      <c r="A75" s="22"/>
      <c r="B75" s="23"/>
      <c r="C75" s="23"/>
      <c r="D75" s="23"/>
      <c r="E75" s="24"/>
      <c r="F75" s="23"/>
      <c r="G75" s="23"/>
      <c r="H75" s="21" t="str">
        <f aca="false">IF(A75="","",DATE(YEAR(A75),MONTH(A75),1))</f>
        <v/>
      </c>
    </row>
    <row r="76" customFormat="false" ht="15" hidden="false" customHeight="false" outlineLevel="0" collapsed="false">
      <c r="A76" s="22"/>
      <c r="B76" s="23"/>
      <c r="C76" s="23"/>
      <c r="D76" s="23"/>
      <c r="E76" s="24"/>
      <c r="F76" s="23"/>
      <c r="G76" s="23"/>
      <c r="H76" s="21" t="str">
        <f aca="false">IF(A76="","",DATE(YEAR(A76),MONTH(A76),1))</f>
        <v/>
      </c>
    </row>
    <row r="77" customFormat="false" ht="15" hidden="false" customHeight="false" outlineLevel="0" collapsed="false">
      <c r="A77" s="22"/>
      <c r="B77" s="23"/>
      <c r="C77" s="23"/>
      <c r="D77" s="23"/>
      <c r="E77" s="24"/>
      <c r="F77" s="23"/>
      <c r="G77" s="23"/>
      <c r="H77" s="21" t="str">
        <f aca="false">IF(A77="","",DATE(YEAR(A77),MONTH(A77),1))</f>
        <v/>
      </c>
    </row>
    <row r="78" customFormat="false" ht="15" hidden="false" customHeight="false" outlineLevel="0" collapsed="false">
      <c r="A78" s="22"/>
      <c r="B78" s="23"/>
      <c r="C78" s="23"/>
      <c r="D78" s="23"/>
      <c r="E78" s="24"/>
      <c r="F78" s="23"/>
      <c r="G78" s="23"/>
      <c r="H78" s="21" t="str">
        <f aca="false">IF(A78="","",DATE(YEAR(A78),MONTH(A78),1))</f>
        <v/>
      </c>
    </row>
    <row r="79" customFormat="false" ht="15" hidden="false" customHeight="false" outlineLevel="0" collapsed="false">
      <c r="A79" s="22"/>
      <c r="B79" s="23"/>
      <c r="C79" s="23"/>
      <c r="D79" s="23"/>
      <c r="E79" s="24"/>
      <c r="F79" s="23"/>
      <c r="G79" s="23"/>
      <c r="H79" s="21" t="str">
        <f aca="false">IF(A79="","",DATE(YEAR(A79),MONTH(A79),1))</f>
        <v/>
      </c>
    </row>
    <row r="80" customFormat="false" ht="15" hidden="false" customHeight="false" outlineLevel="0" collapsed="false">
      <c r="A80" s="22"/>
      <c r="B80" s="23"/>
      <c r="C80" s="23"/>
      <c r="D80" s="23"/>
      <c r="E80" s="24"/>
      <c r="F80" s="23"/>
      <c r="G80" s="23"/>
      <c r="H80" s="21" t="str">
        <f aca="false">IF(A80="","",DATE(YEAR(A80),MONTH(A80),1))</f>
        <v/>
      </c>
    </row>
    <row r="81" customFormat="false" ht="15" hidden="false" customHeight="false" outlineLevel="0" collapsed="false">
      <c r="A81" s="22"/>
      <c r="B81" s="23"/>
      <c r="C81" s="23"/>
      <c r="D81" s="23"/>
      <c r="E81" s="24"/>
      <c r="F81" s="23"/>
      <c r="G81" s="23"/>
      <c r="H81" s="21" t="str">
        <f aca="false">IF(A81="","",DATE(YEAR(A81),MONTH(A81),1))</f>
        <v/>
      </c>
    </row>
    <row r="82" customFormat="false" ht="15" hidden="false" customHeight="false" outlineLevel="0" collapsed="false">
      <c r="A82" s="22"/>
      <c r="B82" s="23"/>
      <c r="C82" s="23"/>
      <c r="D82" s="23"/>
      <c r="E82" s="24"/>
      <c r="F82" s="23"/>
      <c r="G82" s="23"/>
      <c r="H82" s="21" t="str">
        <f aca="false">IF(A82="","",DATE(YEAR(A82),MONTH(A82),1))</f>
        <v/>
      </c>
    </row>
    <row r="83" customFormat="false" ht="15" hidden="false" customHeight="false" outlineLevel="0" collapsed="false">
      <c r="A83" s="22"/>
      <c r="B83" s="23"/>
      <c r="C83" s="23"/>
      <c r="D83" s="23"/>
      <c r="E83" s="24"/>
      <c r="F83" s="23"/>
      <c r="G83" s="23"/>
      <c r="H83" s="21" t="str">
        <f aca="false">IF(A83="","",DATE(YEAR(A83),MONTH(A83),1))</f>
        <v/>
      </c>
    </row>
    <row r="84" customFormat="false" ht="15" hidden="false" customHeight="false" outlineLevel="0" collapsed="false">
      <c r="A84" s="22"/>
      <c r="B84" s="23"/>
      <c r="C84" s="23"/>
      <c r="D84" s="23"/>
      <c r="E84" s="24"/>
      <c r="F84" s="23"/>
      <c r="G84" s="23"/>
      <c r="H84" s="21" t="str">
        <f aca="false">IF(A84="","",DATE(YEAR(A84),MONTH(A84),1))</f>
        <v/>
      </c>
    </row>
    <row r="85" customFormat="false" ht="15" hidden="false" customHeight="false" outlineLevel="0" collapsed="false">
      <c r="A85" s="22"/>
      <c r="B85" s="23"/>
      <c r="C85" s="23"/>
      <c r="D85" s="23"/>
      <c r="E85" s="24"/>
      <c r="F85" s="23"/>
      <c r="G85" s="23"/>
      <c r="H85" s="21" t="str">
        <f aca="false">IF(A85="","",DATE(YEAR(A85),MONTH(A85),1))</f>
        <v/>
      </c>
    </row>
    <row r="86" customFormat="false" ht="15" hidden="false" customHeight="false" outlineLevel="0" collapsed="false">
      <c r="A86" s="22"/>
      <c r="B86" s="23"/>
      <c r="C86" s="23"/>
      <c r="D86" s="23"/>
      <c r="E86" s="24"/>
      <c r="F86" s="23"/>
      <c r="G86" s="23"/>
      <c r="H86" s="21" t="str">
        <f aca="false">IF(A86="","",DATE(YEAR(A86),MONTH(A86),1))</f>
        <v/>
      </c>
    </row>
    <row r="87" customFormat="false" ht="15" hidden="false" customHeight="false" outlineLevel="0" collapsed="false">
      <c r="A87" s="22"/>
      <c r="B87" s="23"/>
      <c r="C87" s="23"/>
      <c r="D87" s="23"/>
      <c r="E87" s="24"/>
      <c r="F87" s="23"/>
      <c r="G87" s="23"/>
      <c r="H87" s="21" t="str">
        <f aca="false">IF(A87="","",DATE(YEAR(A87),MONTH(A87),1))</f>
        <v/>
      </c>
    </row>
    <row r="88" customFormat="false" ht="15" hidden="false" customHeight="false" outlineLevel="0" collapsed="false">
      <c r="A88" s="22"/>
      <c r="B88" s="23"/>
      <c r="C88" s="23"/>
      <c r="D88" s="23"/>
      <c r="E88" s="24"/>
      <c r="F88" s="23"/>
      <c r="G88" s="23"/>
      <c r="H88" s="21" t="str">
        <f aca="false">IF(A88="","",DATE(YEAR(A88),MONTH(A88),1))</f>
        <v/>
      </c>
    </row>
    <row r="89" customFormat="false" ht="15" hidden="false" customHeight="false" outlineLevel="0" collapsed="false">
      <c r="A89" s="22"/>
      <c r="B89" s="23"/>
      <c r="C89" s="23"/>
      <c r="D89" s="23"/>
      <c r="E89" s="24"/>
      <c r="F89" s="23"/>
      <c r="G89" s="23"/>
      <c r="H89" s="21" t="str">
        <f aca="false">IF(A89="","",DATE(YEAR(A89),MONTH(A89),1))</f>
        <v/>
      </c>
    </row>
    <row r="90" customFormat="false" ht="15" hidden="false" customHeight="false" outlineLevel="0" collapsed="false">
      <c r="A90" s="22"/>
      <c r="B90" s="23"/>
      <c r="C90" s="23"/>
      <c r="D90" s="23"/>
      <c r="E90" s="24"/>
      <c r="F90" s="23"/>
      <c r="G90" s="23"/>
      <c r="H90" s="21" t="str">
        <f aca="false">IF(A90="","",DATE(YEAR(A90),MONTH(A90),1))</f>
        <v/>
      </c>
    </row>
    <row r="91" customFormat="false" ht="15" hidden="false" customHeight="false" outlineLevel="0" collapsed="false">
      <c r="A91" s="22"/>
      <c r="B91" s="23"/>
      <c r="C91" s="23"/>
      <c r="D91" s="23"/>
      <c r="E91" s="24"/>
      <c r="F91" s="23"/>
      <c r="G91" s="23"/>
      <c r="H91" s="21" t="str">
        <f aca="false">IF(A91="","",DATE(YEAR(A91),MONTH(A91),1))</f>
        <v/>
      </c>
    </row>
    <row r="92" customFormat="false" ht="15" hidden="false" customHeight="false" outlineLevel="0" collapsed="false">
      <c r="A92" s="22"/>
      <c r="B92" s="23"/>
      <c r="C92" s="23"/>
      <c r="D92" s="23"/>
      <c r="E92" s="24"/>
      <c r="F92" s="23"/>
      <c r="G92" s="23"/>
      <c r="H92" s="21" t="str">
        <f aca="false">IF(A92="","",DATE(YEAR(A92),MONTH(A92),1))</f>
        <v/>
      </c>
    </row>
    <row r="93" customFormat="false" ht="15" hidden="false" customHeight="false" outlineLevel="0" collapsed="false">
      <c r="A93" s="22"/>
      <c r="B93" s="23"/>
      <c r="C93" s="23"/>
      <c r="D93" s="23"/>
      <c r="E93" s="24"/>
      <c r="F93" s="23"/>
      <c r="G93" s="23"/>
      <c r="H93" s="21" t="str">
        <f aca="false">IF(A93="","",DATE(YEAR(A93),MONTH(A93),1))</f>
        <v/>
      </c>
    </row>
    <row r="94" customFormat="false" ht="15" hidden="false" customHeight="false" outlineLevel="0" collapsed="false">
      <c r="A94" s="22"/>
      <c r="B94" s="23"/>
      <c r="C94" s="23"/>
      <c r="D94" s="23"/>
      <c r="E94" s="24"/>
      <c r="F94" s="23"/>
      <c r="G94" s="23"/>
      <c r="H94" s="21" t="str">
        <f aca="false">IF(A94="","",DATE(YEAR(A94),MONTH(A94),1))</f>
        <v/>
      </c>
    </row>
    <row r="95" customFormat="false" ht="15" hidden="false" customHeight="false" outlineLevel="0" collapsed="false">
      <c r="A95" s="22"/>
      <c r="B95" s="23"/>
      <c r="C95" s="23"/>
      <c r="D95" s="23"/>
      <c r="E95" s="24"/>
      <c r="F95" s="23"/>
      <c r="G95" s="23"/>
      <c r="H95" s="21" t="str">
        <f aca="false">IF(A95="","",DATE(YEAR(A95),MONTH(A95),1))</f>
        <v/>
      </c>
    </row>
    <row r="96" customFormat="false" ht="15" hidden="false" customHeight="false" outlineLevel="0" collapsed="false">
      <c r="A96" s="22"/>
      <c r="B96" s="23"/>
      <c r="C96" s="23"/>
      <c r="D96" s="23"/>
      <c r="E96" s="24"/>
      <c r="F96" s="23"/>
      <c r="G96" s="23"/>
      <c r="H96" s="21" t="str">
        <f aca="false">IF(A96="","",DATE(YEAR(A96),MONTH(A96),1))</f>
        <v/>
      </c>
    </row>
    <row r="97" customFormat="false" ht="15" hidden="false" customHeight="false" outlineLevel="0" collapsed="false">
      <c r="A97" s="22"/>
      <c r="B97" s="23"/>
      <c r="C97" s="23"/>
      <c r="D97" s="23"/>
      <c r="E97" s="24"/>
      <c r="F97" s="23"/>
      <c r="G97" s="23"/>
      <c r="H97" s="21" t="str">
        <f aca="false">IF(A97="","",DATE(YEAR(A97),MONTH(A97),1))</f>
        <v/>
      </c>
    </row>
    <row r="98" customFormat="false" ht="15" hidden="false" customHeight="false" outlineLevel="0" collapsed="false">
      <c r="A98" s="22"/>
      <c r="B98" s="23"/>
      <c r="C98" s="23"/>
      <c r="D98" s="23"/>
      <c r="E98" s="24"/>
      <c r="F98" s="23"/>
      <c r="G98" s="23"/>
      <c r="H98" s="21" t="str">
        <f aca="false">IF(A98="","",DATE(YEAR(A98),MONTH(A98),1))</f>
        <v/>
      </c>
    </row>
    <row r="99" customFormat="false" ht="15" hidden="false" customHeight="false" outlineLevel="0" collapsed="false">
      <c r="A99" s="22"/>
      <c r="B99" s="23"/>
      <c r="C99" s="23"/>
      <c r="D99" s="23"/>
      <c r="E99" s="24"/>
      <c r="F99" s="23"/>
      <c r="G99" s="23"/>
      <c r="H99" s="21" t="str">
        <f aca="false">IF(A99="","",DATE(YEAR(A99),MONTH(A99),1))</f>
        <v/>
      </c>
    </row>
    <row r="100" customFormat="false" ht="15" hidden="false" customHeight="false" outlineLevel="0" collapsed="false">
      <c r="A100" s="22"/>
      <c r="B100" s="23"/>
      <c r="C100" s="23"/>
      <c r="D100" s="23"/>
      <c r="E100" s="24"/>
      <c r="F100" s="23"/>
      <c r="G100" s="23"/>
      <c r="H100" s="21" t="str">
        <f aca="false">IF(A100="","",DATE(YEAR(A100),MONTH(A100),1))</f>
        <v/>
      </c>
    </row>
    <row r="101" customFormat="false" ht="15" hidden="false" customHeight="false" outlineLevel="0" collapsed="false">
      <c r="A101" s="22"/>
      <c r="B101" s="23"/>
      <c r="C101" s="23"/>
      <c r="D101" s="23"/>
      <c r="E101" s="24"/>
      <c r="F101" s="23"/>
      <c r="G101" s="23"/>
      <c r="H101" s="21" t="str">
        <f aca="false">IF(A101="","",DATE(YEAR(A101),MONTH(A101),1))</f>
        <v/>
      </c>
    </row>
    <row r="102" customFormat="false" ht="15" hidden="false" customHeight="false" outlineLevel="0" collapsed="false">
      <c r="A102" s="22"/>
      <c r="B102" s="23"/>
      <c r="C102" s="23"/>
      <c r="D102" s="23"/>
      <c r="E102" s="24"/>
      <c r="F102" s="23"/>
      <c r="G102" s="23"/>
      <c r="H102" s="21" t="str">
        <f aca="false">IF(A102="","",DATE(YEAR(A102),MONTH(A102),1))</f>
        <v/>
      </c>
    </row>
    <row r="103" customFormat="false" ht="15" hidden="false" customHeight="false" outlineLevel="0" collapsed="false">
      <c r="A103" s="22"/>
      <c r="B103" s="23"/>
      <c r="C103" s="23"/>
      <c r="D103" s="23"/>
      <c r="E103" s="24"/>
      <c r="F103" s="23"/>
      <c r="G103" s="23"/>
      <c r="H103" s="21" t="str">
        <f aca="false">IF(A103="","",DATE(YEAR(A103),MONTH(A103),1))</f>
        <v/>
      </c>
    </row>
    <row r="104" customFormat="false" ht="15" hidden="false" customHeight="false" outlineLevel="0" collapsed="false">
      <c r="A104" s="22"/>
      <c r="B104" s="23"/>
      <c r="C104" s="23"/>
      <c r="D104" s="23"/>
      <c r="E104" s="24"/>
      <c r="F104" s="23"/>
      <c r="G104" s="23"/>
      <c r="H104" s="21" t="str">
        <f aca="false">IF(A104="","",DATE(YEAR(A104),MONTH(A104),1))</f>
        <v/>
      </c>
    </row>
    <row r="105" customFormat="false" ht="15" hidden="false" customHeight="false" outlineLevel="0" collapsed="false">
      <c r="A105" s="22"/>
      <c r="B105" s="23"/>
      <c r="C105" s="23"/>
      <c r="D105" s="23"/>
      <c r="E105" s="24"/>
      <c r="F105" s="23"/>
      <c r="G105" s="23"/>
      <c r="H105" s="21" t="str">
        <f aca="false">IF(A105="","",DATE(YEAR(A105),MONTH(A105),1))</f>
        <v/>
      </c>
    </row>
    <row r="106" customFormat="false" ht="15" hidden="false" customHeight="false" outlineLevel="0" collapsed="false">
      <c r="A106" s="22"/>
      <c r="B106" s="23"/>
      <c r="C106" s="23"/>
      <c r="D106" s="23"/>
      <c r="E106" s="24"/>
      <c r="F106" s="23"/>
      <c r="G106" s="23"/>
      <c r="H106" s="21" t="str">
        <f aca="false">IF(A106="","",DATE(YEAR(A106),MONTH(A106),1))</f>
        <v/>
      </c>
    </row>
    <row r="107" customFormat="false" ht="15" hidden="false" customHeight="false" outlineLevel="0" collapsed="false">
      <c r="A107" s="22"/>
      <c r="B107" s="23"/>
      <c r="C107" s="23"/>
      <c r="D107" s="23"/>
      <c r="E107" s="24"/>
      <c r="F107" s="23"/>
      <c r="G107" s="23"/>
      <c r="H107" s="21" t="str">
        <f aca="false">IF(A107="","",DATE(YEAR(A107),MONTH(A107),1))</f>
        <v/>
      </c>
    </row>
    <row r="108" customFormat="false" ht="15" hidden="false" customHeight="false" outlineLevel="0" collapsed="false">
      <c r="A108" s="22"/>
      <c r="B108" s="23"/>
      <c r="C108" s="23"/>
      <c r="D108" s="23"/>
      <c r="E108" s="24"/>
      <c r="F108" s="23"/>
      <c r="G108" s="23"/>
      <c r="H108" s="21" t="str">
        <f aca="false">IF(A108="","",DATE(YEAR(A108),MONTH(A108),1))</f>
        <v/>
      </c>
    </row>
    <row r="109" customFormat="false" ht="15" hidden="false" customHeight="false" outlineLevel="0" collapsed="false">
      <c r="A109" s="22"/>
      <c r="B109" s="23"/>
      <c r="C109" s="23"/>
      <c r="D109" s="23"/>
      <c r="E109" s="24"/>
      <c r="F109" s="23"/>
      <c r="G109" s="23"/>
      <c r="H109" s="21" t="str">
        <f aca="false">IF(A109="","",DATE(YEAR(A109),MONTH(A109),1))</f>
        <v/>
      </c>
    </row>
    <row r="110" customFormat="false" ht="15" hidden="false" customHeight="false" outlineLevel="0" collapsed="false">
      <c r="A110" s="22"/>
      <c r="B110" s="23"/>
      <c r="C110" s="23"/>
      <c r="D110" s="23"/>
      <c r="E110" s="24"/>
      <c r="F110" s="23"/>
      <c r="G110" s="23"/>
      <c r="H110" s="21" t="str">
        <f aca="false">IF(A110="","",DATE(YEAR(A110),MONTH(A110),1))</f>
        <v/>
      </c>
    </row>
    <row r="111" customFormat="false" ht="15" hidden="false" customHeight="false" outlineLevel="0" collapsed="false">
      <c r="A111" s="22"/>
      <c r="B111" s="23"/>
      <c r="C111" s="23"/>
      <c r="D111" s="23"/>
      <c r="E111" s="24"/>
      <c r="F111" s="23"/>
      <c r="G111" s="23"/>
      <c r="H111" s="21" t="str">
        <f aca="false">IF(A111="","",DATE(YEAR(A111),MONTH(A111),1))</f>
        <v/>
      </c>
    </row>
    <row r="112" customFormat="false" ht="15" hidden="false" customHeight="false" outlineLevel="0" collapsed="false">
      <c r="A112" s="22"/>
      <c r="B112" s="23"/>
      <c r="C112" s="23"/>
      <c r="D112" s="23"/>
      <c r="E112" s="24"/>
      <c r="F112" s="23"/>
      <c r="G112" s="23"/>
      <c r="H112" s="21" t="str">
        <f aca="false">IF(A112="","",DATE(YEAR(A112),MONTH(A112),1))</f>
        <v/>
      </c>
    </row>
    <row r="113" customFormat="false" ht="15" hidden="false" customHeight="false" outlineLevel="0" collapsed="false">
      <c r="A113" s="22"/>
      <c r="B113" s="23"/>
      <c r="C113" s="23"/>
      <c r="D113" s="23"/>
      <c r="E113" s="24"/>
      <c r="F113" s="23"/>
      <c r="G113" s="23"/>
      <c r="H113" s="21" t="str">
        <f aca="false">IF(A113="","",DATE(YEAR(A113),MONTH(A113),1))</f>
        <v/>
      </c>
    </row>
    <row r="114" customFormat="false" ht="15" hidden="false" customHeight="false" outlineLevel="0" collapsed="false">
      <c r="A114" s="22"/>
      <c r="B114" s="23"/>
      <c r="C114" s="23"/>
      <c r="D114" s="23"/>
      <c r="E114" s="24"/>
      <c r="F114" s="23"/>
      <c r="G114" s="23"/>
      <c r="H114" s="21" t="str">
        <f aca="false">IF(A114="","",DATE(YEAR(A114),MONTH(A114),1))</f>
        <v/>
      </c>
    </row>
    <row r="115" customFormat="false" ht="15" hidden="false" customHeight="false" outlineLevel="0" collapsed="false">
      <c r="A115" s="22"/>
      <c r="B115" s="23"/>
      <c r="C115" s="23"/>
      <c r="D115" s="23"/>
      <c r="E115" s="24"/>
      <c r="F115" s="23"/>
      <c r="G115" s="23"/>
      <c r="H115" s="21" t="str">
        <f aca="false">IF(A115="","",DATE(YEAR(A115),MONTH(A115),1))</f>
        <v/>
      </c>
    </row>
    <row r="116" customFormat="false" ht="15" hidden="false" customHeight="false" outlineLevel="0" collapsed="false">
      <c r="A116" s="22"/>
      <c r="B116" s="23"/>
      <c r="C116" s="23"/>
      <c r="D116" s="23"/>
      <c r="E116" s="24"/>
      <c r="F116" s="23"/>
      <c r="G116" s="23"/>
      <c r="H116" s="21" t="str">
        <f aca="false">IF(A116="","",DATE(YEAR(A116),MONTH(A116),1))</f>
        <v/>
      </c>
    </row>
    <row r="117" customFormat="false" ht="15" hidden="false" customHeight="false" outlineLevel="0" collapsed="false">
      <c r="A117" s="22"/>
      <c r="B117" s="23"/>
      <c r="C117" s="23"/>
      <c r="D117" s="23"/>
      <c r="E117" s="24"/>
      <c r="F117" s="23"/>
      <c r="G117" s="23"/>
      <c r="H117" s="21" t="str">
        <f aca="false">IF(A117="","",DATE(YEAR(A117),MONTH(A117),1))</f>
        <v/>
      </c>
    </row>
    <row r="118" customFormat="false" ht="15" hidden="false" customHeight="false" outlineLevel="0" collapsed="false">
      <c r="A118" s="22"/>
      <c r="B118" s="23"/>
      <c r="C118" s="23"/>
      <c r="D118" s="23"/>
      <c r="E118" s="24"/>
      <c r="F118" s="23"/>
      <c r="G118" s="23"/>
      <c r="H118" s="21" t="str">
        <f aca="false">IF(A118="","",DATE(YEAR(A118),MONTH(A118),1))</f>
        <v/>
      </c>
    </row>
    <row r="119" customFormat="false" ht="15" hidden="false" customHeight="false" outlineLevel="0" collapsed="false">
      <c r="A119" s="22"/>
      <c r="B119" s="23"/>
      <c r="C119" s="23"/>
      <c r="D119" s="23"/>
      <c r="E119" s="24"/>
      <c r="F119" s="23"/>
      <c r="G119" s="23"/>
      <c r="H119" s="21" t="str">
        <f aca="false">IF(A119="","",DATE(YEAR(A119),MONTH(A119),1))</f>
        <v/>
      </c>
    </row>
    <row r="120" customFormat="false" ht="15" hidden="false" customHeight="false" outlineLevel="0" collapsed="false">
      <c r="A120" s="22"/>
      <c r="B120" s="23"/>
      <c r="C120" s="23"/>
      <c r="D120" s="23"/>
      <c r="E120" s="24"/>
      <c r="F120" s="23"/>
      <c r="G120" s="23"/>
      <c r="H120" s="21" t="str">
        <f aca="false">IF(A120="","",DATE(YEAR(A120),MONTH(A120),1))</f>
        <v/>
      </c>
    </row>
    <row r="121" customFormat="false" ht="15" hidden="false" customHeight="false" outlineLevel="0" collapsed="false">
      <c r="A121" s="22"/>
      <c r="B121" s="23"/>
      <c r="C121" s="23"/>
      <c r="D121" s="23"/>
      <c r="E121" s="24"/>
      <c r="F121" s="23"/>
      <c r="G121" s="23"/>
      <c r="H121" s="21" t="str">
        <f aca="false">IF(A121="","",DATE(YEAR(A121),MONTH(A121),1))</f>
        <v/>
      </c>
    </row>
    <row r="122" customFormat="false" ht="15" hidden="false" customHeight="false" outlineLevel="0" collapsed="false">
      <c r="A122" s="22"/>
      <c r="B122" s="23"/>
      <c r="C122" s="23"/>
      <c r="D122" s="23"/>
      <c r="E122" s="24"/>
      <c r="F122" s="23"/>
      <c r="G122" s="23"/>
      <c r="H122" s="21" t="str">
        <f aca="false">IF(A122="","",DATE(YEAR(A122),MONTH(A122),1))</f>
        <v/>
      </c>
    </row>
    <row r="123" customFormat="false" ht="15" hidden="false" customHeight="false" outlineLevel="0" collapsed="false">
      <c r="A123" s="22"/>
      <c r="B123" s="23"/>
      <c r="C123" s="23"/>
      <c r="D123" s="23"/>
      <c r="E123" s="24"/>
      <c r="F123" s="23"/>
      <c r="G123" s="23"/>
      <c r="H123" s="21" t="str">
        <f aca="false">IF(A123="","",DATE(YEAR(A123),MONTH(A123),1))</f>
        <v/>
      </c>
    </row>
    <row r="124" customFormat="false" ht="15" hidden="false" customHeight="false" outlineLevel="0" collapsed="false">
      <c r="A124" s="22"/>
      <c r="B124" s="23"/>
      <c r="C124" s="23"/>
      <c r="D124" s="23"/>
      <c r="E124" s="24"/>
      <c r="F124" s="23"/>
      <c r="G124" s="23"/>
      <c r="H124" s="21" t="str">
        <f aca="false">IF(A124="","",DATE(YEAR(A124),MONTH(A124),1))</f>
        <v/>
      </c>
    </row>
    <row r="125" customFormat="false" ht="15" hidden="false" customHeight="false" outlineLevel="0" collapsed="false">
      <c r="A125" s="22"/>
      <c r="B125" s="23"/>
      <c r="C125" s="23"/>
      <c r="D125" s="23"/>
      <c r="E125" s="24"/>
      <c r="F125" s="23"/>
      <c r="G125" s="23"/>
      <c r="H125" s="21" t="str">
        <f aca="false">IF(A125="","",DATE(YEAR(A125),MONTH(A125),1))</f>
        <v/>
      </c>
    </row>
    <row r="126" customFormat="false" ht="15" hidden="false" customHeight="false" outlineLevel="0" collapsed="false">
      <c r="A126" s="22"/>
      <c r="B126" s="23"/>
      <c r="C126" s="23"/>
      <c r="D126" s="23"/>
      <c r="E126" s="24"/>
      <c r="F126" s="23"/>
      <c r="G126" s="23"/>
      <c r="H126" s="21" t="str">
        <f aca="false">IF(A126="","",DATE(YEAR(A126),MONTH(A126),1))</f>
        <v/>
      </c>
    </row>
    <row r="127" customFormat="false" ht="15" hidden="false" customHeight="false" outlineLevel="0" collapsed="false">
      <c r="A127" s="22"/>
      <c r="B127" s="23"/>
      <c r="C127" s="23"/>
      <c r="D127" s="23"/>
      <c r="E127" s="24"/>
      <c r="F127" s="23"/>
      <c r="G127" s="23"/>
      <c r="H127" s="21" t="str">
        <f aca="false">IF(A127="","",DATE(YEAR(A127),MONTH(A127),1))</f>
        <v/>
      </c>
    </row>
    <row r="128" customFormat="false" ht="15" hidden="false" customHeight="false" outlineLevel="0" collapsed="false">
      <c r="A128" s="22"/>
      <c r="B128" s="23"/>
      <c r="C128" s="23"/>
      <c r="D128" s="23"/>
      <c r="E128" s="24"/>
      <c r="F128" s="23"/>
      <c r="G128" s="23"/>
      <c r="H128" s="21" t="str">
        <f aca="false">IF(A128="","",DATE(YEAR(A128),MONTH(A128),1))</f>
        <v/>
      </c>
    </row>
    <row r="129" customFormat="false" ht="15" hidden="false" customHeight="false" outlineLevel="0" collapsed="false">
      <c r="A129" s="22"/>
      <c r="B129" s="23"/>
      <c r="C129" s="23"/>
      <c r="D129" s="23"/>
      <c r="E129" s="24"/>
      <c r="F129" s="23"/>
      <c r="G129" s="23"/>
      <c r="H129" s="21" t="str">
        <f aca="false">IF(A129="","",DATE(YEAR(A129),MONTH(A129),1))</f>
        <v/>
      </c>
    </row>
    <row r="130" customFormat="false" ht="15" hidden="false" customHeight="false" outlineLevel="0" collapsed="false">
      <c r="A130" s="22"/>
      <c r="B130" s="23"/>
      <c r="C130" s="23"/>
      <c r="D130" s="23"/>
      <c r="E130" s="24"/>
      <c r="F130" s="23"/>
      <c r="G130" s="23"/>
      <c r="H130" s="21" t="str">
        <f aca="false">IF(A130="","",DATE(YEAR(A130),MONTH(A130),1))</f>
        <v/>
      </c>
    </row>
    <row r="131" customFormat="false" ht="15" hidden="false" customHeight="false" outlineLevel="0" collapsed="false">
      <c r="A131" s="22"/>
      <c r="B131" s="23"/>
      <c r="C131" s="23"/>
      <c r="D131" s="23"/>
      <c r="E131" s="24"/>
      <c r="F131" s="23"/>
      <c r="G131" s="23"/>
      <c r="H131" s="21" t="str">
        <f aca="false">IF(A131="","",DATE(YEAR(A131),MONTH(A131),1))</f>
        <v/>
      </c>
    </row>
    <row r="132" customFormat="false" ht="15" hidden="false" customHeight="false" outlineLevel="0" collapsed="false">
      <c r="A132" s="22"/>
      <c r="B132" s="23"/>
      <c r="C132" s="23"/>
      <c r="D132" s="23"/>
      <c r="E132" s="24"/>
      <c r="F132" s="23"/>
      <c r="G132" s="23"/>
      <c r="H132" s="21" t="str">
        <f aca="false">IF(A132="","",DATE(YEAR(A132),MONTH(A132),1))</f>
        <v/>
      </c>
    </row>
    <row r="133" customFormat="false" ht="15" hidden="false" customHeight="false" outlineLevel="0" collapsed="false">
      <c r="A133" s="22"/>
      <c r="B133" s="23"/>
      <c r="C133" s="23"/>
      <c r="D133" s="23"/>
      <c r="E133" s="24"/>
      <c r="F133" s="23"/>
      <c r="G133" s="23"/>
      <c r="H133" s="21" t="str">
        <f aca="false">IF(A133="","",DATE(YEAR(A133),MONTH(A133),1))</f>
        <v/>
      </c>
    </row>
    <row r="134" customFormat="false" ht="15" hidden="false" customHeight="false" outlineLevel="0" collapsed="false">
      <c r="A134" s="22"/>
      <c r="B134" s="23"/>
      <c r="C134" s="23"/>
      <c r="D134" s="23"/>
      <c r="E134" s="24"/>
      <c r="F134" s="23"/>
      <c r="G134" s="23"/>
      <c r="H134" s="21" t="str">
        <f aca="false">IF(A134="","",DATE(YEAR(A134),MONTH(A134),1))</f>
        <v/>
      </c>
    </row>
    <row r="135" customFormat="false" ht="15" hidden="false" customHeight="false" outlineLevel="0" collapsed="false">
      <c r="A135" s="22"/>
      <c r="B135" s="23"/>
      <c r="C135" s="23"/>
      <c r="D135" s="23"/>
      <c r="E135" s="24"/>
      <c r="F135" s="23"/>
      <c r="G135" s="23"/>
      <c r="H135" s="21" t="str">
        <f aca="false">IF(A135="","",DATE(YEAR(A135),MONTH(A135),1))</f>
        <v/>
      </c>
    </row>
    <row r="136" customFormat="false" ht="15" hidden="false" customHeight="false" outlineLevel="0" collapsed="false">
      <c r="A136" s="22"/>
      <c r="B136" s="23"/>
      <c r="C136" s="23"/>
      <c r="D136" s="23"/>
      <c r="E136" s="24"/>
      <c r="F136" s="23"/>
      <c r="G136" s="23"/>
      <c r="H136" s="21" t="str">
        <f aca="false">IF(A136="","",DATE(YEAR(A136),MONTH(A136),1))</f>
        <v/>
      </c>
    </row>
    <row r="137" customFormat="false" ht="15" hidden="false" customHeight="false" outlineLevel="0" collapsed="false">
      <c r="A137" s="22"/>
      <c r="B137" s="23"/>
      <c r="C137" s="23"/>
      <c r="D137" s="23"/>
      <c r="E137" s="24"/>
      <c r="F137" s="23"/>
      <c r="G137" s="23"/>
      <c r="H137" s="21" t="str">
        <f aca="false">IF(A137="","",DATE(YEAR(A137),MONTH(A137),1))</f>
        <v/>
      </c>
    </row>
    <row r="138" customFormat="false" ht="15" hidden="false" customHeight="false" outlineLevel="0" collapsed="false">
      <c r="A138" s="22"/>
      <c r="B138" s="23"/>
      <c r="C138" s="23"/>
      <c r="D138" s="23"/>
      <c r="E138" s="24"/>
      <c r="F138" s="23"/>
      <c r="G138" s="23"/>
      <c r="H138" s="21" t="str">
        <f aca="false">IF(A138="","",DATE(YEAR(A138),MONTH(A138),1))</f>
        <v/>
      </c>
    </row>
    <row r="139" customFormat="false" ht="15" hidden="false" customHeight="false" outlineLevel="0" collapsed="false">
      <c r="A139" s="22"/>
      <c r="B139" s="23"/>
      <c r="C139" s="23"/>
      <c r="D139" s="23"/>
      <c r="E139" s="24"/>
      <c r="F139" s="23"/>
      <c r="G139" s="23"/>
      <c r="H139" s="21" t="str">
        <f aca="false">IF(A139="","",DATE(YEAR(A139),MONTH(A139),1))</f>
        <v/>
      </c>
    </row>
    <row r="140" customFormat="false" ht="15" hidden="false" customHeight="false" outlineLevel="0" collapsed="false">
      <c r="A140" s="22"/>
      <c r="B140" s="23"/>
      <c r="C140" s="23"/>
      <c r="D140" s="23"/>
      <c r="E140" s="24"/>
      <c r="F140" s="23"/>
      <c r="G140" s="23"/>
      <c r="H140" s="21" t="str">
        <f aca="false">IF(A140="","",DATE(YEAR(A140),MONTH(A140),1))</f>
        <v/>
      </c>
    </row>
    <row r="141" customFormat="false" ht="15" hidden="false" customHeight="false" outlineLevel="0" collapsed="false">
      <c r="A141" s="22"/>
      <c r="B141" s="23"/>
      <c r="C141" s="23"/>
      <c r="D141" s="23"/>
      <c r="E141" s="24"/>
      <c r="F141" s="23"/>
      <c r="G141" s="23"/>
      <c r="H141" s="21" t="str">
        <f aca="false">IF(A141="","",DATE(YEAR(A141),MONTH(A141),1))</f>
        <v/>
      </c>
    </row>
    <row r="142" customFormat="false" ht="15" hidden="false" customHeight="false" outlineLevel="0" collapsed="false">
      <c r="A142" s="22"/>
      <c r="B142" s="23"/>
      <c r="C142" s="23"/>
      <c r="D142" s="23"/>
      <c r="E142" s="24"/>
      <c r="F142" s="23"/>
      <c r="G142" s="23"/>
      <c r="H142" s="21" t="str">
        <f aca="false">IF(A142="","",DATE(YEAR(A142),MONTH(A142),1))</f>
        <v/>
      </c>
    </row>
    <row r="143" customFormat="false" ht="15" hidden="false" customHeight="false" outlineLevel="0" collapsed="false">
      <c r="A143" s="22"/>
      <c r="B143" s="23"/>
      <c r="C143" s="23"/>
      <c r="D143" s="23"/>
      <c r="E143" s="24"/>
      <c r="F143" s="23"/>
      <c r="G143" s="23"/>
      <c r="H143" s="21" t="str">
        <f aca="false">IF(A143="","",DATE(YEAR(A143),MONTH(A143),1))</f>
        <v/>
      </c>
    </row>
    <row r="144" customFormat="false" ht="15" hidden="false" customHeight="false" outlineLevel="0" collapsed="false">
      <c r="A144" s="22"/>
      <c r="B144" s="23"/>
      <c r="C144" s="23"/>
      <c r="D144" s="23"/>
      <c r="E144" s="24"/>
      <c r="F144" s="23"/>
      <c r="G144" s="23"/>
      <c r="H144" s="21" t="str">
        <f aca="false">IF(A144="","",DATE(YEAR(A144),MONTH(A144),1))</f>
        <v/>
      </c>
    </row>
    <row r="145" customFormat="false" ht="15" hidden="false" customHeight="false" outlineLevel="0" collapsed="false">
      <c r="A145" s="22"/>
      <c r="B145" s="23"/>
      <c r="C145" s="23"/>
      <c r="D145" s="23"/>
      <c r="E145" s="24"/>
      <c r="F145" s="23"/>
      <c r="G145" s="23"/>
      <c r="H145" s="21" t="str">
        <f aca="false">IF(A145="","",DATE(YEAR(A145),MONTH(A145),1))</f>
        <v/>
      </c>
    </row>
    <row r="146" customFormat="false" ht="15" hidden="false" customHeight="false" outlineLevel="0" collapsed="false">
      <c r="A146" s="22"/>
      <c r="B146" s="23"/>
      <c r="C146" s="23"/>
      <c r="D146" s="23"/>
      <c r="E146" s="24"/>
      <c r="F146" s="23"/>
      <c r="G146" s="23"/>
      <c r="H146" s="21" t="str">
        <f aca="false">IF(A146="","",DATE(YEAR(A146),MONTH(A146),1))</f>
        <v/>
      </c>
    </row>
    <row r="147" customFormat="false" ht="15" hidden="false" customHeight="false" outlineLevel="0" collapsed="false">
      <c r="A147" s="22"/>
      <c r="B147" s="23"/>
      <c r="C147" s="23"/>
      <c r="D147" s="23"/>
      <c r="E147" s="24"/>
      <c r="F147" s="23"/>
      <c r="G147" s="23"/>
      <c r="H147" s="21" t="str">
        <f aca="false">IF(A147="","",DATE(YEAR(A147),MONTH(A147),1))</f>
        <v/>
      </c>
    </row>
    <row r="148" customFormat="false" ht="15" hidden="false" customHeight="false" outlineLevel="0" collapsed="false">
      <c r="A148" s="22"/>
      <c r="B148" s="23"/>
      <c r="C148" s="23"/>
      <c r="D148" s="23"/>
      <c r="E148" s="24"/>
      <c r="F148" s="23"/>
      <c r="G148" s="23"/>
      <c r="H148" s="21" t="str">
        <f aca="false">IF(A148="","",DATE(YEAR(A148),MONTH(A148),1))</f>
        <v/>
      </c>
    </row>
    <row r="149" customFormat="false" ht="15" hidden="false" customHeight="false" outlineLevel="0" collapsed="false">
      <c r="A149" s="22"/>
      <c r="B149" s="23"/>
      <c r="C149" s="23"/>
      <c r="D149" s="23"/>
      <c r="E149" s="24"/>
      <c r="F149" s="23"/>
      <c r="G149" s="23"/>
      <c r="H149" s="21" t="str">
        <f aca="false">IF(A149="","",DATE(YEAR(A149),MONTH(A149),1))</f>
        <v/>
      </c>
    </row>
    <row r="150" customFormat="false" ht="15" hidden="false" customHeight="false" outlineLevel="0" collapsed="false">
      <c r="A150" s="22"/>
      <c r="B150" s="23"/>
      <c r="C150" s="23"/>
      <c r="D150" s="23"/>
      <c r="E150" s="24"/>
      <c r="F150" s="23"/>
      <c r="G150" s="23"/>
      <c r="H150" s="21" t="str">
        <f aca="false">IF(A150="","",DATE(YEAR(A150),MONTH(A150),1))</f>
        <v/>
      </c>
    </row>
    <row r="151" customFormat="false" ht="15" hidden="false" customHeight="false" outlineLevel="0" collapsed="false">
      <c r="A151" s="22"/>
      <c r="B151" s="23"/>
      <c r="C151" s="23"/>
      <c r="D151" s="23"/>
      <c r="E151" s="24"/>
      <c r="F151" s="23"/>
      <c r="G151" s="23"/>
      <c r="H151" s="21" t="str">
        <f aca="false">IF(A151="","",DATE(YEAR(A151),MONTH(A151),1))</f>
        <v/>
      </c>
    </row>
    <row r="152" customFormat="false" ht="15" hidden="false" customHeight="false" outlineLevel="0" collapsed="false">
      <c r="A152" s="22"/>
      <c r="B152" s="23"/>
      <c r="C152" s="23"/>
      <c r="D152" s="23"/>
      <c r="E152" s="24"/>
      <c r="F152" s="23"/>
      <c r="G152" s="23"/>
      <c r="H152" s="21" t="str">
        <f aca="false">IF(A152="","",DATE(YEAR(A152),MONTH(A152),1))</f>
        <v/>
      </c>
    </row>
    <row r="153" customFormat="false" ht="15" hidden="false" customHeight="false" outlineLevel="0" collapsed="false">
      <c r="A153" s="22"/>
      <c r="B153" s="23"/>
      <c r="C153" s="23"/>
      <c r="D153" s="23"/>
      <c r="E153" s="24"/>
      <c r="F153" s="23"/>
      <c r="G153" s="23"/>
      <c r="H153" s="21" t="str">
        <f aca="false">IF(A153="","",DATE(YEAR(A153),MONTH(A153),1))</f>
        <v/>
      </c>
    </row>
    <row r="154" customFormat="false" ht="15" hidden="false" customHeight="false" outlineLevel="0" collapsed="false">
      <c r="A154" s="22"/>
      <c r="B154" s="23"/>
      <c r="C154" s="23"/>
      <c r="D154" s="23"/>
      <c r="E154" s="24"/>
      <c r="F154" s="23"/>
      <c r="G154" s="23"/>
      <c r="H154" s="21" t="str">
        <f aca="false">IF(A154="","",DATE(YEAR(A154),MONTH(A154),1))</f>
        <v/>
      </c>
    </row>
    <row r="155" customFormat="false" ht="15" hidden="false" customHeight="false" outlineLevel="0" collapsed="false">
      <c r="A155" s="22"/>
      <c r="B155" s="23"/>
      <c r="C155" s="23"/>
      <c r="D155" s="23"/>
      <c r="E155" s="24"/>
      <c r="F155" s="23"/>
      <c r="G155" s="23"/>
      <c r="H155" s="21" t="str">
        <f aca="false">IF(A155="","",DATE(YEAR(A155),MONTH(A155),1))</f>
        <v/>
      </c>
    </row>
    <row r="156" customFormat="false" ht="15" hidden="false" customHeight="false" outlineLevel="0" collapsed="false">
      <c r="A156" s="22"/>
      <c r="B156" s="23"/>
      <c r="C156" s="23"/>
      <c r="D156" s="23"/>
      <c r="E156" s="24"/>
      <c r="F156" s="23"/>
      <c r="G156" s="23"/>
      <c r="H156" s="21" t="str">
        <f aca="false">IF(A156="","",DATE(YEAR(A156),MONTH(A156),1))</f>
        <v/>
      </c>
    </row>
    <row r="157" customFormat="false" ht="15" hidden="false" customHeight="false" outlineLevel="0" collapsed="false">
      <c r="A157" s="22"/>
      <c r="B157" s="23"/>
      <c r="C157" s="23"/>
      <c r="D157" s="23"/>
      <c r="E157" s="24"/>
      <c r="F157" s="23"/>
      <c r="G157" s="23"/>
      <c r="H157" s="21" t="str">
        <f aca="false">IF(A157="","",DATE(YEAR(A157),MONTH(A157),1))</f>
        <v/>
      </c>
    </row>
    <row r="158" customFormat="false" ht="15" hidden="false" customHeight="false" outlineLevel="0" collapsed="false">
      <c r="A158" s="22"/>
      <c r="B158" s="23"/>
      <c r="C158" s="23"/>
      <c r="D158" s="23"/>
      <c r="E158" s="24"/>
      <c r="F158" s="23"/>
      <c r="G158" s="23"/>
      <c r="H158" s="21" t="str">
        <f aca="false">IF(A158="","",DATE(YEAR(A158),MONTH(A158),1))</f>
        <v/>
      </c>
    </row>
    <row r="159" customFormat="false" ht="15" hidden="false" customHeight="false" outlineLevel="0" collapsed="false">
      <c r="A159" s="22"/>
      <c r="B159" s="23"/>
      <c r="C159" s="23"/>
      <c r="D159" s="23"/>
      <c r="E159" s="24"/>
      <c r="F159" s="23"/>
      <c r="G159" s="23"/>
      <c r="H159" s="21" t="str">
        <f aca="false">IF(A159="","",DATE(YEAR(A159),MONTH(A159),1))</f>
        <v/>
      </c>
    </row>
    <row r="160" customFormat="false" ht="15" hidden="false" customHeight="false" outlineLevel="0" collapsed="false">
      <c r="A160" s="22"/>
      <c r="B160" s="23"/>
      <c r="C160" s="23"/>
      <c r="D160" s="23"/>
      <c r="E160" s="24"/>
      <c r="F160" s="23"/>
      <c r="G160" s="23"/>
      <c r="H160" s="21" t="str">
        <f aca="false">IF(A160="","",DATE(YEAR(A160),MONTH(A160),1))</f>
        <v/>
      </c>
    </row>
    <row r="161" customFormat="false" ht="15" hidden="false" customHeight="false" outlineLevel="0" collapsed="false">
      <c r="A161" s="22"/>
      <c r="B161" s="23"/>
      <c r="C161" s="23"/>
      <c r="D161" s="23"/>
      <c r="E161" s="24"/>
      <c r="F161" s="23"/>
      <c r="G161" s="23"/>
      <c r="H161" s="21" t="str">
        <f aca="false">IF(A161="","",DATE(YEAR(A161),MONTH(A161),1))</f>
        <v/>
      </c>
    </row>
    <row r="162" customFormat="false" ht="15" hidden="false" customHeight="false" outlineLevel="0" collapsed="false">
      <c r="A162" s="22"/>
      <c r="B162" s="23"/>
      <c r="C162" s="23"/>
      <c r="D162" s="23"/>
      <c r="E162" s="24"/>
      <c r="F162" s="23"/>
      <c r="G162" s="23"/>
      <c r="H162" s="21" t="str">
        <f aca="false">IF(A162="","",DATE(YEAR(A162),MONTH(A162),1))</f>
        <v/>
      </c>
    </row>
    <row r="163" customFormat="false" ht="15" hidden="false" customHeight="false" outlineLevel="0" collapsed="false">
      <c r="A163" s="22"/>
      <c r="B163" s="23"/>
      <c r="C163" s="23"/>
      <c r="D163" s="23"/>
      <c r="E163" s="24"/>
      <c r="F163" s="23"/>
      <c r="G163" s="23"/>
      <c r="H163" s="21" t="str">
        <f aca="false">IF(A163="","",DATE(YEAR(A163),MONTH(A163),1))</f>
        <v/>
      </c>
    </row>
    <row r="164" customFormat="false" ht="15" hidden="false" customHeight="false" outlineLevel="0" collapsed="false">
      <c r="A164" s="22"/>
      <c r="B164" s="23"/>
      <c r="C164" s="23"/>
      <c r="D164" s="23"/>
      <c r="E164" s="24"/>
      <c r="F164" s="23"/>
      <c r="G164" s="23"/>
      <c r="H164" s="21" t="str">
        <f aca="false">IF(A164="","",DATE(YEAR(A164),MONTH(A164),1))</f>
        <v/>
      </c>
    </row>
    <row r="165" customFormat="false" ht="15" hidden="false" customHeight="false" outlineLevel="0" collapsed="false">
      <c r="A165" s="22"/>
      <c r="B165" s="23"/>
      <c r="C165" s="23"/>
      <c r="D165" s="23"/>
      <c r="E165" s="24"/>
      <c r="F165" s="23"/>
      <c r="G165" s="23"/>
      <c r="H165" s="21" t="str">
        <f aca="false">IF(A165="","",DATE(YEAR(A165),MONTH(A165),1))</f>
        <v/>
      </c>
    </row>
    <row r="166" customFormat="false" ht="15" hidden="false" customHeight="false" outlineLevel="0" collapsed="false">
      <c r="A166" s="22"/>
      <c r="B166" s="23"/>
      <c r="C166" s="23"/>
      <c r="D166" s="23"/>
      <c r="E166" s="24"/>
      <c r="F166" s="23"/>
      <c r="G166" s="23"/>
      <c r="H166" s="21" t="str">
        <f aca="false">IF(A166="","",DATE(YEAR(A166),MONTH(A166),1))</f>
        <v/>
      </c>
    </row>
    <row r="167" customFormat="false" ht="15" hidden="false" customHeight="false" outlineLevel="0" collapsed="false">
      <c r="A167" s="22"/>
      <c r="B167" s="23"/>
      <c r="C167" s="23"/>
      <c r="D167" s="23"/>
      <c r="E167" s="24"/>
      <c r="F167" s="23"/>
      <c r="G167" s="23"/>
      <c r="H167" s="21" t="str">
        <f aca="false">IF(A167="","",DATE(YEAR(A167),MONTH(A167),1))</f>
        <v/>
      </c>
    </row>
    <row r="168" customFormat="false" ht="15" hidden="false" customHeight="false" outlineLevel="0" collapsed="false">
      <c r="A168" s="22"/>
      <c r="B168" s="23"/>
      <c r="C168" s="23"/>
      <c r="D168" s="23"/>
      <c r="E168" s="24"/>
      <c r="F168" s="23"/>
      <c r="G168" s="23"/>
      <c r="H168" s="21" t="str">
        <f aca="false">IF(A168="","",DATE(YEAR(A168),MONTH(A168),1))</f>
        <v/>
      </c>
    </row>
    <row r="169" customFormat="false" ht="15" hidden="false" customHeight="false" outlineLevel="0" collapsed="false">
      <c r="A169" s="22"/>
      <c r="B169" s="23"/>
      <c r="C169" s="23"/>
      <c r="D169" s="23"/>
      <c r="E169" s="24"/>
      <c r="F169" s="23"/>
      <c r="G169" s="23"/>
      <c r="H169" s="21" t="str">
        <f aca="false">IF(A169="","",DATE(YEAR(A169),MONTH(A169),1))</f>
        <v/>
      </c>
    </row>
    <row r="170" customFormat="false" ht="15" hidden="false" customHeight="false" outlineLevel="0" collapsed="false">
      <c r="A170" s="22"/>
      <c r="B170" s="23"/>
      <c r="C170" s="23"/>
      <c r="D170" s="23"/>
      <c r="E170" s="24"/>
      <c r="F170" s="23"/>
      <c r="G170" s="23"/>
      <c r="H170" s="21" t="str">
        <f aca="false">IF(A170="","",DATE(YEAR(A170),MONTH(A170),1))</f>
        <v/>
      </c>
    </row>
    <row r="171" customFormat="false" ht="15" hidden="false" customHeight="false" outlineLevel="0" collapsed="false">
      <c r="A171" s="22"/>
      <c r="B171" s="23"/>
      <c r="C171" s="23"/>
      <c r="D171" s="23"/>
      <c r="E171" s="24"/>
      <c r="F171" s="23"/>
      <c r="G171" s="23"/>
      <c r="H171" s="21" t="str">
        <f aca="false">IF(A171="","",DATE(YEAR(A171),MONTH(A171),1))</f>
        <v/>
      </c>
    </row>
    <row r="172" customFormat="false" ht="15" hidden="false" customHeight="false" outlineLevel="0" collapsed="false">
      <c r="A172" s="22"/>
      <c r="B172" s="23"/>
      <c r="C172" s="23"/>
      <c r="D172" s="23"/>
      <c r="E172" s="24"/>
      <c r="F172" s="23"/>
      <c r="G172" s="23"/>
      <c r="H172" s="21" t="str">
        <f aca="false">IF(A172="","",DATE(YEAR(A172),MONTH(A172),1))</f>
        <v/>
      </c>
    </row>
    <row r="173" customFormat="false" ht="15" hidden="false" customHeight="false" outlineLevel="0" collapsed="false">
      <c r="A173" s="22"/>
      <c r="B173" s="23"/>
      <c r="C173" s="23"/>
      <c r="D173" s="23"/>
      <c r="E173" s="24"/>
      <c r="F173" s="23"/>
      <c r="G173" s="23"/>
      <c r="H173" s="21" t="str">
        <f aca="false">IF(A173="","",DATE(YEAR(A173),MONTH(A173),1))</f>
        <v/>
      </c>
    </row>
    <row r="174" customFormat="false" ht="15" hidden="false" customHeight="false" outlineLevel="0" collapsed="false">
      <c r="A174" s="22"/>
      <c r="B174" s="23"/>
      <c r="C174" s="23"/>
      <c r="D174" s="23"/>
      <c r="E174" s="24"/>
      <c r="F174" s="23"/>
      <c r="G174" s="23"/>
      <c r="H174" s="21" t="str">
        <f aca="false">IF(A174="","",DATE(YEAR(A174),MONTH(A174),1))</f>
        <v/>
      </c>
    </row>
    <row r="175" customFormat="false" ht="15" hidden="false" customHeight="false" outlineLevel="0" collapsed="false">
      <c r="A175" s="22"/>
      <c r="B175" s="23"/>
      <c r="C175" s="23"/>
      <c r="D175" s="23"/>
      <c r="E175" s="24"/>
      <c r="F175" s="23"/>
      <c r="G175" s="23"/>
      <c r="H175" s="21" t="str">
        <f aca="false">IF(A175="","",DATE(YEAR(A175),MONTH(A175),1))</f>
        <v/>
      </c>
    </row>
    <row r="176" customFormat="false" ht="15" hidden="false" customHeight="false" outlineLevel="0" collapsed="false">
      <c r="A176" s="22"/>
      <c r="B176" s="23"/>
      <c r="C176" s="23"/>
      <c r="D176" s="23"/>
      <c r="E176" s="24"/>
      <c r="F176" s="23"/>
      <c r="G176" s="23"/>
      <c r="H176" s="21" t="str">
        <f aca="false">IF(A176="","",DATE(YEAR(A176),MONTH(A176),1))</f>
        <v/>
      </c>
    </row>
    <row r="177" customFormat="false" ht="15" hidden="false" customHeight="false" outlineLevel="0" collapsed="false">
      <c r="A177" s="22"/>
      <c r="B177" s="23"/>
      <c r="C177" s="23"/>
      <c r="D177" s="23"/>
      <c r="E177" s="24"/>
      <c r="F177" s="23"/>
      <c r="G177" s="23"/>
      <c r="H177" s="21" t="str">
        <f aca="false">IF(A177="","",DATE(YEAR(A177),MONTH(A177),1))</f>
        <v/>
      </c>
    </row>
    <row r="178" customFormat="false" ht="15" hidden="false" customHeight="false" outlineLevel="0" collapsed="false">
      <c r="A178" s="22"/>
      <c r="B178" s="23"/>
      <c r="C178" s="23"/>
      <c r="D178" s="23"/>
      <c r="E178" s="24"/>
      <c r="F178" s="23"/>
      <c r="G178" s="23"/>
      <c r="H178" s="21" t="str">
        <f aca="false">IF(A178="","",DATE(YEAR(A178),MONTH(A178),1))</f>
        <v/>
      </c>
    </row>
    <row r="179" customFormat="false" ht="15" hidden="false" customHeight="false" outlineLevel="0" collapsed="false">
      <c r="A179" s="22"/>
      <c r="B179" s="23"/>
      <c r="C179" s="23"/>
      <c r="D179" s="23"/>
      <c r="E179" s="24"/>
      <c r="F179" s="23"/>
      <c r="G179" s="23"/>
      <c r="H179" s="21" t="str">
        <f aca="false">IF(A179="","",DATE(YEAR(A179),MONTH(A179),1))</f>
        <v/>
      </c>
    </row>
    <row r="180" customFormat="false" ht="15" hidden="false" customHeight="false" outlineLevel="0" collapsed="false">
      <c r="A180" s="22"/>
      <c r="B180" s="23"/>
      <c r="C180" s="23"/>
      <c r="D180" s="23"/>
      <c r="E180" s="24"/>
      <c r="F180" s="23"/>
      <c r="G180" s="23"/>
      <c r="H180" s="21" t="str">
        <f aca="false">IF(A180="","",DATE(YEAR(A180),MONTH(A180),1))</f>
        <v/>
      </c>
    </row>
    <row r="181" customFormat="false" ht="15" hidden="false" customHeight="false" outlineLevel="0" collapsed="false">
      <c r="A181" s="22"/>
      <c r="B181" s="23"/>
      <c r="C181" s="23"/>
      <c r="D181" s="23"/>
      <c r="E181" s="24"/>
      <c r="F181" s="23"/>
      <c r="G181" s="23"/>
      <c r="H181" s="21" t="str">
        <f aca="false">IF(A181="","",DATE(YEAR(A181),MONTH(A181),1))</f>
        <v/>
      </c>
    </row>
    <row r="182" customFormat="false" ht="15" hidden="false" customHeight="false" outlineLevel="0" collapsed="false">
      <c r="A182" s="22"/>
      <c r="B182" s="23"/>
      <c r="C182" s="23"/>
      <c r="D182" s="23"/>
      <c r="E182" s="24"/>
      <c r="F182" s="23"/>
      <c r="G182" s="23"/>
      <c r="H182" s="21" t="str">
        <f aca="false">IF(A182="","",DATE(YEAR(A182),MONTH(A182),1))</f>
        <v/>
      </c>
    </row>
    <row r="183" customFormat="false" ht="15" hidden="false" customHeight="false" outlineLevel="0" collapsed="false">
      <c r="A183" s="22"/>
      <c r="B183" s="23"/>
      <c r="C183" s="23"/>
      <c r="D183" s="23"/>
      <c r="E183" s="24"/>
      <c r="F183" s="23"/>
      <c r="G183" s="23"/>
      <c r="H183" s="21" t="str">
        <f aca="false">IF(A183="","",DATE(YEAR(A183),MONTH(A183),1))</f>
        <v/>
      </c>
    </row>
    <row r="184" customFormat="false" ht="15" hidden="false" customHeight="false" outlineLevel="0" collapsed="false">
      <c r="A184" s="22"/>
      <c r="B184" s="23"/>
      <c r="C184" s="23"/>
      <c r="D184" s="23"/>
      <c r="E184" s="24"/>
      <c r="F184" s="23"/>
      <c r="G184" s="23"/>
      <c r="H184" s="21" t="str">
        <f aca="false">IF(A184="","",DATE(YEAR(A184),MONTH(A184),1))</f>
        <v/>
      </c>
    </row>
    <row r="185" customFormat="false" ht="15" hidden="false" customHeight="false" outlineLevel="0" collapsed="false">
      <c r="A185" s="22"/>
      <c r="B185" s="23"/>
      <c r="C185" s="23"/>
      <c r="D185" s="23"/>
      <c r="E185" s="24"/>
      <c r="F185" s="23"/>
      <c r="G185" s="23"/>
      <c r="H185" s="21" t="str">
        <f aca="false">IF(A185="","",DATE(YEAR(A185),MONTH(A185),1))</f>
        <v/>
      </c>
    </row>
    <row r="186" customFormat="false" ht="15" hidden="false" customHeight="false" outlineLevel="0" collapsed="false">
      <c r="A186" s="22"/>
      <c r="B186" s="23"/>
      <c r="C186" s="23"/>
      <c r="D186" s="23"/>
      <c r="E186" s="24"/>
      <c r="F186" s="23"/>
      <c r="G186" s="23"/>
      <c r="H186" s="21" t="str">
        <f aca="false">IF(A186="","",DATE(YEAR(A186),MONTH(A186),1))</f>
        <v/>
      </c>
    </row>
    <row r="187" customFormat="false" ht="15" hidden="false" customHeight="false" outlineLevel="0" collapsed="false">
      <c r="A187" s="22"/>
      <c r="B187" s="23"/>
      <c r="C187" s="23"/>
      <c r="D187" s="23"/>
      <c r="E187" s="24"/>
      <c r="F187" s="23"/>
      <c r="G187" s="23"/>
      <c r="H187" s="21" t="str">
        <f aca="false">IF(A187="","",DATE(YEAR(A187),MONTH(A187),1))</f>
        <v/>
      </c>
    </row>
    <row r="188" customFormat="false" ht="15" hidden="false" customHeight="false" outlineLevel="0" collapsed="false">
      <c r="A188" s="22"/>
      <c r="B188" s="23"/>
      <c r="C188" s="23"/>
      <c r="D188" s="23"/>
      <c r="E188" s="24"/>
      <c r="F188" s="23"/>
      <c r="G188" s="23"/>
      <c r="H188" s="21" t="str">
        <f aca="false">IF(A188="","",DATE(YEAR(A188),MONTH(A188),1))</f>
        <v/>
      </c>
    </row>
    <row r="189" customFormat="false" ht="15" hidden="false" customHeight="false" outlineLevel="0" collapsed="false">
      <c r="A189" s="22"/>
      <c r="B189" s="23"/>
      <c r="C189" s="23"/>
      <c r="D189" s="23"/>
      <c r="E189" s="24"/>
      <c r="F189" s="23"/>
      <c r="G189" s="23"/>
      <c r="H189" s="21" t="str">
        <f aca="false">IF(A189="","",DATE(YEAR(A189),MONTH(A189),1))</f>
        <v/>
      </c>
    </row>
    <row r="190" customFormat="false" ht="15" hidden="false" customHeight="false" outlineLevel="0" collapsed="false">
      <c r="A190" s="22"/>
      <c r="B190" s="23"/>
      <c r="C190" s="23"/>
      <c r="D190" s="23"/>
      <c r="E190" s="24"/>
      <c r="F190" s="23"/>
      <c r="G190" s="23"/>
      <c r="H190" s="21" t="str">
        <f aca="false">IF(A190="","",DATE(YEAR(A190),MONTH(A190),1))</f>
        <v/>
      </c>
    </row>
    <row r="191" customFormat="false" ht="15" hidden="false" customHeight="false" outlineLevel="0" collapsed="false">
      <c r="A191" s="22"/>
      <c r="B191" s="23"/>
      <c r="C191" s="23"/>
      <c r="D191" s="23"/>
      <c r="E191" s="24"/>
      <c r="F191" s="23"/>
      <c r="G191" s="23"/>
      <c r="H191" s="21" t="str">
        <f aca="false">IF(A191="","",DATE(YEAR(A191),MONTH(A191),1))</f>
        <v/>
      </c>
    </row>
    <row r="192" customFormat="false" ht="15" hidden="false" customHeight="false" outlineLevel="0" collapsed="false">
      <c r="A192" s="22"/>
      <c r="B192" s="23"/>
      <c r="C192" s="23"/>
      <c r="D192" s="23"/>
      <c r="E192" s="24"/>
      <c r="F192" s="23"/>
      <c r="G192" s="23"/>
      <c r="H192" s="21" t="str">
        <f aca="false">IF(A192="","",DATE(YEAR(A192),MONTH(A192),1))</f>
        <v/>
      </c>
    </row>
    <row r="193" customFormat="false" ht="15" hidden="false" customHeight="false" outlineLevel="0" collapsed="false">
      <c r="A193" s="22"/>
      <c r="B193" s="23"/>
      <c r="C193" s="23"/>
      <c r="D193" s="23"/>
      <c r="E193" s="24"/>
      <c r="F193" s="23"/>
      <c r="G193" s="23"/>
      <c r="H193" s="21" t="str">
        <f aca="false">IF(A193="","",DATE(YEAR(A193),MONTH(A193),1))</f>
        <v/>
      </c>
    </row>
    <row r="194" customFormat="false" ht="15" hidden="false" customHeight="false" outlineLevel="0" collapsed="false">
      <c r="A194" s="22"/>
      <c r="B194" s="23"/>
      <c r="C194" s="23"/>
      <c r="D194" s="23"/>
      <c r="E194" s="24"/>
      <c r="F194" s="23"/>
      <c r="G194" s="23"/>
      <c r="H194" s="21" t="str">
        <f aca="false">IF(A194="","",DATE(YEAR(A194),MONTH(A194),1))</f>
        <v/>
      </c>
    </row>
    <row r="195" customFormat="false" ht="15" hidden="false" customHeight="false" outlineLevel="0" collapsed="false">
      <c r="A195" s="22"/>
      <c r="B195" s="23"/>
      <c r="C195" s="23"/>
      <c r="D195" s="23"/>
      <c r="E195" s="24"/>
      <c r="F195" s="23"/>
      <c r="G195" s="23"/>
      <c r="H195" s="21" t="str">
        <f aca="false">IF(A195="","",DATE(YEAR(A195),MONTH(A195),1))</f>
        <v/>
      </c>
    </row>
    <row r="196" customFormat="false" ht="15" hidden="false" customHeight="false" outlineLevel="0" collapsed="false">
      <c r="A196" s="22"/>
      <c r="B196" s="23"/>
      <c r="C196" s="23"/>
      <c r="D196" s="23"/>
      <c r="E196" s="24"/>
      <c r="F196" s="23"/>
      <c r="G196" s="23"/>
      <c r="H196" s="21" t="str">
        <f aca="false">IF(A196="","",DATE(YEAR(A196),MONTH(A196),1))</f>
        <v/>
      </c>
    </row>
    <row r="197" customFormat="false" ht="15" hidden="false" customHeight="false" outlineLevel="0" collapsed="false">
      <c r="A197" s="22"/>
      <c r="B197" s="23"/>
      <c r="C197" s="23"/>
      <c r="D197" s="23"/>
      <c r="E197" s="24"/>
      <c r="F197" s="23"/>
      <c r="G197" s="23"/>
      <c r="H197" s="21" t="str">
        <f aca="false">IF(A197="","",DATE(YEAR(A197),MONTH(A197),1))</f>
        <v/>
      </c>
    </row>
    <row r="198" customFormat="false" ht="15" hidden="false" customHeight="false" outlineLevel="0" collapsed="false">
      <c r="A198" s="22"/>
      <c r="B198" s="23"/>
      <c r="C198" s="23"/>
      <c r="D198" s="23"/>
      <c r="E198" s="24"/>
      <c r="F198" s="23"/>
      <c r="G198" s="23"/>
      <c r="H198" s="21" t="str">
        <f aca="false">IF(A198="","",DATE(YEAR(A198),MONTH(A198),1))</f>
        <v/>
      </c>
    </row>
    <row r="199" customFormat="false" ht="15" hidden="false" customHeight="false" outlineLevel="0" collapsed="false">
      <c r="A199" s="22"/>
      <c r="B199" s="23"/>
      <c r="C199" s="23"/>
      <c r="D199" s="23"/>
      <c r="E199" s="24"/>
      <c r="F199" s="23"/>
      <c r="G199" s="23"/>
      <c r="H199" s="21" t="str">
        <f aca="false">IF(A199="","",DATE(YEAR(A199),MONTH(A199),1))</f>
        <v/>
      </c>
    </row>
    <row r="200" customFormat="false" ht="15" hidden="false" customHeight="false" outlineLevel="0" collapsed="false">
      <c r="A200" s="22"/>
      <c r="B200" s="23"/>
      <c r="C200" s="23"/>
      <c r="D200" s="23"/>
      <c r="E200" s="24"/>
      <c r="F200" s="23"/>
      <c r="G200" s="23"/>
      <c r="H200" s="21" t="str">
        <f aca="false">IF(A200="","",DATE(YEAR(A200),MONTH(A200),1))</f>
        <v/>
      </c>
    </row>
    <row r="201" customFormat="false" ht="15" hidden="false" customHeight="false" outlineLevel="0" collapsed="false">
      <c r="A201" s="22"/>
      <c r="B201" s="23"/>
      <c r="C201" s="23"/>
      <c r="D201" s="23"/>
      <c r="E201" s="24"/>
      <c r="F201" s="23"/>
      <c r="G201" s="23"/>
      <c r="H201" s="21" t="str">
        <f aca="false">IF(A201="","",DATE(YEAR(A201),MONTH(A201),1))</f>
        <v/>
      </c>
    </row>
    <row r="202" customFormat="false" ht="15" hidden="false" customHeight="false" outlineLevel="0" collapsed="false">
      <c r="A202" s="22"/>
      <c r="B202" s="23"/>
      <c r="C202" s="23"/>
      <c r="D202" s="23"/>
      <c r="E202" s="24"/>
      <c r="F202" s="23"/>
      <c r="G202" s="23"/>
      <c r="H202" s="21" t="str">
        <f aca="false">IF(A202="","",DATE(YEAR(A202),MONTH(A202),1))</f>
        <v/>
      </c>
    </row>
    <row r="203" customFormat="false" ht="15" hidden="false" customHeight="false" outlineLevel="0" collapsed="false">
      <c r="A203" s="22"/>
      <c r="B203" s="23"/>
      <c r="C203" s="23"/>
      <c r="D203" s="23"/>
      <c r="E203" s="24"/>
      <c r="F203" s="23"/>
      <c r="G203" s="23"/>
      <c r="H203" s="21" t="str">
        <f aca="false">IF(A203="","",DATE(YEAR(A203),MONTH(A203),1))</f>
        <v/>
      </c>
    </row>
    <row r="204" customFormat="false" ht="15" hidden="false" customHeight="false" outlineLevel="0" collapsed="false">
      <c r="A204" s="22"/>
      <c r="B204" s="23"/>
      <c r="C204" s="23"/>
      <c r="D204" s="23"/>
      <c r="E204" s="24"/>
      <c r="F204" s="23"/>
      <c r="G204" s="23"/>
      <c r="H204" s="21" t="str">
        <f aca="false">IF(A204="","",DATE(YEAR(A204),MONTH(A204),1))</f>
        <v/>
      </c>
    </row>
    <row r="205" customFormat="false" ht="15" hidden="false" customHeight="false" outlineLevel="0" collapsed="false">
      <c r="A205" s="22"/>
      <c r="B205" s="23"/>
      <c r="C205" s="23"/>
      <c r="D205" s="23"/>
      <c r="E205" s="24"/>
      <c r="F205" s="23"/>
      <c r="G205" s="23"/>
      <c r="H205" s="21" t="str">
        <f aca="false">IF(A205="","",DATE(YEAR(A205),MONTH(A205),1))</f>
        <v/>
      </c>
    </row>
    <row r="206" customFormat="false" ht="15" hidden="false" customHeight="false" outlineLevel="0" collapsed="false">
      <c r="A206" s="22"/>
      <c r="B206" s="23"/>
      <c r="C206" s="23"/>
      <c r="D206" s="23"/>
      <c r="E206" s="24"/>
      <c r="F206" s="23"/>
      <c r="G206" s="23"/>
      <c r="H206" s="21" t="str">
        <f aca="false">IF(A206="","",DATE(YEAR(A206),MONTH(A206),1))</f>
        <v/>
      </c>
    </row>
    <row r="207" customFormat="false" ht="15" hidden="false" customHeight="false" outlineLevel="0" collapsed="false">
      <c r="A207" s="22"/>
      <c r="B207" s="23"/>
      <c r="C207" s="23"/>
      <c r="D207" s="23"/>
      <c r="E207" s="24"/>
      <c r="F207" s="23"/>
      <c r="G207" s="23"/>
      <c r="H207" s="21" t="str">
        <f aca="false">IF(A207="","",DATE(YEAR(A207),MONTH(A207),1))</f>
        <v/>
      </c>
    </row>
    <row r="208" customFormat="false" ht="15" hidden="false" customHeight="false" outlineLevel="0" collapsed="false">
      <c r="A208" s="22"/>
      <c r="B208" s="23"/>
      <c r="C208" s="23"/>
      <c r="D208" s="23"/>
      <c r="E208" s="24"/>
      <c r="F208" s="23"/>
      <c r="G208" s="23"/>
      <c r="H208" s="21" t="str">
        <f aca="false">IF(A208="","",DATE(YEAR(A208),MONTH(A208),1))</f>
        <v/>
      </c>
    </row>
    <row r="209" customFormat="false" ht="15" hidden="false" customHeight="false" outlineLevel="0" collapsed="false">
      <c r="A209" s="22"/>
      <c r="B209" s="23"/>
      <c r="C209" s="23"/>
      <c r="D209" s="23"/>
      <c r="E209" s="24"/>
      <c r="F209" s="23"/>
      <c r="G209" s="23"/>
      <c r="H209" s="21" t="str">
        <f aca="false">IF(A209="","",DATE(YEAR(A209),MONTH(A209),1))</f>
        <v/>
      </c>
    </row>
    <row r="210" customFormat="false" ht="15" hidden="false" customHeight="false" outlineLevel="0" collapsed="false">
      <c r="A210" s="22"/>
      <c r="B210" s="23"/>
      <c r="C210" s="23"/>
      <c r="D210" s="23"/>
      <c r="E210" s="24"/>
      <c r="F210" s="23"/>
      <c r="G210" s="23"/>
      <c r="H210" s="21" t="str">
        <f aca="false">IF(A210="","",DATE(YEAR(A210),MONTH(A210),1))</f>
        <v/>
      </c>
    </row>
    <row r="211" customFormat="false" ht="15" hidden="false" customHeight="false" outlineLevel="0" collapsed="false">
      <c r="A211" s="22"/>
      <c r="B211" s="23"/>
      <c r="C211" s="23"/>
      <c r="D211" s="23"/>
      <c r="E211" s="24"/>
      <c r="F211" s="23"/>
      <c r="G211" s="23"/>
      <c r="H211" s="21" t="str">
        <f aca="false">IF(A211="","",DATE(YEAR(A211),MONTH(A211),1))</f>
        <v/>
      </c>
    </row>
    <row r="212" customFormat="false" ht="15" hidden="false" customHeight="false" outlineLevel="0" collapsed="false">
      <c r="A212" s="22"/>
      <c r="B212" s="23"/>
      <c r="C212" s="23"/>
      <c r="D212" s="23"/>
      <c r="E212" s="24"/>
      <c r="F212" s="23"/>
      <c r="G212" s="23"/>
      <c r="H212" s="21" t="str">
        <f aca="false">IF(A212="","",DATE(YEAR(A212),MONTH(A212),1))</f>
        <v/>
      </c>
    </row>
    <row r="213" customFormat="false" ht="15" hidden="false" customHeight="false" outlineLevel="0" collapsed="false">
      <c r="A213" s="22"/>
      <c r="B213" s="23"/>
      <c r="C213" s="23"/>
      <c r="D213" s="23"/>
      <c r="E213" s="24"/>
      <c r="F213" s="23"/>
      <c r="G213" s="23"/>
      <c r="H213" s="21" t="str">
        <f aca="false">IF(A213="","",DATE(YEAR(A213),MONTH(A213),1))</f>
        <v/>
      </c>
    </row>
    <row r="214" customFormat="false" ht="15" hidden="false" customHeight="false" outlineLevel="0" collapsed="false">
      <c r="A214" s="22"/>
      <c r="B214" s="23"/>
      <c r="C214" s="23"/>
      <c r="D214" s="23"/>
      <c r="E214" s="24"/>
      <c r="F214" s="23"/>
      <c r="G214" s="23"/>
      <c r="H214" s="21" t="str">
        <f aca="false">IF(A214="","",DATE(YEAR(A214),MONTH(A214),1))</f>
        <v/>
      </c>
    </row>
    <row r="215" customFormat="false" ht="15" hidden="false" customHeight="false" outlineLevel="0" collapsed="false">
      <c r="A215" s="22"/>
      <c r="B215" s="23"/>
      <c r="C215" s="23"/>
      <c r="D215" s="23"/>
      <c r="E215" s="24"/>
      <c r="F215" s="23"/>
      <c r="G215" s="23"/>
      <c r="H215" s="21" t="str">
        <f aca="false">IF(A215="","",DATE(YEAR(A215),MONTH(A215),1))</f>
        <v/>
      </c>
    </row>
    <row r="216" customFormat="false" ht="15" hidden="false" customHeight="false" outlineLevel="0" collapsed="false">
      <c r="A216" s="22"/>
      <c r="B216" s="23"/>
      <c r="C216" s="23"/>
      <c r="D216" s="23"/>
      <c r="E216" s="24"/>
      <c r="F216" s="23"/>
      <c r="G216" s="23"/>
      <c r="H216" s="21" t="str">
        <f aca="false">IF(A216="","",DATE(YEAR(A216),MONTH(A216),1))</f>
        <v/>
      </c>
    </row>
    <row r="217" customFormat="false" ht="15" hidden="false" customHeight="false" outlineLevel="0" collapsed="false">
      <c r="A217" s="22"/>
      <c r="B217" s="23"/>
      <c r="C217" s="23"/>
      <c r="D217" s="23"/>
      <c r="E217" s="24"/>
      <c r="F217" s="23"/>
      <c r="G217" s="23"/>
      <c r="H217" s="21" t="str">
        <f aca="false">IF(A217="","",DATE(YEAR(A217),MONTH(A217),1))</f>
        <v/>
      </c>
    </row>
    <row r="218" customFormat="false" ht="15" hidden="false" customHeight="false" outlineLevel="0" collapsed="false">
      <c r="A218" s="22"/>
      <c r="B218" s="23"/>
      <c r="C218" s="23"/>
      <c r="D218" s="23"/>
      <c r="E218" s="24"/>
      <c r="F218" s="23"/>
      <c r="G218" s="23"/>
      <c r="H218" s="21" t="str">
        <f aca="false">IF(A218="","",DATE(YEAR(A218),MONTH(A218),1))</f>
        <v/>
      </c>
    </row>
    <row r="219" customFormat="false" ht="15" hidden="false" customHeight="false" outlineLevel="0" collapsed="false">
      <c r="A219" s="22"/>
      <c r="B219" s="23"/>
      <c r="C219" s="23"/>
      <c r="D219" s="23"/>
      <c r="E219" s="24"/>
      <c r="F219" s="23"/>
      <c r="G219" s="23"/>
      <c r="H219" s="21" t="str">
        <f aca="false">IF(A219="","",DATE(YEAR(A219),MONTH(A219),1))</f>
        <v/>
      </c>
    </row>
    <row r="220" customFormat="false" ht="15" hidden="false" customHeight="false" outlineLevel="0" collapsed="false">
      <c r="A220" s="22"/>
      <c r="B220" s="23"/>
      <c r="C220" s="23"/>
      <c r="D220" s="23"/>
      <c r="E220" s="24"/>
      <c r="F220" s="23"/>
      <c r="G220" s="23"/>
      <c r="H220" s="21" t="str">
        <f aca="false">IF(A220="","",DATE(YEAR(A220),MONTH(A220),1))</f>
        <v/>
      </c>
    </row>
    <row r="221" customFormat="false" ht="15" hidden="false" customHeight="false" outlineLevel="0" collapsed="false">
      <c r="A221" s="22"/>
      <c r="B221" s="23"/>
      <c r="C221" s="23"/>
      <c r="D221" s="23"/>
      <c r="E221" s="24"/>
      <c r="F221" s="23"/>
      <c r="G221" s="23"/>
      <c r="H221" s="21" t="str">
        <f aca="false">IF(A221="","",DATE(YEAR(A221),MONTH(A221),1))</f>
        <v/>
      </c>
    </row>
    <row r="222" customFormat="false" ht="15" hidden="false" customHeight="false" outlineLevel="0" collapsed="false">
      <c r="A222" s="22"/>
      <c r="B222" s="23"/>
      <c r="C222" s="23"/>
      <c r="D222" s="23"/>
      <c r="E222" s="24"/>
      <c r="F222" s="23"/>
      <c r="G222" s="23"/>
      <c r="H222" s="21" t="str">
        <f aca="false">IF(A222="","",DATE(YEAR(A222),MONTH(A222),1))</f>
        <v/>
      </c>
    </row>
    <row r="223" customFormat="false" ht="15" hidden="false" customHeight="false" outlineLevel="0" collapsed="false">
      <c r="A223" s="22"/>
      <c r="B223" s="23"/>
      <c r="C223" s="23"/>
      <c r="D223" s="23"/>
      <c r="E223" s="24"/>
      <c r="F223" s="23"/>
      <c r="G223" s="23"/>
      <c r="H223" s="21" t="str">
        <f aca="false">IF(A223="","",DATE(YEAR(A223),MONTH(A223),1))</f>
        <v/>
      </c>
    </row>
    <row r="224" customFormat="false" ht="15" hidden="false" customHeight="false" outlineLevel="0" collapsed="false">
      <c r="A224" s="22"/>
      <c r="B224" s="23"/>
      <c r="C224" s="23"/>
      <c r="D224" s="23"/>
      <c r="E224" s="24"/>
      <c r="F224" s="23"/>
      <c r="G224" s="23"/>
      <c r="H224" s="21" t="str">
        <f aca="false">IF(A224="","",DATE(YEAR(A224),MONTH(A224),1))</f>
        <v/>
      </c>
    </row>
    <row r="225" customFormat="false" ht="15" hidden="false" customHeight="false" outlineLevel="0" collapsed="false">
      <c r="A225" s="22"/>
      <c r="B225" s="23"/>
      <c r="C225" s="23"/>
      <c r="D225" s="23"/>
      <c r="E225" s="24"/>
      <c r="F225" s="23"/>
      <c r="G225" s="23"/>
      <c r="H225" s="21" t="str">
        <f aca="false">IF(A225="","",DATE(YEAR(A225),MONTH(A225),1))</f>
        <v/>
      </c>
    </row>
    <row r="226" customFormat="false" ht="15" hidden="false" customHeight="false" outlineLevel="0" collapsed="false">
      <c r="A226" s="22"/>
      <c r="B226" s="23"/>
      <c r="C226" s="23"/>
      <c r="D226" s="23"/>
      <c r="E226" s="24"/>
      <c r="F226" s="23"/>
      <c r="G226" s="23"/>
      <c r="H226" s="21" t="str">
        <f aca="false">IF(A226="","",DATE(YEAR(A226),MONTH(A226),1))</f>
        <v/>
      </c>
    </row>
    <row r="227" customFormat="false" ht="15" hidden="false" customHeight="false" outlineLevel="0" collapsed="false">
      <c r="A227" s="22"/>
      <c r="B227" s="23"/>
      <c r="C227" s="23"/>
      <c r="D227" s="23"/>
      <c r="E227" s="24"/>
      <c r="F227" s="23"/>
      <c r="G227" s="23"/>
      <c r="H227" s="21" t="str">
        <f aca="false">IF(A227="","",DATE(YEAR(A227),MONTH(A227),1))</f>
        <v/>
      </c>
    </row>
    <row r="228" customFormat="false" ht="15" hidden="false" customHeight="false" outlineLevel="0" collapsed="false">
      <c r="A228" s="22"/>
      <c r="B228" s="23"/>
      <c r="C228" s="23"/>
      <c r="D228" s="23"/>
      <c r="E228" s="24"/>
      <c r="F228" s="23"/>
      <c r="G228" s="23"/>
      <c r="H228" s="21" t="str">
        <f aca="false">IF(A228="","",DATE(YEAR(A228),MONTH(A228),1))</f>
        <v/>
      </c>
    </row>
    <row r="229" customFormat="false" ht="15" hidden="false" customHeight="false" outlineLevel="0" collapsed="false">
      <c r="A229" s="22"/>
      <c r="B229" s="23"/>
      <c r="C229" s="23"/>
      <c r="D229" s="23"/>
      <c r="E229" s="24"/>
      <c r="F229" s="23"/>
      <c r="G229" s="23"/>
      <c r="H229" s="21" t="str">
        <f aca="false">IF(A229="","",DATE(YEAR(A229),MONTH(A229),1))</f>
        <v/>
      </c>
    </row>
    <row r="230" customFormat="false" ht="15" hidden="false" customHeight="false" outlineLevel="0" collapsed="false">
      <c r="A230" s="22"/>
      <c r="B230" s="23"/>
      <c r="C230" s="23"/>
      <c r="D230" s="23"/>
      <c r="E230" s="24"/>
      <c r="F230" s="23"/>
      <c r="G230" s="23"/>
      <c r="H230" s="21" t="str">
        <f aca="false">IF(A230="","",DATE(YEAR(A230),MONTH(A230),1))</f>
        <v/>
      </c>
    </row>
    <row r="231" customFormat="false" ht="15" hidden="false" customHeight="false" outlineLevel="0" collapsed="false">
      <c r="A231" s="22"/>
      <c r="B231" s="23"/>
      <c r="C231" s="23"/>
      <c r="D231" s="23"/>
      <c r="E231" s="24"/>
      <c r="F231" s="23"/>
      <c r="G231" s="23"/>
      <c r="H231" s="21" t="str">
        <f aca="false">IF(A231="","",DATE(YEAR(A231),MONTH(A231),1))</f>
        <v/>
      </c>
    </row>
    <row r="232" customFormat="false" ht="15" hidden="false" customHeight="false" outlineLevel="0" collapsed="false">
      <c r="A232" s="22"/>
      <c r="B232" s="23"/>
      <c r="C232" s="23"/>
      <c r="D232" s="23"/>
      <c r="E232" s="24"/>
      <c r="F232" s="23"/>
      <c r="G232" s="23"/>
      <c r="H232" s="21" t="str">
        <f aca="false">IF(A232="","",DATE(YEAR(A232),MONTH(A232),1))</f>
        <v/>
      </c>
    </row>
    <row r="233" customFormat="false" ht="15" hidden="false" customHeight="false" outlineLevel="0" collapsed="false">
      <c r="A233" s="22"/>
      <c r="B233" s="23"/>
      <c r="C233" s="23"/>
      <c r="D233" s="23"/>
      <c r="E233" s="24"/>
      <c r="F233" s="23"/>
      <c r="G233" s="23"/>
      <c r="H233" s="21" t="str">
        <f aca="false">IF(A233="","",DATE(YEAR(A233),MONTH(A233),1))</f>
        <v/>
      </c>
    </row>
    <row r="234" customFormat="false" ht="15" hidden="false" customHeight="false" outlineLevel="0" collapsed="false">
      <c r="A234" s="22"/>
      <c r="B234" s="23"/>
      <c r="C234" s="23"/>
      <c r="D234" s="23"/>
      <c r="E234" s="24"/>
      <c r="F234" s="23"/>
      <c r="G234" s="23"/>
      <c r="H234" s="21" t="str">
        <f aca="false">IF(A234="","",DATE(YEAR(A234),MONTH(A234),1))</f>
        <v/>
      </c>
    </row>
    <row r="235" customFormat="false" ht="15" hidden="false" customHeight="false" outlineLevel="0" collapsed="false">
      <c r="A235" s="22"/>
      <c r="B235" s="23"/>
      <c r="C235" s="23"/>
      <c r="D235" s="23"/>
      <c r="E235" s="24"/>
      <c r="F235" s="23"/>
      <c r="G235" s="23"/>
      <c r="H235" s="21" t="str">
        <f aca="false">IF(A235="","",DATE(YEAR(A235),MONTH(A235),1))</f>
        <v/>
      </c>
    </row>
    <row r="236" customFormat="false" ht="15" hidden="false" customHeight="false" outlineLevel="0" collapsed="false">
      <c r="A236" s="22"/>
      <c r="B236" s="23"/>
      <c r="C236" s="23"/>
      <c r="D236" s="23"/>
      <c r="E236" s="24"/>
      <c r="F236" s="23"/>
      <c r="G236" s="23"/>
      <c r="H236" s="21" t="str">
        <f aca="false">IF(A236="","",DATE(YEAR(A236),MONTH(A236),1))</f>
        <v/>
      </c>
    </row>
    <row r="237" customFormat="false" ht="15" hidden="false" customHeight="false" outlineLevel="0" collapsed="false">
      <c r="A237" s="22"/>
      <c r="B237" s="23"/>
      <c r="C237" s="23"/>
      <c r="D237" s="23"/>
      <c r="E237" s="24"/>
      <c r="F237" s="23"/>
      <c r="G237" s="23"/>
      <c r="H237" s="21" t="str">
        <f aca="false">IF(A237="","",DATE(YEAR(A237),MONTH(A237),1))</f>
        <v/>
      </c>
    </row>
    <row r="238" customFormat="false" ht="15" hidden="false" customHeight="false" outlineLevel="0" collapsed="false">
      <c r="A238" s="22"/>
      <c r="B238" s="23"/>
      <c r="C238" s="23"/>
      <c r="D238" s="23"/>
      <c r="E238" s="24"/>
      <c r="F238" s="23"/>
      <c r="G238" s="23"/>
      <c r="H238" s="21" t="str">
        <f aca="false">IF(A238="","",DATE(YEAR(A238),MONTH(A238),1))</f>
        <v/>
      </c>
    </row>
    <row r="239" customFormat="false" ht="15" hidden="false" customHeight="false" outlineLevel="0" collapsed="false">
      <c r="A239" s="22"/>
      <c r="B239" s="23"/>
      <c r="C239" s="23"/>
      <c r="D239" s="23"/>
      <c r="E239" s="24"/>
      <c r="F239" s="23"/>
      <c r="G239" s="23"/>
      <c r="H239" s="21" t="str">
        <f aca="false">IF(A239="","",DATE(YEAR(A239),MONTH(A239),1))</f>
        <v/>
      </c>
    </row>
    <row r="240" customFormat="false" ht="15" hidden="false" customHeight="false" outlineLevel="0" collapsed="false">
      <c r="A240" s="22"/>
      <c r="B240" s="23"/>
      <c r="C240" s="23"/>
      <c r="D240" s="23"/>
      <c r="E240" s="24"/>
      <c r="F240" s="23"/>
      <c r="G240" s="23"/>
      <c r="H240" s="21" t="str">
        <f aca="false">IF(A240="","",DATE(YEAR(A240),MONTH(A240),1))</f>
        <v/>
      </c>
    </row>
    <row r="241" customFormat="false" ht="15" hidden="false" customHeight="false" outlineLevel="0" collapsed="false">
      <c r="A241" s="22"/>
      <c r="B241" s="23"/>
      <c r="C241" s="23"/>
      <c r="D241" s="23"/>
      <c r="E241" s="24"/>
      <c r="F241" s="23"/>
      <c r="G241" s="23"/>
      <c r="H241" s="21" t="str">
        <f aca="false">IF(A241="","",DATE(YEAR(A241),MONTH(A241),1))</f>
        <v/>
      </c>
    </row>
    <row r="242" customFormat="false" ht="15" hidden="false" customHeight="false" outlineLevel="0" collapsed="false">
      <c r="A242" s="22"/>
      <c r="B242" s="23"/>
      <c r="C242" s="23"/>
      <c r="D242" s="23"/>
      <c r="E242" s="24"/>
      <c r="F242" s="23"/>
      <c r="G242" s="23"/>
      <c r="H242" s="21" t="str">
        <f aca="false">IF(A242="","",DATE(YEAR(A242),MONTH(A242),1))</f>
        <v/>
      </c>
    </row>
    <row r="243" customFormat="false" ht="15" hidden="false" customHeight="false" outlineLevel="0" collapsed="false">
      <c r="A243" s="22"/>
      <c r="B243" s="23"/>
      <c r="C243" s="23"/>
      <c r="D243" s="23"/>
      <c r="E243" s="24"/>
      <c r="F243" s="23"/>
      <c r="G243" s="23"/>
      <c r="H243" s="21" t="str">
        <f aca="false">IF(A243="","",DATE(YEAR(A243),MONTH(A243),1))</f>
        <v/>
      </c>
    </row>
    <row r="244" customFormat="false" ht="15" hidden="false" customHeight="false" outlineLevel="0" collapsed="false">
      <c r="A244" s="22"/>
      <c r="B244" s="23"/>
      <c r="C244" s="23"/>
      <c r="D244" s="23"/>
      <c r="E244" s="24"/>
      <c r="F244" s="23"/>
      <c r="G244" s="23"/>
      <c r="H244" s="21" t="str">
        <f aca="false">IF(A244="","",DATE(YEAR(A244),MONTH(A244),1))</f>
        <v/>
      </c>
    </row>
    <row r="245" customFormat="false" ht="15" hidden="false" customHeight="false" outlineLevel="0" collapsed="false">
      <c r="A245" s="22"/>
      <c r="B245" s="23"/>
      <c r="C245" s="23"/>
      <c r="D245" s="23"/>
      <c r="E245" s="24"/>
      <c r="F245" s="23"/>
      <c r="G245" s="23"/>
      <c r="H245" s="21" t="str">
        <f aca="false">IF(A245="","",DATE(YEAR(A245),MONTH(A245),1))</f>
        <v/>
      </c>
    </row>
    <row r="246" customFormat="false" ht="15" hidden="false" customHeight="false" outlineLevel="0" collapsed="false">
      <c r="A246" s="22"/>
      <c r="B246" s="23"/>
      <c r="C246" s="23"/>
      <c r="D246" s="23"/>
      <c r="E246" s="24"/>
      <c r="F246" s="23"/>
      <c r="G246" s="23"/>
      <c r="H246" s="21" t="str">
        <f aca="false">IF(A246="","",DATE(YEAR(A246),MONTH(A246),1))</f>
        <v/>
      </c>
    </row>
    <row r="247" customFormat="false" ht="15" hidden="false" customHeight="false" outlineLevel="0" collapsed="false">
      <c r="A247" s="22"/>
      <c r="B247" s="23"/>
      <c r="C247" s="23"/>
      <c r="D247" s="23"/>
      <c r="E247" s="24"/>
      <c r="F247" s="23"/>
      <c r="G247" s="23"/>
      <c r="H247" s="21" t="str">
        <f aca="false">IF(A247="","",DATE(YEAR(A247),MONTH(A247),1))</f>
        <v/>
      </c>
    </row>
    <row r="248" customFormat="false" ht="15" hidden="false" customHeight="false" outlineLevel="0" collapsed="false">
      <c r="A248" s="22"/>
      <c r="B248" s="23"/>
      <c r="C248" s="23"/>
      <c r="D248" s="23"/>
      <c r="E248" s="24"/>
      <c r="F248" s="23"/>
      <c r="G248" s="23"/>
      <c r="H248" s="21" t="str">
        <f aca="false">IF(A248="","",DATE(YEAR(A248),MONTH(A248),1))</f>
        <v/>
      </c>
    </row>
    <row r="249" customFormat="false" ht="15" hidden="false" customHeight="false" outlineLevel="0" collapsed="false">
      <c r="A249" s="22"/>
      <c r="B249" s="23"/>
      <c r="C249" s="23"/>
      <c r="D249" s="23"/>
      <c r="E249" s="24"/>
      <c r="F249" s="23"/>
      <c r="G249" s="23"/>
      <c r="H249" s="21" t="str">
        <f aca="false">IF(A249="","",DATE(YEAR(A249),MONTH(A249),1))</f>
        <v/>
      </c>
    </row>
    <row r="250" customFormat="false" ht="15" hidden="false" customHeight="false" outlineLevel="0" collapsed="false">
      <c r="A250" s="22"/>
      <c r="B250" s="23"/>
      <c r="C250" s="23"/>
      <c r="D250" s="23"/>
      <c r="E250" s="24"/>
      <c r="F250" s="23"/>
      <c r="G250" s="23"/>
      <c r="H250" s="21" t="str">
        <f aca="false">IF(A250="","",DATE(YEAR(A250),MONTH(A250),1))</f>
        <v/>
      </c>
    </row>
    <row r="251" customFormat="false" ht="15" hidden="false" customHeight="false" outlineLevel="0" collapsed="false">
      <c r="A251" s="22"/>
      <c r="B251" s="23"/>
      <c r="C251" s="23"/>
      <c r="D251" s="23"/>
      <c r="E251" s="24"/>
      <c r="F251" s="23"/>
      <c r="G251" s="23"/>
      <c r="H251" s="21" t="str">
        <f aca="false">IF(A251="","",DATE(YEAR(A251),MONTH(A251),1))</f>
        <v/>
      </c>
    </row>
    <row r="252" customFormat="false" ht="15" hidden="false" customHeight="false" outlineLevel="0" collapsed="false">
      <c r="A252" s="22"/>
      <c r="B252" s="23"/>
      <c r="C252" s="23"/>
      <c r="D252" s="23"/>
      <c r="E252" s="24"/>
      <c r="F252" s="23"/>
      <c r="G252" s="23"/>
      <c r="H252" s="21" t="str">
        <f aca="false">IF(A252="","",DATE(YEAR(A252),MONTH(A252),1))</f>
        <v/>
      </c>
    </row>
    <row r="253" customFormat="false" ht="15" hidden="false" customHeight="false" outlineLevel="0" collapsed="false">
      <c r="A253" s="22"/>
      <c r="B253" s="23"/>
      <c r="C253" s="23"/>
      <c r="D253" s="23"/>
      <c r="E253" s="24"/>
      <c r="F253" s="23"/>
      <c r="G253" s="23"/>
      <c r="H253" s="21" t="str">
        <f aca="false">IF(A253="","",DATE(YEAR(A253),MONTH(A253),1))</f>
        <v/>
      </c>
    </row>
    <row r="254" customFormat="false" ht="15" hidden="false" customHeight="false" outlineLevel="0" collapsed="false">
      <c r="A254" s="22"/>
      <c r="B254" s="23"/>
      <c r="C254" s="23"/>
      <c r="D254" s="23"/>
      <c r="E254" s="24"/>
      <c r="F254" s="23"/>
      <c r="G254" s="23"/>
      <c r="H254" s="21" t="str">
        <f aca="false">IF(A254="","",DATE(YEAR(A254),MONTH(A254),1))</f>
        <v/>
      </c>
    </row>
    <row r="255" customFormat="false" ht="15" hidden="false" customHeight="false" outlineLevel="0" collapsed="false">
      <c r="A255" s="22"/>
      <c r="B255" s="23"/>
      <c r="C255" s="23"/>
      <c r="D255" s="23"/>
      <c r="E255" s="24"/>
      <c r="F255" s="23"/>
      <c r="G255" s="23"/>
      <c r="H255" s="21" t="str">
        <f aca="false">IF(A255="","",DATE(YEAR(A255),MONTH(A255),1))</f>
        <v/>
      </c>
    </row>
    <row r="256" customFormat="false" ht="15" hidden="false" customHeight="false" outlineLevel="0" collapsed="false">
      <c r="A256" s="22"/>
      <c r="B256" s="23"/>
      <c r="C256" s="23"/>
      <c r="D256" s="23"/>
      <c r="E256" s="24"/>
      <c r="F256" s="23"/>
      <c r="G256" s="23"/>
      <c r="H256" s="21" t="str">
        <f aca="false">IF(A256="","",DATE(YEAR(A256),MONTH(A256),1))</f>
        <v/>
      </c>
    </row>
    <row r="257" customFormat="false" ht="15" hidden="false" customHeight="false" outlineLevel="0" collapsed="false">
      <c r="A257" s="22"/>
      <c r="B257" s="23"/>
      <c r="C257" s="23"/>
      <c r="D257" s="23"/>
      <c r="E257" s="24"/>
      <c r="F257" s="23"/>
      <c r="G257" s="23"/>
      <c r="H257" s="21" t="str">
        <f aca="false">IF(A257="","",DATE(YEAR(A257),MONTH(A257),1))</f>
        <v/>
      </c>
    </row>
    <row r="258" customFormat="false" ht="15" hidden="false" customHeight="false" outlineLevel="0" collapsed="false">
      <c r="A258" s="22"/>
      <c r="B258" s="23"/>
      <c r="C258" s="23"/>
      <c r="D258" s="23"/>
      <c r="E258" s="24"/>
      <c r="F258" s="23"/>
      <c r="G258" s="23"/>
      <c r="H258" s="21" t="str">
        <f aca="false">IF(A258="","",DATE(YEAR(A258),MONTH(A258),1))</f>
        <v/>
      </c>
    </row>
    <row r="259" customFormat="false" ht="15" hidden="false" customHeight="false" outlineLevel="0" collapsed="false">
      <c r="A259" s="22"/>
      <c r="B259" s="23"/>
      <c r="C259" s="23"/>
      <c r="D259" s="23"/>
      <c r="E259" s="24"/>
      <c r="F259" s="23"/>
      <c r="G259" s="23"/>
      <c r="H259" s="21" t="str">
        <f aca="false">IF(A259="","",DATE(YEAR(A259),MONTH(A259),1))</f>
        <v/>
      </c>
    </row>
    <row r="260" customFormat="false" ht="15" hidden="false" customHeight="false" outlineLevel="0" collapsed="false">
      <c r="A260" s="22"/>
      <c r="B260" s="23"/>
      <c r="C260" s="23"/>
      <c r="D260" s="23"/>
      <c r="E260" s="24"/>
      <c r="F260" s="23"/>
      <c r="G260" s="23"/>
      <c r="H260" s="21" t="str">
        <f aca="false">IF(A260="","",DATE(YEAR(A260),MONTH(A260),1))</f>
        <v/>
      </c>
    </row>
    <row r="261" customFormat="false" ht="15" hidden="false" customHeight="false" outlineLevel="0" collapsed="false">
      <c r="A261" s="22"/>
      <c r="B261" s="23"/>
      <c r="C261" s="23"/>
      <c r="D261" s="23"/>
      <c r="E261" s="24"/>
      <c r="F261" s="23"/>
      <c r="G261" s="23"/>
      <c r="H261" s="21" t="str">
        <f aca="false">IF(A261="","",DATE(YEAR(A261),MONTH(A261),1))</f>
        <v/>
      </c>
    </row>
    <row r="262" customFormat="false" ht="15" hidden="false" customHeight="false" outlineLevel="0" collapsed="false">
      <c r="A262" s="22"/>
      <c r="B262" s="23"/>
      <c r="C262" s="23"/>
      <c r="D262" s="23"/>
      <c r="E262" s="24"/>
      <c r="F262" s="23"/>
      <c r="G262" s="23"/>
      <c r="H262" s="21" t="str">
        <f aca="false">IF(A262="","",DATE(YEAR(A262),MONTH(A262),1))</f>
        <v/>
      </c>
    </row>
    <row r="263" customFormat="false" ht="15" hidden="false" customHeight="false" outlineLevel="0" collapsed="false">
      <c r="A263" s="22"/>
      <c r="B263" s="23"/>
      <c r="C263" s="23"/>
      <c r="D263" s="23"/>
      <c r="E263" s="24"/>
      <c r="F263" s="23"/>
      <c r="G263" s="23"/>
      <c r="H263" s="21" t="str">
        <f aca="false">IF(A263="","",DATE(YEAR(A263),MONTH(A263),1))</f>
        <v/>
      </c>
    </row>
    <row r="264" customFormat="false" ht="15" hidden="false" customHeight="false" outlineLevel="0" collapsed="false">
      <c r="A264" s="22"/>
      <c r="B264" s="23"/>
      <c r="C264" s="23"/>
      <c r="D264" s="23"/>
      <c r="E264" s="24"/>
      <c r="F264" s="23"/>
      <c r="G264" s="23"/>
      <c r="H264" s="21" t="str">
        <f aca="false">IF(A264="","",DATE(YEAR(A264),MONTH(A264),1))</f>
        <v/>
      </c>
    </row>
    <row r="265" customFormat="false" ht="15" hidden="false" customHeight="false" outlineLevel="0" collapsed="false">
      <c r="A265" s="22"/>
      <c r="B265" s="23"/>
      <c r="C265" s="23"/>
      <c r="D265" s="23"/>
      <c r="E265" s="24"/>
      <c r="F265" s="23"/>
      <c r="G265" s="23"/>
      <c r="H265" s="21" t="str">
        <f aca="false">IF(A265="","",DATE(YEAR(A265),MONTH(A265),1))</f>
        <v/>
      </c>
    </row>
    <row r="266" customFormat="false" ht="15" hidden="false" customHeight="false" outlineLevel="0" collapsed="false">
      <c r="A266" s="22"/>
      <c r="B266" s="23"/>
      <c r="C266" s="23"/>
      <c r="D266" s="23"/>
      <c r="E266" s="24"/>
      <c r="F266" s="23"/>
      <c r="G266" s="23"/>
      <c r="H266" s="21" t="str">
        <f aca="false">IF(A266="","",DATE(YEAR(A266),MONTH(A266),1))</f>
        <v/>
      </c>
    </row>
    <row r="267" customFormat="false" ht="15" hidden="false" customHeight="false" outlineLevel="0" collapsed="false">
      <c r="A267" s="22"/>
      <c r="B267" s="23"/>
      <c r="C267" s="23"/>
      <c r="D267" s="23"/>
      <c r="E267" s="24"/>
      <c r="F267" s="23"/>
      <c r="G267" s="23"/>
      <c r="H267" s="21" t="str">
        <f aca="false">IF(A267="","",DATE(YEAR(A267),MONTH(A267),1))</f>
        <v/>
      </c>
    </row>
    <row r="268" customFormat="false" ht="15" hidden="false" customHeight="false" outlineLevel="0" collapsed="false">
      <c r="A268" s="22"/>
      <c r="B268" s="23"/>
      <c r="C268" s="23"/>
      <c r="D268" s="23"/>
      <c r="E268" s="24"/>
      <c r="F268" s="23"/>
      <c r="G268" s="23"/>
      <c r="H268" s="21" t="str">
        <f aca="false">IF(A268="","",DATE(YEAR(A268),MONTH(A268),1))</f>
        <v/>
      </c>
    </row>
    <row r="269" customFormat="false" ht="15" hidden="false" customHeight="false" outlineLevel="0" collapsed="false">
      <c r="A269" s="22"/>
      <c r="B269" s="23"/>
      <c r="C269" s="23"/>
      <c r="D269" s="23"/>
      <c r="E269" s="24"/>
      <c r="F269" s="23"/>
      <c r="G269" s="23"/>
      <c r="H269" s="21" t="str">
        <f aca="false">IF(A269="","",DATE(YEAR(A269),MONTH(A269),1))</f>
        <v/>
      </c>
    </row>
    <row r="270" customFormat="false" ht="15" hidden="false" customHeight="false" outlineLevel="0" collapsed="false">
      <c r="A270" s="22"/>
      <c r="B270" s="23"/>
      <c r="C270" s="23"/>
      <c r="D270" s="23"/>
      <c r="E270" s="24"/>
      <c r="F270" s="23"/>
      <c r="G270" s="23"/>
      <c r="H270" s="21" t="str">
        <f aca="false">IF(A270="","",DATE(YEAR(A270),MONTH(A270),1))</f>
        <v/>
      </c>
    </row>
    <row r="271" customFormat="false" ht="15" hidden="false" customHeight="false" outlineLevel="0" collapsed="false">
      <c r="A271" s="22"/>
      <c r="B271" s="23"/>
      <c r="C271" s="23"/>
      <c r="D271" s="23"/>
      <c r="E271" s="24"/>
      <c r="F271" s="23"/>
      <c r="G271" s="23"/>
      <c r="H271" s="21" t="str">
        <f aca="false">IF(A271="","",DATE(YEAR(A271),MONTH(A271),1))</f>
        <v/>
      </c>
    </row>
    <row r="272" customFormat="false" ht="15" hidden="false" customHeight="false" outlineLevel="0" collapsed="false">
      <c r="A272" s="22"/>
      <c r="B272" s="23"/>
      <c r="C272" s="23"/>
      <c r="D272" s="23"/>
      <c r="E272" s="24"/>
      <c r="F272" s="23"/>
      <c r="G272" s="23"/>
      <c r="H272" s="21" t="str">
        <f aca="false">IF(A272="","",DATE(YEAR(A272),MONTH(A272),1))</f>
        <v/>
      </c>
    </row>
    <row r="273" customFormat="false" ht="15" hidden="false" customHeight="false" outlineLevel="0" collapsed="false">
      <c r="A273" s="22"/>
      <c r="B273" s="23"/>
      <c r="C273" s="23"/>
      <c r="D273" s="23"/>
      <c r="E273" s="24"/>
      <c r="F273" s="23"/>
      <c r="G273" s="23"/>
      <c r="H273" s="21" t="str">
        <f aca="false">IF(A273="","",DATE(YEAR(A273),MONTH(A273),1))</f>
        <v/>
      </c>
    </row>
    <row r="274" customFormat="false" ht="15" hidden="false" customHeight="false" outlineLevel="0" collapsed="false">
      <c r="A274" s="22"/>
      <c r="B274" s="23"/>
      <c r="C274" s="23"/>
      <c r="D274" s="23"/>
      <c r="E274" s="24"/>
      <c r="F274" s="23"/>
      <c r="G274" s="23"/>
      <c r="H274" s="21" t="str">
        <f aca="false">IF(A274="","",DATE(YEAR(A274),MONTH(A274),1))</f>
        <v/>
      </c>
    </row>
    <row r="275" customFormat="false" ht="15" hidden="false" customHeight="false" outlineLevel="0" collapsed="false">
      <c r="A275" s="22"/>
      <c r="B275" s="23"/>
      <c r="C275" s="23"/>
      <c r="D275" s="23"/>
      <c r="E275" s="24"/>
      <c r="F275" s="23"/>
      <c r="G275" s="23"/>
      <c r="H275" s="21" t="str">
        <f aca="false">IF(A275="","",DATE(YEAR(A275),MONTH(A275),1))</f>
        <v/>
      </c>
    </row>
    <row r="276" customFormat="false" ht="15" hidden="false" customHeight="false" outlineLevel="0" collapsed="false">
      <c r="A276" s="22"/>
      <c r="B276" s="23"/>
      <c r="C276" s="23"/>
      <c r="D276" s="23"/>
      <c r="E276" s="24"/>
      <c r="F276" s="23"/>
      <c r="G276" s="23"/>
      <c r="H276" s="21" t="str">
        <f aca="false">IF(A276="","",DATE(YEAR(A276),MONTH(A276),1))</f>
        <v/>
      </c>
    </row>
    <row r="277" customFormat="false" ht="15" hidden="false" customHeight="false" outlineLevel="0" collapsed="false">
      <c r="A277" s="22"/>
      <c r="B277" s="23"/>
      <c r="C277" s="23"/>
      <c r="D277" s="23"/>
      <c r="E277" s="24"/>
      <c r="F277" s="23"/>
      <c r="G277" s="23"/>
      <c r="H277" s="21" t="str">
        <f aca="false">IF(A277="","",DATE(YEAR(A277),MONTH(A277),1))</f>
        <v/>
      </c>
    </row>
    <row r="278" customFormat="false" ht="15" hidden="false" customHeight="false" outlineLevel="0" collapsed="false">
      <c r="A278" s="22"/>
      <c r="B278" s="23"/>
      <c r="C278" s="23"/>
      <c r="D278" s="23"/>
      <c r="E278" s="24"/>
      <c r="F278" s="23"/>
      <c r="G278" s="23"/>
      <c r="H278" s="21" t="str">
        <f aca="false">IF(A278="","",DATE(YEAR(A278),MONTH(A278),1))</f>
        <v/>
      </c>
    </row>
    <row r="279" customFormat="false" ht="15" hidden="false" customHeight="false" outlineLevel="0" collapsed="false">
      <c r="A279" s="22"/>
      <c r="B279" s="23"/>
      <c r="C279" s="23"/>
      <c r="D279" s="23"/>
      <c r="E279" s="24"/>
      <c r="F279" s="23"/>
      <c r="G279" s="23"/>
      <c r="H279" s="21" t="str">
        <f aca="false">IF(A279="","",DATE(YEAR(A279),MONTH(A279),1))</f>
        <v/>
      </c>
    </row>
    <row r="280" customFormat="false" ht="15" hidden="false" customHeight="false" outlineLevel="0" collapsed="false">
      <c r="A280" s="22"/>
      <c r="B280" s="23"/>
      <c r="C280" s="23"/>
      <c r="D280" s="23"/>
      <c r="E280" s="24"/>
      <c r="F280" s="23"/>
      <c r="G280" s="23"/>
      <c r="H280" s="21" t="str">
        <f aca="false">IF(A280="","",DATE(YEAR(A280),MONTH(A280),1))</f>
        <v/>
      </c>
    </row>
    <row r="281" customFormat="false" ht="15" hidden="false" customHeight="false" outlineLevel="0" collapsed="false">
      <c r="A281" s="22"/>
      <c r="B281" s="23"/>
      <c r="C281" s="23"/>
      <c r="D281" s="23"/>
      <c r="E281" s="24"/>
      <c r="F281" s="23"/>
      <c r="G281" s="23"/>
      <c r="H281" s="21" t="str">
        <f aca="false">IF(A281="","",DATE(YEAR(A281),MONTH(A281),1))</f>
        <v/>
      </c>
    </row>
    <row r="282" customFormat="false" ht="15" hidden="false" customHeight="false" outlineLevel="0" collapsed="false">
      <c r="A282" s="22"/>
      <c r="B282" s="23"/>
      <c r="C282" s="23"/>
      <c r="D282" s="23"/>
      <c r="E282" s="24"/>
      <c r="F282" s="23"/>
      <c r="G282" s="23"/>
      <c r="H282" s="21" t="str">
        <f aca="false">IF(A282="","",DATE(YEAR(A282),MONTH(A282),1))</f>
        <v/>
      </c>
    </row>
    <row r="283" customFormat="false" ht="15" hidden="false" customHeight="false" outlineLevel="0" collapsed="false">
      <c r="A283" s="22"/>
      <c r="B283" s="23"/>
      <c r="C283" s="23"/>
      <c r="D283" s="23"/>
      <c r="E283" s="24"/>
      <c r="F283" s="23"/>
      <c r="G283" s="23"/>
      <c r="H283" s="21" t="str">
        <f aca="false">IF(A283="","",DATE(YEAR(A283),MONTH(A283),1))</f>
        <v/>
      </c>
    </row>
    <row r="284" customFormat="false" ht="15" hidden="false" customHeight="false" outlineLevel="0" collapsed="false">
      <c r="A284" s="22"/>
      <c r="B284" s="23"/>
      <c r="C284" s="23"/>
      <c r="D284" s="23"/>
      <c r="E284" s="24"/>
      <c r="F284" s="23"/>
      <c r="G284" s="23"/>
      <c r="H284" s="21" t="str">
        <f aca="false">IF(A284="","",DATE(YEAR(A284),MONTH(A284),1))</f>
        <v/>
      </c>
    </row>
    <row r="285" customFormat="false" ht="15" hidden="false" customHeight="false" outlineLevel="0" collapsed="false">
      <c r="A285" s="22"/>
      <c r="B285" s="23"/>
      <c r="C285" s="23"/>
      <c r="D285" s="23"/>
      <c r="E285" s="24"/>
      <c r="F285" s="23"/>
      <c r="G285" s="23"/>
      <c r="H285" s="21" t="str">
        <f aca="false">IF(A285="","",DATE(YEAR(A285),MONTH(A285),1))</f>
        <v/>
      </c>
    </row>
    <row r="286" customFormat="false" ht="15" hidden="false" customHeight="false" outlineLevel="0" collapsed="false">
      <c r="A286" s="22"/>
      <c r="B286" s="23"/>
      <c r="C286" s="23"/>
      <c r="D286" s="23"/>
      <c r="E286" s="24"/>
      <c r="F286" s="23"/>
      <c r="G286" s="23"/>
      <c r="H286" s="21" t="str">
        <f aca="false">IF(A286="","",DATE(YEAR(A286),MONTH(A286),1))</f>
        <v/>
      </c>
    </row>
    <row r="287" customFormat="false" ht="15" hidden="false" customHeight="false" outlineLevel="0" collapsed="false">
      <c r="A287" s="22"/>
      <c r="B287" s="23"/>
      <c r="C287" s="23"/>
      <c r="D287" s="23"/>
      <c r="E287" s="24"/>
      <c r="F287" s="23"/>
      <c r="G287" s="23"/>
      <c r="H287" s="21" t="str">
        <f aca="false">IF(A287="","",DATE(YEAR(A287),MONTH(A287),1))</f>
        <v/>
      </c>
    </row>
    <row r="288" customFormat="false" ht="15" hidden="false" customHeight="false" outlineLevel="0" collapsed="false">
      <c r="A288" s="22"/>
      <c r="B288" s="23"/>
      <c r="C288" s="23"/>
      <c r="D288" s="23"/>
      <c r="E288" s="24"/>
      <c r="F288" s="23"/>
      <c r="G288" s="23"/>
      <c r="H288" s="21" t="str">
        <f aca="false">IF(A288="","",DATE(YEAR(A288),MONTH(A288),1))</f>
        <v/>
      </c>
    </row>
    <row r="289" customFormat="false" ht="15" hidden="false" customHeight="false" outlineLevel="0" collapsed="false">
      <c r="A289" s="22"/>
      <c r="B289" s="23"/>
      <c r="C289" s="23"/>
      <c r="D289" s="23"/>
      <c r="E289" s="24"/>
      <c r="F289" s="23"/>
      <c r="G289" s="23"/>
      <c r="H289" s="21" t="str">
        <f aca="false">IF(A289="","",DATE(YEAR(A289),MONTH(A289),1))</f>
        <v/>
      </c>
    </row>
    <row r="290" customFormat="false" ht="15" hidden="false" customHeight="false" outlineLevel="0" collapsed="false">
      <c r="A290" s="22"/>
      <c r="B290" s="23"/>
      <c r="C290" s="23"/>
      <c r="D290" s="23"/>
      <c r="E290" s="24"/>
      <c r="F290" s="23"/>
      <c r="G290" s="23"/>
      <c r="H290" s="21" t="str">
        <f aca="false">IF(A290="","",DATE(YEAR(A290),MONTH(A290),1))</f>
        <v/>
      </c>
    </row>
    <row r="291" customFormat="false" ht="15" hidden="false" customHeight="false" outlineLevel="0" collapsed="false">
      <c r="A291" s="22"/>
      <c r="B291" s="23"/>
      <c r="C291" s="23"/>
      <c r="D291" s="23"/>
      <c r="E291" s="24"/>
      <c r="F291" s="23"/>
      <c r="G291" s="23"/>
      <c r="H291" s="21" t="str">
        <f aca="false">IF(A291="","",DATE(YEAR(A291),MONTH(A291),1))</f>
        <v/>
      </c>
    </row>
    <row r="292" customFormat="false" ht="15" hidden="false" customHeight="false" outlineLevel="0" collapsed="false">
      <c r="A292" s="22"/>
      <c r="B292" s="23"/>
      <c r="C292" s="23"/>
      <c r="D292" s="23"/>
      <c r="E292" s="24"/>
      <c r="F292" s="23"/>
      <c r="G292" s="23"/>
      <c r="H292" s="21" t="str">
        <f aca="false">IF(A292="","",DATE(YEAR(A292),MONTH(A292),1))</f>
        <v/>
      </c>
    </row>
    <row r="293" customFormat="false" ht="15" hidden="false" customHeight="false" outlineLevel="0" collapsed="false">
      <c r="A293" s="22"/>
      <c r="B293" s="23"/>
      <c r="C293" s="23"/>
      <c r="D293" s="23"/>
      <c r="E293" s="24"/>
      <c r="F293" s="23"/>
      <c r="G293" s="23"/>
      <c r="H293" s="21" t="str">
        <f aca="false">IF(A293="","",DATE(YEAR(A293),MONTH(A293),1))</f>
        <v/>
      </c>
    </row>
    <row r="294" customFormat="false" ht="15" hidden="false" customHeight="false" outlineLevel="0" collapsed="false">
      <c r="A294" s="22"/>
      <c r="B294" s="23"/>
      <c r="C294" s="23"/>
      <c r="D294" s="23"/>
      <c r="E294" s="24"/>
      <c r="F294" s="23"/>
      <c r="G294" s="23"/>
      <c r="H294" s="21" t="str">
        <f aca="false">IF(A294="","",DATE(YEAR(A294),MONTH(A294),1))</f>
        <v/>
      </c>
    </row>
    <row r="295" customFormat="false" ht="15" hidden="false" customHeight="false" outlineLevel="0" collapsed="false">
      <c r="A295" s="22"/>
      <c r="B295" s="23"/>
      <c r="C295" s="23"/>
      <c r="D295" s="23"/>
      <c r="E295" s="24"/>
      <c r="F295" s="23"/>
      <c r="G295" s="23"/>
      <c r="H295" s="21" t="str">
        <f aca="false">IF(A295="","",DATE(YEAR(A295),MONTH(A295),1))</f>
        <v/>
      </c>
    </row>
    <row r="296" customFormat="false" ht="15" hidden="false" customHeight="false" outlineLevel="0" collapsed="false">
      <c r="A296" s="22"/>
      <c r="B296" s="23"/>
      <c r="C296" s="23"/>
      <c r="D296" s="23"/>
      <c r="E296" s="24"/>
      <c r="F296" s="23"/>
      <c r="G296" s="23"/>
      <c r="H296" s="21" t="str">
        <f aca="false">IF(A296="","",DATE(YEAR(A296),MONTH(A296),1))</f>
        <v/>
      </c>
    </row>
    <row r="297" customFormat="false" ht="15" hidden="false" customHeight="false" outlineLevel="0" collapsed="false">
      <c r="A297" s="22"/>
      <c r="B297" s="23"/>
      <c r="C297" s="23"/>
      <c r="D297" s="23"/>
      <c r="E297" s="24"/>
      <c r="F297" s="23"/>
      <c r="G297" s="23"/>
      <c r="H297" s="21" t="str">
        <f aca="false">IF(A297="","",DATE(YEAR(A297),MONTH(A297),1))</f>
        <v/>
      </c>
    </row>
    <row r="298" customFormat="false" ht="15" hidden="false" customHeight="false" outlineLevel="0" collapsed="false">
      <c r="A298" s="22"/>
      <c r="B298" s="23"/>
      <c r="C298" s="23"/>
      <c r="D298" s="23"/>
      <c r="E298" s="24"/>
      <c r="F298" s="23"/>
      <c r="G298" s="23"/>
      <c r="H298" s="21" t="str">
        <f aca="false">IF(A298="","",DATE(YEAR(A298),MONTH(A298),1))</f>
        <v/>
      </c>
    </row>
    <row r="299" customFormat="false" ht="15" hidden="false" customHeight="false" outlineLevel="0" collapsed="false">
      <c r="A299" s="22"/>
      <c r="B299" s="23"/>
      <c r="C299" s="23"/>
      <c r="D299" s="23"/>
      <c r="E299" s="24"/>
      <c r="F299" s="23"/>
      <c r="G299" s="23"/>
      <c r="H299" s="21" t="str">
        <f aca="false">IF(A299="","",DATE(YEAR(A299),MONTH(A299),1))</f>
        <v/>
      </c>
    </row>
    <row r="300" customFormat="false" ht="15" hidden="false" customHeight="false" outlineLevel="0" collapsed="false">
      <c r="A300" s="22"/>
      <c r="B300" s="23"/>
      <c r="C300" s="23"/>
      <c r="D300" s="23"/>
      <c r="E300" s="24"/>
      <c r="F300" s="23"/>
      <c r="G300" s="23"/>
      <c r="H300" s="21" t="str">
        <f aca="false">IF(A300="","",DATE(YEAR(A300),MONTH(A300),1))</f>
        <v/>
      </c>
    </row>
    <row r="301" customFormat="false" ht="15" hidden="false" customHeight="false" outlineLevel="0" collapsed="false">
      <c r="A301" s="22"/>
      <c r="B301" s="23"/>
      <c r="C301" s="23"/>
      <c r="D301" s="23"/>
      <c r="E301" s="24"/>
      <c r="F301" s="23"/>
      <c r="G301" s="23"/>
      <c r="H301" s="21" t="str">
        <f aca="false">IF(A301="","",DATE(YEAR(A301),MONTH(A301),1))</f>
        <v/>
      </c>
    </row>
    <row r="302" customFormat="false" ht="15" hidden="false" customHeight="false" outlineLevel="0" collapsed="false">
      <c r="A302" s="22"/>
      <c r="B302" s="23"/>
      <c r="C302" s="23"/>
      <c r="D302" s="23"/>
      <c r="E302" s="24"/>
      <c r="F302" s="23"/>
      <c r="G302" s="23"/>
      <c r="H302" s="21" t="str">
        <f aca="false">IF(A302="","",DATE(YEAR(A302),MONTH(A302),1))</f>
        <v/>
      </c>
    </row>
    <row r="303" customFormat="false" ht="15" hidden="false" customHeight="false" outlineLevel="0" collapsed="false">
      <c r="A303" s="22"/>
      <c r="B303" s="23"/>
      <c r="C303" s="23"/>
      <c r="D303" s="23"/>
      <c r="E303" s="24"/>
      <c r="F303" s="23"/>
      <c r="G303" s="23"/>
      <c r="H303" s="21" t="str">
        <f aca="false">IF(A303="","",DATE(YEAR(A303),MONTH(A303),1))</f>
        <v/>
      </c>
    </row>
    <row r="304" customFormat="false" ht="15" hidden="false" customHeight="false" outlineLevel="0" collapsed="false">
      <c r="A304" s="22"/>
      <c r="B304" s="23"/>
      <c r="C304" s="23"/>
      <c r="D304" s="23"/>
      <c r="E304" s="24"/>
      <c r="F304" s="23"/>
      <c r="G304" s="23"/>
      <c r="H304" s="21" t="str">
        <f aca="false">IF(A304="","",DATE(YEAR(A304),MONTH(A304),1))</f>
        <v/>
      </c>
    </row>
    <row r="305" customFormat="false" ht="15" hidden="false" customHeight="false" outlineLevel="0" collapsed="false">
      <c r="A305" s="22"/>
      <c r="B305" s="23"/>
      <c r="C305" s="23"/>
      <c r="D305" s="23"/>
      <c r="E305" s="24"/>
      <c r="F305" s="23"/>
      <c r="G305" s="23"/>
      <c r="H305" s="21" t="str">
        <f aca="false">IF(A305="","",DATE(YEAR(A305),MONTH(A305),1))</f>
        <v/>
      </c>
    </row>
    <row r="306" customFormat="false" ht="15" hidden="false" customHeight="false" outlineLevel="0" collapsed="false">
      <c r="A306" s="22"/>
      <c r="B306" s="23"/>
      <c r="C306" s="23"/>
      <c r="D306" s="23"/>
      <c r="E306" s="24"/>
      <c r="F306" s="23"/>
      <c r="G306" s="23"/>
      <c r="H306" s="21" t="str">
        <f aca="false">IF(A306="","",DATE(YEAR(A306),MONTH(A306),1))</f>
        <v/>
      </c>
    </row>
    <row r="307" customFormat="false" ht="15" hidden="false" customHeight="false" outlineLevel="0" collapsed="false">
      <c r="A307" s="22"/>
      <c r="B307" s="23"/>
      <c r="C307" s="23"/>
      <c r="D307" s="23"/>
      <c r="E307" s="24"/>
      <c r="F307" s="23"/>
      <c r="G307" s="23"/>
      <c r="H307" s="21" t="str">
        <f aca="false">IF(A307="","",DATE(YEAR(A307),MONTH(A307),1))</f>
        <v/>
      </c>
    </row>
    <row r="308" customFormat="false" ht="15" hidden="false" customHeight="false" outlineLevel="0" collapsed="false">
      <c r="A308" s="22"/>
      <c r="B308" s="23"/>
      <c r="C308" s="23"/>
      <c r="D308" s="23"/>
      <c r="E308" s="24"/>
      <c r="F308" s="23"/>
      <c r="G308" s="23"/>
      <c r="H308" s="21" t="str">
        <f aca="false">IF(A308="","",DATE(YEAR(A308),MONTH(A308),1))</f>
        <v/>
      </c>
    </row>
    <row r="309" customFormat="false" ht="15" hidden="false" customHeight="false" outlineLevel="0" collapsed="false">
      <c r="A309" s="22"/>
      <c r="B309" s="23"/>
      <c r="C309" s="23"/>
      <c r="D309" s="23"/>
      <c r="E309" s="24"/>
      <c r="F309" s="23"/>
      <c r="G309" s="23"/>
      <c r="H309" s="21" t="str">
        <f aca="false">IF(A309="","",DATE(YEAR(A309),MONTH(A309),1))</f>
        <v/>
      </c>
    </row>
    <row r="310" customFormat="false" ht="15" hidden="false" customHeight="false" outlineLevel="0" collapsed="false">
      <c r="A310" s="22"/>
      <c r="B310" s="23"/>
      <c r="C310" s="23"/>
      <c r="D310" s="23"/>
      <c r="E310" s="24"/>
      <c r="F310" s="23"/>
      <c r="G310" s="23"/>
      <c r="H310" s="21" t="str">
        <f aca="false">IF(A310="","",DATE(YEAR(A310),MONTH(A310),1))</f>
        <v/>
      </c>
    </row>
    <row r="311" customFormat="false" ht="15" hidden="false" customHeight="false" outlineLevel="0" collapsed="false">
      <c r="A311" s="22"/>
      <c r="B311" s="23"/>
      <c r="C311" s="23"/>
      <c r="D311" s="23"/>
      <c r="E311" s="24"/>
      <c r="F311" s="23"/>
      <c r="G311" s="23"/>
      <c r="H311" s="21" t="str">
        <f aca="false">IF(A311="","",DATE(YEAR(A311),MONTH(A311),1))</f>
        <v/>
      </c>
    </row>
    <row r="312" customFormat="false" ht="15" hidden="false" customHeight="false" outlineLevel="0" collapsed="false">
      <c r="A312" s="22"/>
      <c r="B312" s="23"/>
      <c r="C312" s="23"/>
      <c r="D312" s="23"/>
      <c r="E312" s="24"/>
      <c r="F312" s="23"/>
      <c r="G312" s="23"/>
      <c r="H312" s="21" t="str">
        <f aca="false">IF(A312="","",DATE(YEAR(A312),MONTH(A312),1))</f>
        <v/>
      </c>
    </row>
    <row r="313" customFormat="false" ht="15" hidden="false" customHeight="false" outlineLevel="0" collapsed="false">
      <c r="A313" s="22"/>
      <c r="B313" s="23"/>
      <c r="C313" s="23"/>
      <c r="D313" s="23"/>
      <c r="E313" s="24"/>
      <c r="F313" s="23"/>
      <c r="G313" s="23"/>
      <c r="H313" s="21" t="str">
        <f aca="false">IF(A313="","",DATE(YEAR(A313),MONTH(A313),1))</f>
        <v/>
      </c>
    </row>
    <row r="314" customFormat="false" ht="15" hidden="false" customHeight="false" outlineLevel="0" collapsed="false">
      <c r="A314" s="22"/>
      <c r="B314" s="23"/>
      <c r="C314" s="23"/>
      <c r="D314" s="23"/>
      <c r="E314" s="24"/>
      <c r="F314" s="23"/>
      <c r="G314" s="23"/>
      <c r="H314" s="21" t="str">
        <f aca="false">IF(A314="","",DATE(YEAR(A314),MONTH(A314),1))</f>
        <v/>
      </c>
    </row>
    <row r="315" customFormat="false" ht="15" hidden="false" customHeight="false" outlineLevel="0" collapsed="false">
      <c r="A315" s="22"/>
      <c r="B315" s="23"/>
      <c r="C315" s="23"/>
      <c r="D315" s="23"/>
      <c r="E315" s="24"/>
      <c r="F315" s="23"/>
      <c r="G315" s="23"/>
      <c r="H315" s="21" t="str">
        <f aca="false">IF(A315="","",DATE(YEAR(A315),MONTH(A315),1))</f>
        <v/>
      </c>
    </row>
    <row r="316" customFormat="false" ht="15" hidden="false" customHeight="false" outlineLevel="0" collapsed="false">
      <c r="A316" s="22"/>
      <c r="B316" s="23"/>
      <c r="C316" s="23"/>
      <c r="D316" s="23"/>
      <c r="E316" s="24"/>
      <c r="F316" s="23"/>
      <c r="G316" s="23"/>
      <c r="H316" s="21" t="str">
        <f aca="false">IF(A316="","",DATE(YEAR(A316),MONTH(A316),1))</f>
        <v/>
      </c>
    </row>
    <row r="317" customFormat="false" ht="15" hidden="false" customHeight="false" outlineLevel="0" collapsed="false">
      <c r="A317" s="22"/>
      <c r="B317" s="23"/>
      <c r="C317" s="23"/>
      <c r="D317" s="23"/>
      <c r="E317" s="24"/>
      <c r="F317" s="23"/>
      <c r="G317" s="23"/>
      <c r="H317" s="21" t="str">
        <f aca="false">IF(A317="","",DATE(YEAR(A317),MONTH(A317),1))</f>
        <v/>
      </c>
    </row>
    <row r="318" customFormat="false" ht="15" hidden="false" customHeight="false" outlineLevel="0" collapsed="false">
      <c r="A318" s="22"/>
      <c r="B318" s="23"/>
      <c r="C318" s="23"/>
      <c r="D318" s="23"/>
      <c r="E318" s="24"/>
      <c r="F318" s="23"/>
      <c r="G318" s="23"/>
      <c r="H318" s="21" t="str">
        <f aca="false">IF(A318="","",DATE(YEAR(A318),MONTH(A318),1))</f>
        <v/>
      </c>
    </row>
    <row r="319" customFormat="false" ht="15" hidden="false" customHeight="false" outlineLevel="0" collapsed="false">
      <c r="A319" s="22"/>
      <c r="B319" s="23"/>
      <c r="C319" s="23"/>
      <c r="D319" s="23"/>
      <c r="E319" s="24"/>
      <c r="F319" s="23"/>
      <c r="G319" s="23"/>
      <c r="H319" s="21" t="str">
        <f aca="false">IF(A319="","",DATE(YEAR(A319),MONTH(A319),1))</f>
        <v/>
      </c>
    </row>
    <row r="320" customFormat="false" ht="15" hidden="false" customHeight="false" outlineLevel="0" collapsed="false">
      <c r="A320" s="22"/>
      <c r="B320" s="23"/>
      <c r="C320" s="23"/>
      <c r="D320" s="23"/>
      <c r="E320" s="24"/>
      <c r="F320" s="23"/>
      <c r="G320" s="23"/>
      <c r="H320" s="21" t="str">
        <f aca="false">IF(A320="","",DATE(YEAR(A320),MONTH(A320),1))</f>
        <v/>
      </c>
    </row>
    <row r="321" customFormat="false" ht="15" hidden="false" customHeight="false" outlineLevel="0" collapsed="false">
      <c r="A321" s="22"/>
      <c r="B321" s="23"/>
      <c r="C321" s="23"/>
      <c r="D321" s="23"/>
      <c r="E321" s="24"/>
      <c r="F321" s="23"/>
      <c r="G321" s="23"/>
      <c r="H321" s="21" t="str">
        <f aca="false">IF(A321="","",DATE(YEAR(A321),MONTH(A321),1))</f>
        <v/>
      </c>
    </row>
    <row r="322" customFormat="false" ht="15" hidden="false" customHeight="false" outlineLevel="0" collapsed="false">
      <c r="A322" s="22"/>
      <c r="B322" s="23"/>
      <c r="C322" s="23"/>
      <c r="D322" s="23"/>
      <c r="E322" s="24"/>
      <c r="F322" s="23"/>
      <c r="G322" s="23"/>
      <c r="H322" s="21" t="str">
        <f aca="false">IF(A322="","",DATE(YEAR(A322),MONTH(A322),1))</f>
        <v/>
      </c>
    </row>
    <row r="323" customFormat="false" ht="15" hidden="false" customHeight="false" outlineLevel="0" collapsed="false">
      <c r="A323" s="22"/>
      <c r="B323" s="23"/>
      <c r="C323" s="23"/>
      <c r="D323" s="23"/>
      <c r="E323" s="24"/>
      <c r="F323" s="23"/>
      <c r="G323" s="23"/>
      <c r="H323" s="21" t="str">
        <f aca="false">IF(A323="","",DATE(YEAR(A323),MONTH(A323),1))</f>
        <v/>
      </c>
    </row>
    <row r="324" customFormat="false" ht="15" hidden="false" customHeight="false" outlineLevel="0" collapsed="false">
      <c r="A324" s="22"/>
      <c r="B324" s="23"/>
      <c r="C324" s="23"/>
      <c r="D324" s="23"/>
      <c r="E324" s="24"/>
      <c r="F324" s="23"/>
      <c r="G324" s="23"/>
      <c r="H324" s="21" t="str">
        <f aca="false">IF(A324="","",DATE(YEAR(A324),MONTH(A324),1))</f>
        <v/>
      </c>
    </row>
    <row r="325" customFormat="false" ht="15" hidden="false" customHeight="false" outlineLevel="0" collapsed="false">
      <c r="A325" s="22"/>
      <c r="B325" s="23"/>
      <c r="C325" s="23"/>
      <c r="D325" s="23"/>
      <c r="E325" s="24"/>
      <c r="F325" s="23"/>
      <c r="G325" s="23"/>
      <c r="H325" s="21" t="str">
        <f aca="false">IF(A325="","",DATE(YEAR(A325),MONTH(A325),1))</f>
        <v/>
      </c>
    </row>
    <row r="326" customFormat="false" ht="15" hidden="false" customHeight="false" outlineLevel="0" collapsed="false">
      <c r="A326" s="22"/>
      <c r="B326" s="23"/>
      <c r="C326" s="23"/>
      <c r="D326" s="23"/>
      <c r="E326" s="24"/>
      <c r="F326" s="23"/>
      <c r="G326" s="23"/>
      <c r="H326" s="21" t="str">
        <f aca="false">IF(A326="","",DATE(YEAR(A326),MONTH(A326),1))</f>
        <v/>
      </c>
    </row>
    <row r="327" customFormat="false" ht="15" hidden="false" customHeight="false" outlineLevel="0" collapsed="false">
      <c r="A327" s="22"/>
      <c r="B327" s="23"/>
      <c r="C327" s="23"/>
      <c r="D327" s="23"/>
      <c r="E327" s="24"/>
      <c r="F327" s="23"/>
      <c r="G327" s="23"/>
      <c r="H327" s="21" t="str">
        <f aca="false">IF(A327="","",DATE(YEAR(A327),MONTH(A327),1))</f>
        <v/>
      </c>
    </row>
    <row r="328" customFormat="false" ht="15" hidden="false" customHeight="false" outlineLevel="0" collapsed="false">
      <c r="A328" s="22"/>
      <c r="B328" s="23"/>
      <c r="C328" s="23"/>
      <c r="D328" s="23"/>
      <c r="E328" s="24"/>
      <c r="F328" s="23"/>
      <c r="G328" s="23"/>
      <c r="H328" s="21" t="str">
        <f aca="false">IF(A328="","",DATE(YEAR(A328),MONTH(A328),1))</f>
        <v/>
      </c>
    </row>
    <row r="329" customFormat="false" ht="15" hidden="false" customHeight="false" outlineLevel="0" collapsed="false">
      <c r="A329" s="22"/>
      <c r="B329" s="23"/>
      <c r="C329" s="23"/>
      <c r="D329" s="23"/>
      <c r="E329" s="24"/>
      <c r="F329" s="23"/>
      <c r="G329" s="23"/>
      <c r="H329" s="21" t="str">
        <f aca="false">IF(A329="","",DATE(YEAR(A329),MONTH(A329),1))</f>
        <v/>
      </c>
    </row>
    <row r="330" customFormat="false" ht="15" hidden="false" customHeight="false" outlineLevel="0" collapsed="false">
      <c r="A330" s="22"/>
      <c r="B330" s="23"/>
      <c r="C330" s="23"/>
      <c r="D330" s="23"/>
      <c r="E330" s="24"/>
      <c r="F330" s="23"/>
      <c r="G330" s="23"/>
      <c r="H330" s="21" t="str">
        <f aca="false">IF(A330="","",DATE(YEAR(A330),MONTH(A330),1))</f>
        <v/>
      </c>
    </row>
    <row r="331" customFormat="false" ht="15" hidden="false" customHeight="false" outlineLevel="0" collapsed="false">
      <c r="A331" s="22"/>
      <c r="B331" s="23"/>
      <c r="C331" s="23"/>
      <c r="D331" s="23"/>
      <c r="E331" s="24"/>
      <c r="F331" s="23"/>
      <c r="G331" s="23"/>
      <c r="H331" s="21" t="str">
        <f aca="false">IF(A331="","",DATE(YEAR(A331),MONTH(A331),1))</f>
        <v/>
      </c>
    </row>
    <row r="332" customFormat="false" ht="15" hidden="false" customHeight="false" outlineLevel="0" collapsed="false">
      <c r="A332" s="22"/>
      <c r="B332" s="23"/>
      <c r="C332" s="23"/>
      <c r="D332" s="23"/>
      <c r="E332" s="24"/>
      <c r="F332" s="23"/>
      <c r="G332" s="23"/>
      <c r="H332" s="21" t="str">
        <f aca="false">IF(A332="","",DATE(YEAR(A332),MONTH(A332),1))</f>
        <v/>
      </c>
    </row>
    <row r="333" customFormat="false" ht="15" hidden="false" customHeight="false" outlineLevel="0" collapsed="false">
      <c r="A333" s="22"/>
      <c r="B333" s="23"/>
      <c r="C333" s="23"/>
      <c r="D333" s="23"/>
      <c r="E333" s="24"/>
      <c r="F333" s="23"/>
      <c r="G333" s="23"/>
      <c r="H333" s="21" t="str">
        <f aca="false">IF(A333="","",DATE(YEAR(A333),MONTH(A333),1))</f>
        <v/>
      </c>
    </row>
    <row r="334" customFormat="false" ht="15" hidden="false" customHeight="false" outlineLevel="0" collapsed="false">
      <c r="A334" s="22"/>
      <c r="B334" s="23"/>
      <c r="C334" s="23"/>
      <c r="D334" s="23"/>
      <c r="E334" s="24"/>
      <c r="F334" s="23"/>
      <c r="G334" s="23"/>
      <c r="H334" s="21" t="str">
        <f aca="false">IF(A334="","",DATE(YEAR(A334),MONTH(A334),1))</f>
        <v/>
      </c>
    </row>
    <row r="335" customFormat="false" ht="15" hidden="false" customHeight="false" outlineLevel="0" collapsed="false">
      <c r="A335" s="22"/>
      <c r="B335" s="23"/>
      <c r="C335" s="23"/>
      <c r="D335" s="23"/>
      <c r="E335" s="24"/>
      <c r="F335" s="23"/>
      <c r="G335" s="23"/>
      <c r="H335" s="21" t="str">
        <f aca="false">IF(A335="","",DATE(YEAR(A335),MONTH(A335),1))</f>
        <v/>
      </c>
    </row>
    <row r="336" customFormat="false" ht="15" hidden="false" customHeight="false" outlineLevel="0" collapsed="false">
      <c r="A336" s="22"/>
      <c r="B336" s="23"/>
      <c r="C336" s="23"/>
      <c r="D336" s="23"/>
      <c r="E336" s="24"/>
      <c r="F336" s="23"/>
      <c r="G336" s="23"/>
      <c r="H336" s="21" t="str">
        <f aca="false">IF(A336="","",DATE(YEAR(A336),MONTH(A336),1))</f>
        <v/>
      </c>
    </row>
    <row r="337" customFormat="false" ht="15" hidden="false" customHeight="false" outlineLevel="0" collapsed="false">
      <c r="A337" s="22"/>
      <c r="B337" s="23"/>
      <c r="C337" s="23"/>
      <c r="D337" s="23"/>
      <c r="E337" s="24"/>
      <c r="F337" s="23"/>
      <c r="G337" s="23"/>
      <c r="H337" s="21" t="str">
        <f aca="false">IF(A337="","",DATE(YEAR(A337),MONTH(A337),1))</f>
        <v/>
      </c>
    </row>
    <row r="338" customFormat="false" ht="15" hidden="false" customHeight="false" outlineLevel="0" collapsed="false">
      <c r="A338" s="22"/>
      <c r="B338" s="23"/>
      <c r="C338" s="23"/>
      <c r="D338" s="23"/>
      <c r="E338" s="24"/>
      <c r="F338" s="23"/>
      <c r="G338" s="23"/>
      <c r="H338" s="21" t="str">
        <f aca="false">IF(A338="","",DATE(YEAR(A338),MONTH(A338),1))</f>
        <v/>
      </c>
    </row>
    <row r="339" customFormat="false" ht="15" hidden="false" customHeight="false" outlineLevel="0" collapsed="false">
      <c r="A339" s="22"/>
      <c r="B339" s="23"/>
      <c r="C339" s="23"/>
      <c r="D339" s="23"/>
      <c r="E339" s="24"/>
      <c r="F339" s="23"/>
      <c r="G339" s="23"/>
      <c r="H339" s="21" t="str">
        <f aca="false">IF(A339="","",DATE(YEAR(A339),MONTH(A339),1))</f>
        <v/>
      </c>
    </row>
    <row r="340" customFormat="false" ht="15" hidden="false" customHeight="false" outlineLevel="0" collapsed="false">
      <c r="A340" s="22"/>
      <c r="B340" s="23"/>
      <c r="C340" s="23"/>
      <c r="D340" s="23"/>
      <c r="E340" s="24"/>
      <c r="F340" s="23"/>
      <c r="G340" s="23"/>
      <c r="H340" s="21" t="str">
        <f aca="false">IF(A340="","",DATE(YEAR(A340),MONTH(A340),1))</f>
        <v/>
      </c>
    </row>
    <row r="341" customFormat="false" ht="15" hidden="false" customHeight="false" outlineLevel="0" collapsed="false">
      <c r="A341" s="22"/>
      <c r="B341" s="23"/>
      <c r="C341" s="23"/>
      <c r="D341" s="23"/>
      <c r="E341" s="24"/>
      <c r="F341" s="23"/>
      <c r="G341" s="23"/>
      <c r="H341" s="21" t="str">
        <f aca="false">IF(A341="","",DATE(YEAR(A341),MONTH(A341),1))</f>
        <v/>
      </c>
    </row>
    <row r="342" customFormat="false" ht="15" hidden="false" customHeight="false" outlineLevel="0" collapsed="false">
      <c r="A342" s="22"/>
      <c r="B342" s="23"/>
      <c r="C342" s="23"/>
      <c r="D342" s="23"/>
      <c r="E342" s="24"/>
      <c r="F342" s="23"/>
      <c r="G342" s="23"/>
      <c r="H342" s="21" t="str">
        <f aca="false">IF(A342="","",DATE(YEAR(A342),MONTH(A342),1))</f>
        <v/>
      </c>
    </row>
    <row r="343" customFormat="false" ht="15" hidden="false" customHeight="false" outlineLevel="0" collapsed="false">
      <c r="A343" s="22"/>
      <c r="B343" s="23"/>
      <c r="C343" s="23"/>
      <c r="D343" s="23"/>
      <c r="E343" s="24"/>
      <c r="F343" s="23"/>
      <c r="G343" s="23"/>
      <c r="H343" s="21" t="str">
        <f aca="false">IF(A343="","",DATE(YEAR(A343),MONTH(A343),1))</f>
        <v/>
      </c>
    </row>
    <row r="344" customFormat="false" ht="15" hidden="false" customHeight="false" outlineLevel="0" collapsed="false">
      <c r="A344" s="22"/>
      <c r="B344" s="23"/>
      <c r="C344" s="23"/>
      <c r="D344" s="23"/>
      <c r="E344" s="24"/>
      <c r="F344" s="23"/>
      <c r="G344" s="23"/>
      <c r="H344" s="21" t="str">
        <f aca="false">IF(A344="","",DATE(YEAR(A344),MONTH(A344),1))</f>
        <v/>
      </c>
    </row>
    <row r="345" customFormat="false" ht="15" hidden="false" customHeight="false" outlineLevel="0" collapsed="false">
      <c r="A345" s="22"/>
      <c r="B345" s="23"/>
      <c r="C345" s="23"/>
      <c r="D345" s="23"/>
      <c r="E345" s="24"/>
      <c r="F345" s="23"/>
      <c r="G345" s="23"/>
      <c r="H345" s="21" t="str">
        <f aca="false">IF(A345="","",DATE(YEAR(A345),MONTH(A345),1))</f>
        <v/>
      </c>
    </row>
    <row r="346" customFormat="false" ht="15" hidden="false" customHeight="false" outlineLevel="0" collapsed="false">
      <c r="A346" s="22"/>
      <c r="B346" s="23"/>
      <c r="C346" s="23"/>
      <c r="D346" s="23"/>
      <c r="E346" s="24"/>
      <c r="F346" s="23"/>
      <c r="G346" s="23"/>
      <c r="H346" s="21" t="str">
        <f aca="false">IF(A346="","",DATE(YEAR(A346),MONTH(A346),1))</f>
        <v/>
      </c>
    </row>
    <row r="347" customFormat="false" ht="15" hidden="false" customHeight="false" outlineLevel="0" collapsed="false">
      <c r="A347" s="22"/>
      <c r="B347" s="23"/>
      <c r="C347" s="23"/>
      <c r="D347" s="23"/>
      <c r="E347" s="24"/>
      <c r="F347" s="23"/>
      <c r="G347" s="23"/>
      <c r="H347" s="21" t="str">
        <f aca="false">IF(A347="","",DATE(YEAR(A347),MONTH(A347),1))</f>
        <v/>
      </c>
    </row>
    <row r="348" customFormat="false" ht="15" hidden="false" customHeight="false" outlineLevel="0" collapsed="false">
      <c r="A348" s="22"/>
      <c r="B348" s="23"/>
      <c r="C348" s="23"/>
      <c r="D348" s="23"/>
      <c r="E348" s="24"/>
      <c r="F348" s="23"/>
      <c r="G348" s="23"/>
      <c r="H348" s="21" t="str">
        <f aca="false">IF(A348="","",DATE(YEAR(A348),MONTH(A348),1))</f>
        <v/>
      </c>
    </row>
    <row r="349" customFormat="false" ht="15" hidden="false" customHeight="false" outlineLevel="0" collapsed="false">
      <c r="A349" s="22"/>
      <c r="B349" s="23"/>
      <c r="C349" s="23"/>
      <c r="D349" s="23"/>
      <c r="E349" s="24"/>
      <c r="F349" s="23"/>
      <c r="G349" s="23"/>
      <c r="H349" s="21" t="str">
        <f aca="false">IF(A349="","",DATE(YEAR(A349),MONTH(A349),1))</f>
        <v/>
      </c>
    </row>
    <row r="350" customFormat="false" ht="15" hidden="false" customHeight="false" outlineLevel="0" collapsed="false">
      <c r="A350" s="22"/>
      <c r="B350" s="23"/>
      <c r="C350" s="23"/>
      <c r="D350" s="23"/>
      <c r="E350" s="24"/>
      <c r="F350" s="23"/>
      <c r="G350" s="23"/>
      <c r="H350" s="21" t="str">
        <f aca="false">IF(A350="","",DATE(YEAR(A350),MONTH(A350),1))</f>
        <v/>
      </c>
    </row>
    <row r="351" customFormat="false" ht="15" hidden="false" customHeight="false" outlineLevel="0" collapsed="false">
      <c r="A351" s="22"/>
      <c r="B351" s="23"/>
      <c r="C351" s="23"/>
      <c r="D351" s="23"/>
      <c r="E351" s="24"/>
      <c r="F351" s="23"/>
      <c r="G351" s="23"/>
      <c r="H351" s="21" t="str">
        <f aca="false">IF(A351="","",DATE(YEAR(A351),MONTH(A351),1))</f>
        <v/>
      </c>
    </row>
    <row r="352" customFormat="false" ht="15" hidden="false" customHeight="false" outlineLevel="0" collapsed="false">
      <c r="A352" s="22"/>
      <c r="B352" s="23"/>
      <c r="C352" s="23"/>
      <c r="D352" s="23"/>
      <c r="E352" s="24"/>
      <c r="F352" s="23"/>
      <c r="G352" s="23"/>
      <c r="H352" s="21" t="str">
        <f aca="false">IF(A352="","",DATE(YEAR(A352),MONTH(A352),1))</f>
        <v/>
      </c>
    </row>
    <row r="353" customFormat="false" ht="15" hidden="false" customHeight="false" outlineLevel="0" collapsed="false">
      <c r="A353" s="22"/>
      <c r="B353" s="23"/>
      <c r="C353" s="23"/>
      <c r="D353" s="23"/>
      <c r="E353" s="24"/>
      <c r="F353" s="23"/>
      <c r="G353" s="23"/>
      <c r="H353" s="21" t="str">
        <f aca="false">IF(A353="","",DATE(YEAR(A353),MONTH(A353),1))</f>
        <v/>
      </c>
    </row>
    <row r="354" customFormat="false" ht="15" hidden="false" customHeight="false" outlineLevel="0" collapsed="false">
      <c r="A354" s="22"/>
      <c r="B354" s="23"/>
      <c r="C354" s="23"/>
      <c r="D354" s="23"/>
      <c r="E354" s="24"/>
      <c r="F354" s="23"/>
      <c r="G354" s="23"/>
      <c r="H354" s="21" t="str">
        <f aca="false">IF(A354="","",DATE(YEAR(A354),MONTH(A354),1))</f>
        <v/>
      </c>
    </row>
    <row r="355" customFormat="false" ht="15" hidden="false" customHeight="false" outlineLevel="0" collapsed="false">
      <c r="A355" s="22"/>
      <c r="B355" s="23"/>
      <c r="C355" s="23"/>
      <c r="D355" s="23"/>
      <c r="E355" s="24"/>
      <c r="F355" s="23"/>
      <c r="G355" s="23"/>
      <c r="H355" s="21" t="str">
        <f aca="false">IF(A355="","",DATE(YEAR(A355),MONTH(A355),1))</f>
        <v/>
      </c>
    </row>
    <row r="356" customFormat="false" ht="15" hidden="false" customHeight="false" outlineLevel="0" collapsed="false">
      <c r="A356" s="22"/>
      <c r="B356" s="23"/>
      <c r="C356" s="23"/>
      <c r="D356" s="23"/>
      <c r="E356" s="24"/>
      <c r="F356" s="23"/>
      <c r="G356" s="23"/>
      <c r="H356" s="21" t="str">
        <f aca="false">IF(A356="","",DATE(YEAR(A356),MONTH(A356),1))</f>
        <v/>
      </c>
    </row>
    <row r="357" customFormat="false" ht="15" hidden="false" customHeight="false" outlineLevel="0" collapsed="false">
      <c r="A357" s="22"/>
      <c r="B357" s="23"/>
      <c r="C357" s="23"/>
      <c r="D357" s="23"/>
      <c r="E357" s="24"/>
      <c r="F357" s="23"/>
      <c r="G357" s="23"/>
      <c r="H357" s="21" t="str">
        <f aca="false">IF(A357="","",DATE(YEAR(A357),MONTH(A357),1))</f>
        <v/>
      </c>
    </row>
    <row r="358" customFormat="false" ht="15" hidden="false" customHeight="false" outlineLevel="0" collapsed="false">
      <c r="A358" s="22"/>
      <c r="B358" s="23"/>
      <c r="C358" s="23"/>
      <c r="D358" s="23"/>
      <c r="E358" s="24"/>
      <c r="F358" s="23"/>
      <c r="G358" s="23"/>
      <c r="H358" s="21" t="str">
        <f aca="false">IF(A358="","",DATE(YEAR(A358),MONTH(A358),1))</f>
        <v/>
      </c>
    </row>
    <row r="359" customFormat="false" ht="15" hidden="false" customHeight="false" outlineLevel="0" collapsed="false">
      <c r="A359" s="22"/>
      <c r="B359" s="23"/>
      <c r="C359" s="23"/>
      <c r="D359" s="23"/>
      <c r="E359" s="24"/>
      <c r="F359" s="23"/>
      <c r="G359" s="23"/>
      <c r="H359" s="21" t="str">
        <f aca="false">IF(A359="","",DATE(YEAR(A359),MONTH(A359),1))</f>
        <v/>
      </c>
    </row>
    <row r="360" customFormat="false" ht="15" hidden="false" customHeight="false" outlineLevel="0" collapsed="false">
      <c r="A360" s="22"/>
      <c r="B360" s="23"/>
      <c r="C360" s="23"/>
      <c r="D360" s="23"/>
      <c r="E360" s="24"/>
      <c r="F360" s="23"/>
      <c r="G360" s="23"/>
      <c r="H360" s="21" t="str">
        <f aca="false">IF(A360="","",DATE(YEAR(A360),MONTH(A360),1))</f>
        <v/>
      </c>
    </row>
    <row r="361" customFormat="false" ht="15" hidden="false" customHeight="false" outlineLevel="0" collapsed="false">
      <c r="A361" s="22"/>
      <c r="B361" s="23"/>
      <c r="C361" s="23"/>
      <c r="D361" s="23"/>
      <c r="E361" s="24"/>
      <c r="F361" s="23"/>
      <c r="G361" s="23"/>
      <c r="H361" s="21" t="str">
        <f aca="false">IF(A361="","",DATE(YEAR(A361),MONTH(A361),1))</f>
        <v/>
      </c>
    </row>
    <row r="362" customFormat="false" ht="15" hidden="false" customHeight="false" outlineLevel="0" collapsed="false">
      <c r="A362" s="22"/>
      <c r="B362" s="23"/>
      <c r="C362" s="23"/>
      <c r="D362" s="23"/>
      <c r="E362" s="24"/>
      <c r="F362" s="23"/>
      <c r="G362" s="23"/>
      <c r="H362" s="21" t="str">
        <f aca="false">IF(A362="","",DATE(YEAR(A362),MONTH(A362),1))</f>
        <v/>
      </c>
    </row>
    <row r="363" customFormat="false" ht="15" hidden="false" customHeight="false" outlineLevel="0" collapsed="false">
      <c r="A363" s="22"/>
      <c r="B363" s="23"/>
      <c r="C363" s="23"/>
      <c r="D363" s="23"/>
      <c r="E363" s="24"/>
      <c r="F363" s="23"/>
      <c r="G363" s="23"/>
      <c r="H363" s="21" t="str">
        <f aca="false">IF(A363="","",DATE(YEAR(A363),MONTH(A363),1))</f>
        <v/>
      </c>
    </row>
    <row r="364" customFormat="false" ht="15" hidden="false" customHeight="false" outlineLevel="0" collapsed="false">
      <c r="A364" s="22"/>
      <c r="B364" s="23"/>
      <c r="C364" s="23"/>
      <c r="D364" s="23"/>
      <c r="E364" s="24"/>
      <c r="F364" s="23"/>
      <c r="G364" s="23"/>
      <c r="H364" s="21" t="str">
        <f aca="false">IF(A364="","",DATE(YEAR(A364),MONTH(A364),1))</f>
        <v/>
      </c>
    </row>
    <row r="365" customFormat="false" ht="15" hidden="false" customHeight="false" outlineLevel="0" collapsed="false">
      <c r="A365" s="22"/>
      <c r="B365" s="23"/>
      <c r="C365" s="23"/>
      <c r="D365" s="23"/>
      <c r="E365" s="24"/>
      <c r="F365" s="23"/>
      <c r="G365" s="23"/>
      <c r="H365" s="21" t="str">
        <f aca="false">IF(A365="","",DATE(YEAR(A365),MONTH(A365),1))</f>
        <v/>
      </c>
    </row>
    <row r="366" customFormat="false" ht="15" hidden="false" customHeight="false" outlineLevel="0" collapsed="false">
      <c r="A366" s="22"/>
      <c r="B366" s="23"/>
      <c r="C366" s="23"/>
      <c r="D366" s="23"/>
      <c r="E366" s="24"/>
      <c r="F366" s="23"/>
      <c r="G366" s="23"/>
      <c r="H366" s="21" t="str">
        <f aca="false">IF(A366="","",DATE(YEAR(A366),MONTH(A366),1))</f>
        <v/>
      </c>
    </row>
    <row r="367" customFormat="false" ht="15" hidden="false" customHeight="false" outlineLevel="0" collapsed="false">
      <c r="A367" s="22"/>
      <c r="B367" s="23"/>
      <c r="C367" s="23"/>
      <c r="D367" s="23"/>
      <c r="E367" s="24"/>
      <c r="F367" s="23"/>
      <c r="G367" s="23"/>
      <c r="H367" s="21" t="str">
        <f aca="false">IF(A367="","",DATE(YEAR(A367),MONTH(A367),1))</f>
        <v/>
      </c>
    </row>
    <row r="368" customFormat="false" ht="15" hidden="false" customHeight="false" outlineLevel="0" collapsed="false">
      <c r="A368" s="22"/>
      <c r="B368" s="23"/>
      <c r="C368" s="23"/>
      <c r="D368" s="23"/>
      <c r="E368" s="24"/>
      <c r="F368" s="23"/>
      <c r="G368" s="23"/>
      <c r="H368" s="21" t="str">
        <f aca="false">IF(A368="","",DATE(YEAR(A368),MONTH(A368),1))</f>
        <v/>
      </c>
    </row>
    <row r="369" customFormat="false" ht="15" hidden="false" customHeight="false" outlineLevel="0" collapsed="false">
      <c r="A369" s="22"/>
      <c r="B369" s="23"/>
      <c r="C369" s="23"/>
      <c r="D369" s="23"/>
      <c r="E369" s="24"/>
      <c r="F369" s="23"/>
      <c r="G369" s="23"/>
      <c r="H369" s="21" t="str">
        <f aca="false">IF(A369="","",DATE(YEAR(A369),MONTH(A369),1))</f>
        <v/>
      </c>
    </row>
    <row r="370" customFormat="false" ht="15" hidden="false" customHeight="false" outlineLevel="0" collapsed="false">
      <c r="A370" s="22"/>
      <c r="B370" s="23"/>
      <c r="C370" s="23"/>
      <c r="D370" s="23"/>
      <c r="E370" s="24"/>
      <c r="F370" s="23"/>
      <c r="G370" s="23"/>
      <c r="H370" s="21" t="str">
        <f aca="false">IF(A370="","",DATE(YEAR(A370),MONTH(A370),1))</f>
        <v/>
      </c>
    </row>
    <row r="371" customFormat="false" ht="15" hidden="false" customHeight="false" outlineLevel="0" collapsed="false">
      <c r="A371" s="22"/>
      <c r="B371" s="23"/>
      <c r="C371" s="23"/>
      <c r="D371" s="23"/>
      <c r="E371" s="24"/>
      <c r="F371" s="23"/>
      <c r="G371" s="23"/>
      <c r="H371" s="21" t="str">
        <f aca="false">IF(A371="","",DATE(YEAR(A371),MONTH(A371),1))</f>
        <v/>
      </c>
    </row>
    <row r="372" customFormat="false" ht="15" hidden="false" customHeight="false" outlineLevel="0" collapsed="false">
      <c r="A372" s="22"/>
      <c r="B372" s="23"/>
      <c r="C372" s="23"/>
      <c r="D372" s="23"/>
      <c r="E372" s="24"/>
      <c r="F372" s="23"/>
      <c r="G372" s="23"/>
      <c r="H372" s="21" t="str">
        <f aca="false">IF(A372="","",DATE(YEAR(A372),MONTH(A372),1))</f>
        <v/>
      </c>
    </row>
    <row r="373" customFormat="false" ht="15" hidden="false" customHeight="false" outlineLevel="0" collapsed="false">
      <c r="A373" s="22"/>
      <c r="B373" s="23"/>
      <c r="C373" s="23"/>
      <c r="D373" s="23"/>
      <c r="E373" s="24"/>
      <c r="F373" s="23"/>
      <c r="G373" s="23"/>
      <c r="H373" s="21" t="str">
        <f aca="false">IF(A373="","",DATE(YEAR(A373),MONTH(A373),1))</f>
        <v/>
      </c>
    </row>
    <row r="374" customFormat="false" ht="15" hidden="false" customHeight="false" outlineLevel="0" collapsed="false">
      <c r="A374" s="22"/>
      <c r="B374" s="23"/>
      <c r="C374" s="23"/>
      <c r="D374" s="23"/>
      <c r="E374" s="24"/>
      <c r="F374" s="23"/>
      <c r="G374" s="23"/>
      <c r="H374" s="21" t="str">
        <f aca="false">IF(A374="","",DATE(YEAR(A374),MONTH(A374),1))</f>
        <v/>
      </c>
    </row>
    <row r="375" customFormat="false" ht="15" hidden="false" customHeight="false" outlineLevel="0" collapsed="false">
      <c r="A375" s="22"/>
      <c r="B375" s="23"/>
      <c r="C375" s="23"/>
      <c r="D375" s="23"/>
      <c r="E375" s="24"/>
      <c r="F375" s="23"/>
      <c r="G375" s="23"/>
      <c r="H375" s="21" t="str">
        <f aca="false">IF(A375="","",DATE(YEAR(A375),MONTH(A375),1))</f>
        <v/>
      </c>
    </row>
    <row r="376" customFormat="false" ht="15" hidden="false" customHeight="false" outlineLevel="0" collapsed="false">
      <c r="A376" s="22"/>
      <c r="B376" s="23"/>
      <c r="C376" s="23"/>
      <c r="D376" s="23"/>
      <c r="E376" s="24"/>
      <c r="F376" s="23"/>
      <c r="G376" s="23"/>
      <c r="H376" s="21" t="str">
        <f aca="false">IF(A376="","",DATE(YEAR(A376),MONTH(A376),1))</f>
        <v/>
      </c>
    </row>
    <row r="377" customFormat="false" ht="15" hidden="false" customHeight="false" outlineLevel="0" collapsed="false">
      <c r="A377" s="22"/>
      <c r="B377" s="23"/>
      <c r="C377" s="23"/>
      <c r="D377" s="23"/>
      <c r="E377" s="24"/>
      <c r="F377" s="23"/>
      <c r="G377" s="23"/>
      <c r="H377" s="21" t="str">
        <f aca="false">IF(A377="","",DATE(YEAR(A377),MONTH(A377),1))</f>
        <v/>
      </c>
    </row>
    <row r="378" customFormat="false" ht="15" hidden="false" customHeight="false" outlineLevel="0" collapsed="false">
      <c r="A378" s="22"/>
      <c r="B378" s="23"/>
      <c r="C378" s="23"/>
      <c r="D378" s="23"/>
      <c r="E378" s="24"/>
      <c r="F378" s="23"/>
      <c r="G378" s="23"/>
      <c r="H378" s="21" t="str">
        <f aca="false">IF(A378="","",DATE(YEAR(A378),MONTH(A378),1))</f>
        <v/>
      </c>
    </row>
    <row r="379" customFormat="false" ht="15" hidden="false" customHeight="false" outlineLevel="0" collapsed="false">
      <c r="A379" s="22"/>
      <c r="B379" s="23"/>
      <c r="C379" s="23"/>
      <c r="D379" s="23"/>
      <c r="E379" s="24"/>
      <c r="F379" s="23"/>
      <c r="G379" s="23"/>
      <c r="H379" s="21" t="str">
        <f aca="false">IF(A379="","",DATE(YEAR(A379),MONTH(A379),1))</f>
        <v/>
      </c>
    </row>
    <row r="380" customFormat="false" ht="15" hidden="false" customHeight="false" outlineLevel="0" collapsed="false">
      <c r="A380" s="22"/>
      <c r="B380" s="23"/>
      <c r="C380" s="23"/>
      <c r="D380" s="23"/>
      <c r="E380" s="24"/>
      <c r="F380" s="23"/>
      <c r="G380" s="23"/>
      <c r="H380" s="21" t="str">
        <f aca="false">IF(A380="","",DATE(YEAR(A380),MONTH(A380),1))</f>
        <v/>
      </c>
    </row>
    <row r="381" customFormat="false" ht="15" hidden="false" customHeight="false" outlineLevel="0" collapsed="false">
      <c r="A381" s="22"/>
      <c r="B381" s="23"/>
      <c r="C381" s="23"/>
      <c r="D381" s="23"/>
      <c r="E381" s="24"/>
      <c r="F381" s="23"/>
      <c r="G381" s="23"/>
      <c r="H381" s="21" t="str">
        <f aca="false">IF(A381="","",DATE(YEAR(A381),MONTH(A381),1))</f>
        <v/>
      </c>
    </row>
    <row r="382" customFormat="false" ht="15" hidden="false" customHeight="false" outlineLevel="0" collapsed="false">
      <c r="A382" s="22"/>
      <c r="B382" s="23"/>
      <c r="C382" s="23"/>
      <c r="D382" s="23"/>
      <c r="E382" s="24"/>
      <c r="F382" s="23"/>
      <c r="G382" s="23"/>
      <c r="H382" s="21" t="str">
        <f aca="false">IF(A382="","",DATE(YEAR(A382),MONTH(A382),1))</f>
        <v/>
      </c>
    </row>
    <row r="383" customFormat="false" ht="15" hidden="false" customHeight="false" outlineLevel="0" collapsed="false">
      <c r="A383" s="22"/>
      <c r="B383" s="23"/>
      <c r="C383" s="23"/>
      <c r="D383" s="23"/>
      <c r="E383" s="24"/>
      <c r="F383" s="23"/>
      <c r="G383" s="23"/>
      <c r="H383" s="21" t="str">
        <f aca="false">IF(A383="","",DATE(YEAR(A383),MONTH(A383),1))</f>
        <v/>
      </c>
    </row>
    <row r="384" customFormat="false" ht="15" hidden="false" customHeight="false" outlineLevel="0" collapsed="false">
      <c r="A384" s="22"/>
      <c r="B384" s="23"/>
      <c r="C384" s="23"/>
      <c r="D384" s="23"/>
      <c r="E384" s="24"/>
      <c r="F384" s="23"/>
      <c r="G384" s="23"/>
      <c r="H384" s="21" t="str">
        <f aca="false">IF(A384="","",DATE(YEAR(A384),MONTH(A384),1))</f>
        <v/>
      </c>
    </row>
    <row r="385" customFormat="false" ht="15" hidden="false" customHeight="false" outlineLevel="0" collapsed="false">
      <c r="A385" s="22"/>
      <c r="B385" s="23"/>
      <c r="C385" s="23"/>
      <c r="D385" s="23"/>
      <c r="E385" s="24"/>
      <c r="F385" s="23"/>
      <c r="G385" s="23"/>
      <c r="H385" s="21" t="str">
        <f aca="false">IF(A385="","",DATE(YEAR(A385),MONTH(A385),1))</f>
        <v/>
      </c>
    </row>
    <row r="386" customFormat="false" ht="15" hidden="false" customHeight="false" outlineLevel="0" collapsed="false">
      <c r="A386" s="22"/>
      <c r="B386" s="23"/>
      <c r="C386" s="23"/>
      <c r="D386" s="23"/>
      <c r="E386" s="24"/>
      <c r="F386" s="23"/>
      <c r="G386" s="23"/>
      <c r="H386" s="21" t="str">
        <f aca="false">IF(A386="","",DATE(YEAR(A386),MONTH(A386),1))</f>
        <v/>
      </c>
    </row>
    <row r="387" customFormat="false" ht="15" hidden="false" customHeight="false" outlineLevel="0" collapsed="false">
      <c r="A387" s="22"/>
      <c r="B387" s="23"/>
      <c r="C387" s="23"/>
      <c r="D387" s="23"/>
      <c r="E387" s="24"/>
      <c r="F387" s="23"/>
      <c r="G387" s="23"/>
      <c r="H387" s="21" t="str">
        <f aca="false">IF(A387="","",DATE(YEAR(A387),MONTH(A387),1))</f>
        <v/>
      </c>
    </row>
    <row r="388" customFormat="false" ht="15" hidden="false" customHeight="false" outlineLevel="0" collapsed="false">
      <c r="A388" s="22"/>
      <c r="B388" s="23"/>
      <c r="C388" s="23"/>
      <c r="D388" s="23"/>
      <c r="E388" s="24"/>
      <c r="F388" s="23"/>
      <c r="G388" s="23"/>
      <c r="H388" s="21" t="str">
        <f aca="false">IF(A388="","",DATE(YEAR(A388),MONTH(A388),1))</f>
        <v/>
      </c>
    </row>
    <row r="389" customFormat="false" ht="15" hidden="false" customHeight="false" outlineLevel="0" collapsed="false">
      <c r="A389" s="22"/>
      <c r="B389" s="23"/>
      <c r="C389" s="23"/>
      <c r="D389" s="23"/>
      <c r="E389" s="24"/>
      <c r="F389" s="23"/>
      <c r="G389" s="23"/>
      <c r="H389" s="21" t="str">
        <f aca="false">IF(A389="","",DATE(YEAR(A389),MONTH(A389),1))</f>
        <v/>
      </c>
    </row>
    <row r="390" customFormat="false" ht="15" hidden="false" customHeight="false" outlineLevel="0" collapsed="false">
      <c r="A390" s="22"/>
      <c r="B390" s="23"/>
      <c r="C390" s="23"/>
      <c r="D390" s="23"/>
      <c r="E390" s="24"/>
      <c r="F390" s="23"/>
      <c r="G390" s="23"/>
      <c r="H390" s="21" t="str">
        <f aca="false">IF(A390="","",DATE(YEAR(A390),MONTH(A390),1))</f>
        <v/>
      </c>
    </row>
    <row r="391" customFormat="false" ht="15" hidden="false" customHeight="false" outlineLevel="0" collapsed="false">
      <c r="A391" s="22"/>
      <c r="B391" s="23"/>
      <c r="C391" s="23"/>
      <c r="D391" s="23"/>
      <c r="E391" s="24"/>
      <c r="F391" s="23"/>
      <c r="G391" s="23"/>
      <c r="H391" s="21" t="str">
        <f aca="false">IF(A391="","",DATE(YEAR(A391),MONTH(A391),1))</f>
        <v/>
      </c>
    </row>
    <row r="392" customFormat="false" ht="15" hidden="false" customHeight="false" outlineLevel="0" collapsed="false">
      <c r="A392" s="22"/>
      <c r="B392" s="23"/>
      <c r="C392" s="23"/>
      <c r="D392" s="23"/>
      <c r="E392" s="24"/>
      <c r="F392" s="23"/>
      <c r="G392" s="23"/>
      <c r="H392" s="21" t="str">
        <f aca="false">IF(A392="","",DATE(YEAR(A392),MONTH(A392),1))</f>
        <v/>
      </c>
    </row>
    <row r="393" customFormat="false" ht="15" hidden="false" customHeight="false" outlineLevel="0" collapsed="false">
      <c r="A393" s="22"/>
      <c r="B393" s="23"/>
      <c r="C393" s="23"/>
      <c r="D393" s="23"/>
      <c r="E393" s="24"/>
      <c r="F393" s="23"/>
      <c r="G393" s="23"/>
      <c r="H393" s="21" t="str">
        <f aca="false">IF(A393="","",DATE(YEAR(A393),MONTH(A393),1))</f>
        <v/>
      </c>
    </row>
    <row r="394" customFormat="false" ht="15" hidden="false" customHeight="false" outlineLevel="0" collapsed="false">
      <c r="A394" s="22"/>
      <c r="B394" s="23"/>
      <c r="C394" s="23"/>
      <c r="D394" s="23"/>
      <c r="E394" s="24"/>
      <c r="F394" s="23"/>
      <c r="G394" s="23"/>
      <c r="H394" s="21" t="str">
        <f aca="false">IF(A394="","",DATE(YEAR(A394),MONTH(A394),1))</f>
        <v/>
      </c>
    </row>
    <row r="395" customFormat="false" ht="15" hidden="false" customHeight="false" outlineLevel="0" collapsed="false">
      <c r="A395" s="22"/>
      <c r="B395" s="23"/>
      <c r="C395" s="23"/>
      <c r="D395" s="23"/>
      <c r="E395" s="24"/>
      <c r="F395" s="23"/>
      <c r="G395" s="23"/>
      <c r="H395" s="21" t="str">
        <f aca="false">IF(A395="","",DATE(YEAR(A395),MONTH(A395),1))</f>
        <v/>
      </c>
    </row>
    <row r="396" customFormat="false" ht="15" hidden="false" customHeight="false" outlineLevel="0" collapsed="false">
      <c r="A396" s="22"/>
      <c r="B396" s="23"/>
      <c r="C396" s="23"/>
      <c r="D396" s="23"/>
      <c r="E396" s="24"/>
      <c r="F396" s="23"/>
      <c r="G396" s="23"/>
      <c r="H396" s="21" t="str">
        <f aca="false">IF(A396="","",DATE(YEAR(A396),MONTH(A396),1))</f>
        <v/>
      </c>
    </row>
    <row r="397" customFormat="false" ht="15" hidden="false" customHeight="false" outlineLevel="0" collapsed="false">
      <c r="A397" s="22"/>
      <c r="B397" s="23"/>
      <c r="C397" s="23"/>
      <c r="D397" s="23"/>
      <c r="E397" s="24"/>
      <c r="F397" s="23"/>
      <c r="G397" s="23"/>
      <c r="H397" s="21" t="str">
        <f aca="false">IF(A397="","",DATE(YEAR(A397),MONTH(A397),1))</f>
        <v/>
      </c>
    </row>
    <row r="398" customFormat="false" ht="15" hidden="false" customHeight="false" outlineLevel="0" collapsed="false">
      <c r="A398" s="22"/>
      <c r="B398" s="23"/>
      <c r="C398" s="23"/>
      <c r="D398" s="23"/>
      <c r="E398" s="24"/>
      <c r="F398" s="23"/>
      <c r="G398" s="23"/>
      <c r="H398" s="21" t="str">
        <f aca="false">IF(A398="","",DATE(YEAR(A398),MONTH(A398),1))</f>
        <v/>
      </c>
    </row>
    <row r="399" customFormat="false" ht="15" hidden="false" customHeight="false" outlineLevel="0" collapsed="false">
      <c r="A399" s="22"/>
      <c r="B399" s="23"/>
      <c r="C399" s="23"/>
      <c r="D399" s="23"/>
      <c r="E399" s="24"/>
      <c r="F399" s="23"/>
      <c r="G399" s="23"/>
      <c r="H399" s="21" t="str">
        <f aca="false">IF(A399="","",DATE(YEAR(A399),MONTH(A399),1))</f>
        <v/>
      </c>
    </row>
    <row r="400" customFormat="false" ht="15" hidden="false" customHeight="false" outlineLevel="0" collapsed="false">
      <c r="A400" s="22"/>
      <c r="B400" s="23"/>
      <c r="C400" s="23"/>
      <c r="D400" s="23"/>
      <c r="E400" s="24"/>
      <c r="F400" s="23"/>
      <c r="G400" s="23"/>
      <c r="H400" s="21" t="str">
        <f aca="false">IF(A400="","",DATE(YEAR(A400),MONTH(A400),1))</f>
        <v/>
      </c>
    </row>
    <row r="401" customFormat="false" ht="15" hidden="false" customHeight="false" outlineLevel="0" collapsed="false">
      <c r="A401" s="22"/>
      <c r="B401" s="23"/>
      <c r="C401" s="23"/>
      <c r="D401" s="23"/>
      <c r="E401" s="24"/>
      <c r="F401" s="23"/>
      <c r="G401" s="23"/>
      <c r="H401" s="21" t="str">
        <f aca="false">IF(A401="","",DATE(YEAR(A401),MONTH(A401),1))</f>
        <v/>
      </c>
    </row>
    <row r="402" customFormat="false" ht="15" hidden="false" customHeight="false" outlineLevel="0" collapsed="false">
      <c r="A402" s="22"/>
      <c r="B402" s="23"/>
      <c r="C402" s="23"/>
      <c r="D402" s="23"/>
      <c r="E402" s="24"/>
      <c r="F402" s="23"/>
      <c r="G402" s="23"/>
      <c r="H402" s="21" t="str">
        <f aca="false">IF(A402="","",DATE(YEAR(A402),MONTH(A402),1))</f>
        <v/>
      </c>
    </row>
    <row r="403" customFormat="false" ht="15" hidden="false" customHeight="false" outlineLevel="0" collapsed="false">
      <c r="A403" s="22"/>
      <c r="B403" s="23"/>
      <c r="C403" s="23"/>
      <c r="D403" s="23"/>
      <c r="E403" s="24"/>
      <c r="F403" s="23"/>
      <c r="G403" s="23"/>
      <c r="H403" s="21" t="str">
        <f aca="false">IF(A403="","",DATE(YEAR(A403),MONTH(A403),1))</f>
        <v/>
      </c>
    </row>
    <row r="404" customFormat="false" ht="15" hidden="false" customHeight="false" outlineLevel="0" collapsed="false">
      <c r="A404" s="22"/>
      <c r="B404" s="23"/>
      <c r="C404" s="23"/>
      <c r="D404" s="23"/>
      <c r="E404" s="24"/>
      <c r="F404" s="23"/>
      <c r="G404" s="23"/>
      <c r="H404" s="21" t="str">
        <f aca="false">IF(A404="","",DATE(YEAR(A404),MONTH(A404),1))</f>
        <v/>
      </c>
    </row>
    <row r="405" customFormat="false" ht="15" hidden="false" customHeight="false" outlineLevel="0" collapsed="false">
      <c r="A405" s="22"/>
      <c r="B405" s="23"/>
      <c r="C405" s="23"/>
      <c r="D405" s="23"/>
      <c r="E405" s="24"/>
      <c r="F405" s="23"/>
      <c r="G405" s="23"/>
      <c r="H405" s="21" t="str">
        <f aca="false">IF(A405="","",DATE(YEAR(A405),MONTH(A405),1))</f>
        <v/>
      </c>
    </row>
    <row r="406" customFormat="false" ht="15" hidden="false" customHeight="false" outlineLevel="0" collapsed="false">
      <c r="A406" s="22"/>
      <c r="B406" s="23"/>
      <c r="C406" s="23"/>
      <c r="D406" s="23"/>
      <c r="E406" s="24"/>
      <c r="F406" s="23"/>
      <c r="G406" s="23"/>
      <c r="H406" s="21" t="str">
        <f aca="false">IF(A406="","",DATE(YEAR(A406),MONTH(A406),1))</f>
        <v/>
      </c>
    </row>
    <row r="407" customFormat="false" ht="15" hidden="false" customHeight="false" outlineLevel="0" collapsed="false">
      <c r="A407" s="22"/>
      <c r="B407" s="23"/>
      <c r="C407" s="23"/>
      <c r="D407" s="23"/>
      <c r="E407" s="24"/>
      <c r="F407" s="23"/>
      <c r="G407" s="23"/>
      <c r="H407" s="21" t="str">
        <f aca="false">IF(A407="","",DATE(YEAR(A407),MONTH(A407),1))</f>
        <v/>
      </c>
    </row>
    <row r="408" customFormat="false" ht="15" hidden="false" customHeight="false" outlineLevel="0" collapsed="false">
      <c r="A408" s="22"/>
      <c r="B408" s="23"/>
      <c r="C408" s="23"/>
      <c r="D408" s="23"/>
      <c r="E408" s="24"/>
      <c r="F408" s="23"/>
      <c r="G408" s="23"/>
      <c r="H408" s="21" t="str">
        <f aca="false">IF(A408="","",DATE(YEAR(A408),MONTH(A408),1))</f>
        <v/>
      </c>
    </row>
    <row r="409" customFormat="false" ht="15" hidden="false" customHeight="false" outlineLevel="0" collapsed="false">
      <c r="A409" s="22"/>
      <c r="B409" s="23"/>
      <c r="C409" s="23"/>
      <c r="D409" s="23"/>
      <c r="E409" s="24"/>
      <c r="F409" s="23"/>
      <c r="G409" s="23"/>
      <c r="H409" s="21" t="str">
        <f aca="false">IF(A409="","",DATE(YEAR(A409),MONTH(A409),1))</f>
        <v/>
      </c>
    </row>
    <row r="410" customFormat="false" ht="15" hidden="false" customHeight="false" outlineLevel="0" collapsed="false">
      <c r="A410" s="22"/>
      <c r="B410" s="23"/>
      <c r="C410" s="23"/>
      <c r="D410" s="23"/>
      <c r="E410" s="24"/>
      <c r="F410" s="23"/>
      <c r="G410" s="23"/>
      <c r="H410" s="21" t="str">
        <f aca="false">IF(A410="","",DATE(YEAR(A410),MONTH(A410),1))</f>
        <v/>
      </c>
    </row>
    <row r="411" customFormat="false" ht="15" hidden="false" customHeight="false" outlineLevel="0" collapsed="false">
      <c r="A411" s="22"/>
      <c r="B411" s="23"/>
      <c r="C411" s="23"/>
      <c r="D411" s="23"/>
      <c r="E411" s="24"/>
      <c r="F411" s="23"/>
      <c r="G411" s="23"/>
      <c r="H411" s="21" t="str">
        <f aca="false">IF(A411="","",DATE(YEAR(A411),MONTH(A411),1))</f>
        <v/>
      </c>
    </row>
    <row r="412" customFormat="false" ht="15" hidden="false" customHeight="false" outlineLevel="0" collapsed="false">
      <c r="A412" s="22"/>
      <c r="B412" s="23"/>
      <c r="C412" s="23"/>
      <c r="D412" s="23"/>
      <c r="E412" s="24"/>
      <c r="F412" s="23"/>
      <c r="G412" s="23"/>
      <c r="H412" s="21" t="str">
        <f aca="false">IF(A412="","",DATE(YEAR(A412),MONTH(A412),1))</f>
        <v/>
      </c>
    </row>
    <row r="413" customFormat="false" ht="15" hidden="false" customHeight="false" outlineLevel="0" collapsed="false">
      <c r="A413" s="22"/>
      <c r="B413" s="23"/>
      <c r="C413" s="23"/>
      <c r="D413" s="23"/>
      <c r="E413" s="24"/>
      <c r="F413" s="23"/>
      <c r="G413" s="23"/>
      <c r="H413" s="21" t="str">
        <f aca="false">IF(A413="","",DATE(YEAR(A413),MONTH(A413),1))</f>
        <v/>
      </c>
    </row>
    <row r="414" customFormat="false" ht="15" hidden="false" customHeight="false" outlineLevel="0" collapsed="false">
      <c r="A414" s="22"/>
      <c r="B414" s="23"/>
      <c r="C414" s="23"/>
      <c r="D414" s="23"/>
      <c r="E414" s="24"/>
      <c r="F414" s="23"/>
      <c r="G414" s="23"/>
      <c r="H414" s="21" t="str">
        <f aca="false">IF(A414="","",DATE(YEAR(A414),MONTH(A414),1))</f>
        <v/>
      </c>
    </row>
    <row r="415" customFormat="false" ht="15" hidden="false" customHeight="false" outlineLevel="0" collapsed="false">
      <c r="A415" s="22"/>
      <c r="B415" s="23"/>
      <c r="C415" s="23"/>
      <c r="D415" s="23"/>
      <c r="E415" s="24"/>
      <c r="F415" s="23"/>
      <c r="G415" s="23"/>
      <c r="H415" s="21" t="str">
        <f aca="false">IF(A415="","",DATE(YEAR(A415),MONTH(A415),1))</f>
        <v/>
      </c>
    </row>
    <row r="416" customFormat="false" ht="15" hidden="false" customHeight="false" outlineLevel="0" collapsed="false">
      <c r="A416" s="22"/>
      <c r="B416" s="23"/>
      <c r="C416" s="23"/>
      <c r="D416" s="23"/>
      <c r="E416" s="24"/>
      <c r="F416" s="23"/>
      <c r="G416" s="23"/>
      <c r="H416" s="21" t="str">
        <f aca="false">IF(A416="","",DATE(YEAR(A416),MONTH(A416),1))</f>
        <v/>
      </c>
    </row>
    <row r="417" customFormat="false" ht="15" hidden="false" customHeight="false" outlineLevel="0" collapsed="false">
      <c r="A417" s="22"/>
      <c r="B417" s="23"/>
      <c r="C417" s="23"/>
      <c r="D417" s="23"/>
      <c r="E417" s="24"/>
      <c r="F417" s="23"/>
      <c r="G417" s="23"/>
      <c r="H417" s="21" t="str">
        <f aca="false">IF(A417="","",DATE(YEAR(A417),MONTH(A417),1))</f>
        <v/>
      </c>
    </row>
    <row r="418" customFormat="false" ht="15" hidden="false" customHeight="false" outlineLevel="0" collapsed="false">
      <c r="A418" s="22"/>
      <c r="B418" s="23"/>
      <c r="C418" s="23"/>
      <c r="D418" s="23"/>
      <c r="E418" s="24"/>
      <c r="F418" s="23"/>
      <c r="G418" s="23"/>
      <c r="H418" s="21" t="str">
        <f aca="false">IF(A418="","",DATE(YEAR(A418),MONTH(A418),1))</f>
        <v/>
      </c>
    </row>
    <row r="419" customFormat="false" ht="15" hidden="false" customHeight="false" outlineLevel="0" collapsed="false">
      <c r="A419" s="22"/>
      <c r="B419" s="23"/>
      <c r="C419" s="23"/>
      <c r="D419" s="23"/>
      <c r="E419" s="24"/>
      <c r="F419" s="23"/>
      <c r="G419" s="23"/>
      <c r="H419" s="21" t="str">
        <f aca="false">IF(A419="","",DATE(YEAR(A419),MONTH(A419),1))</f>
        <v/>
      </c>
    </row>
    <row r="420" customFormat="false" ht="15" hidden="false" customHeight="false" outlineLevel="0" collapsed="false">
      <c r="A420" s="22"/>
      <c r="B420" s="23"/>
      <c r="C420" s="23"/>
      <c r="D420" s="23"/>
      <c r="E420" s="24"/>
      <c r="F420" s="23"/>
      <c r="G420" s="23"/>
      <c r="H420" s="21" t="str">
        <f aca="false">IF(A420="","",DATE(YEAR(A420),MONTH(A420),1))</f>
        <v/>
      </c>
    </row>
    <row r="421" customFormat="false" ht="15" hidden="false" customHeight="false" outlineLevel="0" collapsed="false">
      <c r="A421" s="22"/>
      <c r="B421" s="23"/>
      <c r="C421" s="23"/>
      <c r="D421" s="23"/>
      <c r="E421" s="24"/>
      <c r="F421" s="23"/>
      <c r="G421" s="23"/>
      <c r="H421" s="21" t="str">
        <f aca="false">IF(A421="","",DATE(YEAR(A421),MONTH(A421),1))</f>
        <v/>
      </c>
    </row>
    <row r="422" customFormat="false" ht="15" hidden="false" customHeight="false" outlineLevel="0" collapsed="false">
      <c r="A422" s="22"/>
      <c r="B422" s="23"/>
      <c r="C422" s="23"/>
      <c r="D422" s="23"/>
      <c r="E422" s="24"/>
      <c r="F422" s="23"/>
      <c r="G422" s="23"/>
      <c r="H422" s="21" t="str">
        <f aca="false">IF(A422="","",DATE(YEAR(A422),MONTH(A422),1))</f>
        <v/>
      </c>
    </row>
    <row r="423" customFormat="false" ht="15" hidden="false" customHeight="false" outlineLevel="0" collapsed="false">
      <c r="A423" s="22"/>
      <c r="B423" s="23"/>
      <c r="C423" s="23"/>
      <c r="D423" s="23"/>
      <c r="E423" s="24"/>
      <c r="F423" s="23"/>
      <c r="G423" s="23"/>
      <c r="H423" s="21" t="str">
        <f aca="false">IF(A423="","",DATE(YEAR(A423),MONTH(A423),1))</f>
        <v/>
      </c>
    </row>
    <row r="424" customFormat="false" ht="15" hidden="false" customHeight="false" outlineLevel="0" collapsed="false">
      <c r="A424" s="22"/>
      <c r="B424" s="23"/>
      <c r="C424" s="23"/>
      <c r="D424" s="23"/>
      <c r="E424" s="24"/>
      <c r="F424" s="23"/>
      <c r="G424" s="23"/>
      <c r="H424" s="21" t="str">
        <f aca="false">IF(A424="","",DATE(YEAR(A424),MONTH(A424),1))</f>
        <v/>
      </c>
    </row>
    <row r="425" customFormat="false" ht="15" hidden="false" customHeight="false" outlineLevel="0" collapsed="false">
      <c r="A425" s="22"/>
      <c r="B425" s="23"/>
      <c r="C425" s="23"/>
      <c r="D425" s="23"/>
      <c r="E425" s="24"/>
      <c r="F425" s="23"/>
      <c r="G425" s="23"/>
      <c r="H425" s="21" t="str">
        <f aca="false">IF(A425="","",DATE(YEAR(A425),MONTH(A425),1))</f>
        <v/>
      </c>
    </row>
    <row r="426" customFormat="false" ht="15" hidden="false" customHeight="false" outlineLevel="0" collapsed="false">
      <c r="A426" s="22"/>
      <c r="B426" s="23"/>
      <c r="C426" s="23"/>
      <c r="D426" s="23"/>
      <c r="E426" s="24"/>
      <c r="F426" s="23"/>
      <c r="G426" s="23"/>
      <c r="H426" s="21" t="str">
        <f aca="false">IF(A426="","",DATE(YEAR(A426),MONTH(A426),1))</f>
        <v/>
      </c>
    </row>
    <row r="427" customFormat="false" ht="15" hidden="false" customHeight="false" outlineLevel="0" collapsed="false">
      <c r="A427" s="22"/>
      <c r="B427" s="23"/>
      <c r="C427" s="23"/>
      <c r="D427" s="23"/>
      <c r="E427" s="24"/>
      <c r="F427" s="23"/>
      <c r="G427" s="23"/>
      <c r="H427" s="21" t="str">
        <f aca="false">IF(A427="","",DATE(YEAR(A427),MONTH(A427),1))</f>
        <v/>
      </c>
    </row>
    <row r="428" customFormat="false" ht="15" hidden="false" customHeight="false" outlineLevel="0" collapsed="false">
      <c r="A428" s="22"/>
      <c r="B428" s="23"/>
      <c r="C428" s="23"/>
      <c r="D428" s="23"/>
      <c r="E428" s="24"/>
      <c r="F428" s="23"/>
      <c r="G428" s="23"/>
      <c r="H428" s="21" t="str">
        <f aca="false">IF(A428="","",DATE(YEAR(A428),MONTH(A428),1))</f>
        <v/>
      </c>
    </row>
    <row r="429" customFormat="false" ht="15" hidden="false" customHeight="false" outlineLevel="0" collapsed="false">
      <c r="A429" s="22"/>
      <c r="B429" s="23"/>
      <c r="C429" s="23"/>
      <c r="D429" s="23"/>
      <c r="E429" s="24"/>
      <c r="F429" s="23"/>
      <c r="G429" s="23"/>
      <c r="H429" s="21" t="str">
        <f aca="false">IF(A429="","",DATE(YEAR(A429),MONTH(A429),1))</f>
        <v/>
      </c>
    </row>
    <row r="430" customFormat="false" ht="15" hidden="false" customHeight="false" outlineLevel="0" collapsed="false">
      <c r="A430" s="22"/>
      <c r="B430" s="23"/>
      <c r="C430" s="23"/>
      <c r="D430" s="23"/>
      <c r="E430" s="24"/>
      <c r="F430" s="23"/>
      <c r="G430" s="23"/>
      <c r="H430" s="21" t="str">
        <f aca="false">IF(A430="","",DATE(YEAR(A430),MONTH(A430),1))</f>
        <v/>
      </c>
    </row>
    <row r="431" customFormat="false" ht="15" hidden="false" customHeight="false" outlineLevel="0" collapsed="false">
      <c r="A431" s="22"/>
      <c r="B431" s="23"/>
      <c r="C431" s="23"/>
      <c r="D431" s="23"/>
      <c r="E431" s="24"/>
      <c r="F431" s="23"/>
      <c r="G431" s="23"/>
      <c r="H431" s="21" t="str">
        <f aca="false">IF(A431="","",DATE(YEAR(A431),MONTH(A431),1))</f>
        <v/>
      </c>
    </row>
    <row r="432" customFormat="false" ht="15" hidden="false" customHeight="false" outlineLevel="0" collapsed="false">
      <c r="A432" s="22"/>
      <c r="B432" s="23"/>
      <c r="C432" s="23"/>
      <c r="D432" s="23"/>
      <c r="E432" s="24"/>
      <c r="F432" s="23"/>
      <c r="G432" s="23"/>
      <c r="H432" s="21" t="str">
        <f aca="false">IF(A432="","",DATE(YEAR(A432),MONTH(A432),1))</f>
        <v/>
      </c>
    </row>
    <row r="433" customFormat="false" ht="15" hidden="false" customHeight="false" outlineLevel="0" collapsed="false">
      <c r="A433" s="22"/>
      <c r="B433" s="23"/>
      <c r="C433" s="23"/>
      <c r="D433" s="23"/>
      <c r="E433" s="24"/>
      <c r="F433" s="23"/>
      <c r="G433" s="23"/>
      <c r="H433" s="21" t="str">
        <f aca="false">IF(A433="","",DATE(YEAR(A433),MONTH(A433),1))</f>
        <v/>
      </c>
    </row>
    <row r="434" customFormat="false" ht="15" hidden="false" customHeight="false" outlineLevel="0" collapsed="false">
      <c r="A434" s="22"/>
      <c r="B434" s="23"/>
      <c r="C434" s="23"/>
      <c r="D434" s="23"/>
      <c r="E434" s="24"/>
      <c r="F434" s="23"/>
      <c r="G434" s="23"/>
      <c r="H434" s="21" t="str">
        <f aca="false">IF(A434="","",DATE(YEAR(A434),MONTH(A434),1))</f>
        <v/>
      </c>
    </row>
    <row r="435" customFormat="false" ht="15" hidden="false" customHeight="false" outlineLevel="0" collapsed="false">
      <c r="A435" s="22"/>
      <c r="B435" s="23"/>
      <c r="C435" s="23"/>
      <c r="D435" s="23"/>
      <c r="E435" s="24"/>
      <c r="F435" s="23"/>
      <c r="G435" s="23"/>
      <c r="H435" s="21" t="str">
        <f aca="false">IF(A435="","",DATE(YEAR(A435),MONTH(A435),1))</f>
        <v/>
      </c>
    </row>
    <row r="436" customFormat="false" ht="15" hidden="false" customHeight="false" outlineLevel="0" collapsed="false">
      <c r="A436" s="22"/>
      <c r="B436" s="23"/>
      <c r="C436" s="23"/>
      <c r="D436" s="23"/>
      <c r="E436" s="24"/>
      <c r="F436" s="23"/>
      <c r="G436" s="23"/>
      <c r="H436" s="21" t="str">
        <f aca="false">IF(A436="","",DATE(YEAR(A436),MONTH(A436),1))</f>
        <v/>
      </c>
    </row>
    <row r="437" customFormat="false" ht="15" hidden="false" customHeight="false" outlineLevel="0" collapsed="false">
      <c r="A437" s="22"/>
      <c r="B437" s="23"/>
      <c r="C437" s="23"/>
      <c r="D437" s="23"/>
      <c r="E437" s="24"/>
      <c r="F437" s="23"/>
      <c r="G437" s="23"/>
      <c r="H437" s="21" t="str">
        <f aca="false">IF(A437="","",DATE(YEAR(A437),MONTH(A437),1))</f>
        <v/>
      </c>
    </row>
    <row r="438" customFormat="false" ht="15" hidden="false" customHeight="false" outlineLevel="0" collapsed="false">
      <c r="A438" s="22"/>
      <c r="B438" s="23"/>
      <c r="C438" s="23"/>
      <c r="D438" s="23"/>
      <c r="E438" s="24"/>
      <c r="F438" s="23"/>
      <c r="G438" s="23"/>
      <c r="H438" s="21" t="str">
        <f aca="false">IF(A438="","",DATE(YEAR(A438),MONTH(A438),1))</f>
        <v/>
      </c>
    </row>
    <row r="439" customFormat="false" ht="15" hidden="false" customHeight="false" outlineLevel="0" collapsed="false">
      <c r="A439" s="22"/>
      <c r="B439" s="23"/>
      <c r="C439" s="23"/>
      <c r="D439" s="23"/>
      <c r="E439" s="24"/>
      <c r="F439" s="23"/>
      <c r="G439" s="23"/>
      <c r="H439" s="21" t="str">
        <f aca="false">IF(A439="","",DATE(YEAR(A439),MONTH(A439),1))</f>
        <v/>
      </c>
    </row>
    <row r="440" customFormat="false" ht="15" hidden="false" customHeight="false" outlineLevel="0" collapsed="false">
      <c r="A440" s="22"/>
      <c r="B440" s="23"/>
      <c r="C440" s="23"/>
      <c r="D440" s="23"/>
      <c r="E440" s="24"/>
      <c r="F440" s="23"/>
      <c r="G440" s="23"/>
      <c r="H440" s="21" t="str">
        <f aca="false">IF(A440="","",DATE(YEAR(A440),MONTH(A440),1))</f>
        <v/>
      </c>
    </row>
    <row r="441" customFormat="false" ht="15" hidden="false" customHeight="false" outlineLevel="0" collapsed="false">
      <c r="A441" s="22"/>
      <c r="B441" s="23"/>
      <c r="C441" s="23"/>
      <c r="D441" s="23"/>
      <c r="E441" s="24"/>
      <c r="F441" s="23"/>
      <c r="G441" s="23"/>
      <c r="H441" s="21" t="str">
        <f aca="false">IF(A441="","",DATE(YEAR(A441),MONTH(A441),1))</f>
        <v/>
      </c>
    </row>
    <row r="442" customFormat="false" ht="15" hidden="false" customHeight="false" outlineLevel="0" collapsed="false">
      <c r="A442" s="22"/>
      <c r="B442" s="23"/>
      <c r="C442" s="23"/>
      <c r="D442" s="23"/>
      <c r="E442" s="24"/>
      <c r="F442" s="23"/>
      <c r="G442" s="23"/>
      <c r="H442" s="21" t="str">
        <f aca="false">IF(A442="","",DATE(YEAR(A442),MONTH(A442),1))</f>
        <v/>
      </c>
    </row>
    <row r="443" customFormat="false" ht="15" hidden="false" customHeight="false" outlineLevel="0" collapsed="false">
      <c r="A443" s="22"/>
      <c r="B443" s="23"/>
      <c r="C443" s="23"/>
      <c r="D443" s="23"/>
      <c r="E443" s="24"/>
      <c r="F443" s="23"/>
      <c r="G443" s="23"/>
      <c r="H443" s="21" t="str">
        <f aca="false">IF(A443="","",DATE(YEAR(A443),MONTH(A443),1))</f>
        <v/>
      </c>
    </row>
    <row r="444" customFormat="false" ht="15" hidden="false" customHeight="false" outlineLevel="0" collapsed="false">
      <c r="A444" s="22"/>
      <c r="B444" s="23"/>
      <c r="C444" s="23"/>
      <c r="D444" s="23"/>
      <c r="E444" s="24"/>
      <c r="F444" s="23"/>
      <c r="G444" s="23"/>
      <c r="H444" s="21" t="str">
        <f aca="false">IF(A444="","",DATE(YEAR(A444),MONTH(A444),1))</f>
        <v/>
      </c>
    </row>
    <row r="445" customFormat="false" ht="15" hidden="false" customHeight="false" outlineLevel="0" collapsed="false">
      <c r="A445" s="22"/>
      <c r="B445" s="23"/>
      <c r="C445" s="23"/>
      <c r="D445" s="23"/>
      <c r="E445" s="24"/>
      <c r="F445" s="23"/>
      <c r="G445" s="23"/>
      <c r="H445" s="21" t="str">
        <f aca="false">IF(A445="","",DATE(YEAR(A445),MONTH(A445),1))</f>
        <v/>
      </c>
    </row>
    <row r="446" customFormat="false" ht="15" hidden="false" customHeight="false" outlineLevel="0" collapsed="false">
      <c r="A446" s="22"/>
      <c r="B446" s="23"/>
      <c r="C446" s="23"/>
      <c r="D446" s="23"/>
      <c r="E446" s="24"/>
      <c r="F446" s="23"/>
      <c r="G446" s="23"/>
      <c r="H446" s="21" t="str">
        <f aca="false">IF(A446="","",DATE(YEAR(A446),MONTH(A446),1))</f>
        <v/>
      </c>
    </row>
    <row r="447" customFormat="false" ht="15" hidden="false" customHeight="false" outlineLevel="0" collapsed="false">
      <c r="A447" s="22"/>
      <c r="B447" s="23"/>
      <c r="C447" s="23"/>
      <c r="D447" s="23"/>
      <c r="E447" s="24"/>
      <c r="F447" s="23"/>
      <c r="G447" s="23"/>
      <c r="H447" s="21" t="str">
        <f aca="false">IF(A447="","",DATE(YEAR(A447),MONTH(A447),1))</f>
        <v/>
      </c>
    </row>
    <row r="448" customFormat="false" ht="15" hidden="false" customHeight="false" outlineLevel="0" collapsed="false">
      <c r="A448" s="22"/>
      <c r="B448" s="23"/>
      <c r="C448" s="23"/>
      <c r="D448" s="23"/>
      <c r="E448" s="24"/>
      <c r="F448" s="23"/>
      <c r="G448" s="23"/>
      <c r="H448" s="21" t="str">
        <f aca="false">IF(A448="","",DATE(YEAR(A448),MONTH(A448),1))</f>
        <v/>
      </c>
    </row>
    <row r="449" customFormat="false" ht="15" hidden="false" customHeight="false" outlineLevel="0" collapsed="false">
      <c r="A449" s="22"/>
      <c r="B449" s="23"/>
      <c r="C449" s="23"/>
      <c r="D449" s="23"/>
      <c r="E449" s="24"/>
      <c r="F449" s="23"/>
      <c r="G449" s="23"/>
      <c r="H449" s="21" t="str">
        <f aca="false">IF(A449="","",DATE(YEAR(A449),MONTH(A449),1))</f>
        <v/>
      </c>
    </row>
    <row r="450" customFormat="false" ht="15" hidden="false" customHeight="false" outlineLevel="0" collapsed="false">
      <c r="A450" s="22"/>
      <c r="B450" s="23"/>
      <c r="C450" s="23"/>
      <c r="D450" s="23"/>
      <c r="E450" s="24"/>
      <c r="F450" s="23"/>
      <c r="G450" s="23"/>
      <c r="H450" s="21" t="str">
        <f aca="false">IF(A450="","",DATE(YEAR(A450),MONTH(A450),1))</f>
        <v/>
      </c>
    </row>
    <row r="451" customFormat="false" ht="15" hidden="false" customHeight="false" outlineLevel="0" collapsed="false">
      <c r="A451" s="22"/>
      <c r="B451" s="23"/>
      <c r="C451" s="23"/>
      <c r="D451" s="23"/>
      <c r="E451" s="24"/>
      <c r="F451" s="23"/>
      <c r="G451" s="23"/>
      <c r="H451" s="21" t="str">
        <f aca="false">IF(A451="","",DATE(YEAR(A451),MONTH(A451),1))</f>
        <v/>
      </c>
    </row>
    <row r="452" customFormat="false" ht="15" hidden="false" customHeight="false" outlineLevel="0" collapsed="false">
      <c r="A452" s="22"/>
      <c r="B452" s="23"/>
      <c r="C452" s="23"/>
      <c r="D452" s="23"/>
      <c r="E452" s="24"/>
      <c r="F452" s="23"/>
      <c r="G452" s="23"/>
      <c r="H452" s="21" t="str">
        <f aca="false">IF(A452="","",DATE(YEAR(A452),MONTH(A452),1))</f>
        <v/>
      </c>
    </row>
    <row r="453" customFormat="false" ht="15" hidden="false" customHeight="false" outlineLevel="0" collapsed="false">
      <c r="A453" s="22"/>
      <c r="B453" s="23"/>
      <c r="C453" s="23"/>
      <c r="D453" s="23"/>
      <c r="E453" s="24"/>
      <c r="F453" s="23"/>
      <c r="G453" s="23"/>
      <c r="H453" s="21" t="str">
        <f aca="false">IF(A453="","",DATE(YEAR(A453),MONTH(A453),1))</f>
        <v/>
      </c>
    </row>
    <row r="454" customFormat="false" ht="15" hidden="false" customHeight="false" outlineLevel="0" collapsed="false">
      <c r="A454" s="22"/>
      <c r="B454" s="23"/>
      <c r="C454" s="23"/>
      <c r="D454" s="23"/>
      <c r="E454" s="24"/>
      <c r="F454" s="23"/>
      <c r="G454" s="23"/>
      <c r="H454" s="21" t="str">
        <f aca="false">IF(A454="","",DATE(YEAR(A454),MONTH(A454),1))</f>
        <v/>
      </c>
    </row>
    <row r="455" customFormat="false" ht="15" hidden="false" customHeight="false" outlineLevel="0" collapsed="false">
      <c r="A455" s="22"/>
      <c r="B455" s="23"/>
      <c r="C455" s="23"/>
      <c r="D455" s="23"/>
      <c r="E455" s="24"/>
      <c r="F455" s="23"/>
      <c r="G455" s="23"/>
      <c r="H455" s="21" t="str">
        <f aca="false">IF(A455="","",DATE(YEAR(A455),MONTH(A455),1))</f>
        <v/>
      </c>
    </row>
    <row r="456" customFormat="false" ht="15" hidden="false" customHeight="false" outlineLevel="0" collapsed="false">
      <c r="A456" s="22"/>
      <c r="B456" s="23"/>
      <c r="C456" s="23"/>
      <c r="D456" s="23"/>
      <c r="E456" s="24"/>
      <c r="F456" s="23"/>
      <c r="G456" s="23"/>
      <c r="H456" s="21" t="str">
        <f aca="false">IF(A456="","",DATE(YEAR(A456),MONTH(A456),1))</f>
        <v/>
      </c>
    </row>
    <row r="457" customFormat="false" ht="15" hidden="false" customHeight="false" outlineLevel="0" collapsed="false">
      <c r="A457" s="22"/>
      <c r="B457" s="23"/>
      <c r="C457" s="23"/>
      <c r="D457" s="23"/>
      <c r="E457" s="24"/>
      <c r="F457" s="23"/>
      <c r="G457" s="23"/>
      <c r="H457" s="21" t="str">
        <f aca="false">IF(A457="","",DATE(YEAR(A457),MONTH(A457),1))</f>
        <v/>
      </c>
    </row>
    <row r="458" customFormat="false" ht="15" hidden="false" customHeight="false" outlineLevel="0" collapsed="false">
      <c r="A458" s="22"/>
      <c r="B458" s="23"/>
      <c r="C458" s="23"/>
      <c r="D458" s="23"/>
      <c r="E458" s="24"/>
      <c r="F458" s="23"/>
      <c r="G458" s="23"/>
      <c r="H458" s="21" t="str">
        <f aca="false">IF(A458="","",DATE(YEAR(A458),MONTH(A458),1))</f>
        <v/>
      </c>
    </row>
    <row r="459" customFormat="false" ht="15" hidden="false" customHeight="false" outlineLevel="0" collapsed="false">
      <c r="A459" s="22"/>
      <c r="B459" s="23"/>
      <c r="C459" s="23"/>
      <c r="D459" s="23"/>
      <c r="E459" s="24"/>
      <c r="F459" s="23"/>
      <c r="G459" s="23"/>
      <c r="H459" s="21" t="str">
        <f aca="false">IF(A459="","",DATE(YEAR(A459),MONTH(A459),1))</f>
        <v/>
      </c>
    </row>
    <row r="460" customFormat="false" ht="15" hidden="false" customHeight="false" outlineLevel="0" collapsed="false">
      <c r="A460" s="22"/>
      <c r="B460" s="23"/>
      <c r="C460" s="23"/>
      <c r="D460" s="23"/>
      <c r="E460" s="24"/>
      <c r="F460" s="23"/>
      <c r="G460" s="23"/>
      <c r="H460" s="21" t="str">
        <f aca="false">IF(A460="","",DATE(YEAR(A460),MONTH(A460),1))</f>
        <v/>
      </c>
    </row>
    <row r="461" customFormat="false" ht="15" hidden="false" customHeight="false" outlineLevel="0" collapsed="false">
      <c r="A461" s="22"/>
      <c r="B461" s="23"/>
      <c r="C461" s="23"/>
      <c r="D461" s="23"/>
      <c r="E461" s="24"/>
      <c r="F461" s="23"/>
      <c r="G461" s="23"/>
      <c r="H461" s="21" t="str">
        <f aca="false">IF(A461="","",DATE(YEAR(A461),MONTH(A461),1))</f>
        <v/>
      </c>
    </row>
    <row r="462" customFormat="false" ht="15" hidden="false" customHeight="false" outlineLevel="0" collapsed="false">
      <c r="A462" s="22"/>
      <c r="B462" s="23"/>
      <c r="C462" s="23"/>
      <c r="D462" s="23"/>
      <c r="E462" s="24"/>
      <c r="F462" s="23"/>
      <c r="G462" s="23"/>
      <c r="H462" s="21" t="str">
        <f aca="false">IF(A462="","",DATE(YEAR(A462),MONTH(A462),1))</f>
        <v/>
      </c>
    </row>
    <row r="463" customFormat="false" ht="15" hidden="false" customHeight="false" outlineLevel="0" collapsed="false">
      <c r="A463" s="22"/>
      <c r="B463" s="23"/>
      <c r="C463" s="23"/>
      <c r="D463" s="23"/>
      <c r="E463" s="24"/>
      <c r="F463" s="23"/>
      <c r="G463" s="23"/>
      <c r="H463" s="21" t="str">
        <f aca="false">IF(A463="","",DATE(YEAR(A463),MONTH(A463),1))</f>
        <v/>
      </c>
    </row>
    <row r="464" customFormat="false" ht="15" hidden="false" customHeight="false" outlineLevel="0" collapsed="false">
      <c r="A464" s="22"/>
      <c r="B464" s="23"/>
      <c r="C464" s="23"/>
      <c r="D464" s="23"/>
      <c r="E464" s="24"/>
      <c r="F464" s="23"/>
      <c r="G464" s="23"/>
      <c r="H464" s="21" t="str">
        <f aca="false">IF(A464="","",DATE(YEAR(A464),MONTH(A464),1))</f>
        <v/>
      </c>
    </row>
    <row r="465" customFormat="false" ht="15" hidden="false" customHeight="false" outlineLevel="0" collapsed="false">
      <c r="A465" s="22"/>
      <c r="B465" s="23"/>
      <c r="C465" s="23"/>
      <c r="D465" s="23"/>
      <c r="E465" s="24"/>
      <c r="F465" s="23"/>
      <c r="G465" s="23"/>
      <c r="H465" s="21" t="str">
        <f aca="false">IF(A465="","",DATE(YEAR(A465),MONTH(A465),1))</f>
        <v/>
      </c>
    </row>
    <row r="466" customFormat="false" ht="15" hidden="false" customHeight="false" outlineLevel="0" collapsed="false">
      <c r="A466" s="22"/>
      <c r="B466" s="23"/>
      <c r="C466" s="23"/>
      <c r="D466" s="23"/>
      <c r="E466" s="24"/>
      <c r="F466" s="23"/>
      <c r="G466" s="23"/>
      <c r="H466" s="21" t="str">
        <f aca="false">IF(A466="","",DATE(YEAR(A466),MONTH(A466),1))</f>
        <v/>
      </c>
    </row>
    <row r="467" customFormat="false" ht="15" hidden="false" customHeight="false" outlineLevel="0" collapsed="false">
      <c r="A467" s="22"/>
      <c r="B467" s="23"/>
      <c r="C467" s="23"/>
      <c r="D467" s="23"/>
      <c r="E467" s="24"/>
      <c r="F467" s="23"/>
      <c r="G467" s="23"/>
      <c r="H467" s="21" t="str">
        <f aca="false">IF(A467="","",DATE(YEAR(A467),MONTH(A467),1))</f>
        <v/>
      </c>
    </row>
    <row r="468" customFormat="false" ht="15" hidden="false" customHeight="false" outlineLevel="0" collapsed="false">
      <c r="A468" s="22"/>
      <c r="B468" s="23"/>
      <c r="C468" s="23"/>
      <c r="D468" s="23"/>
      <c r="E468" s="24"/>
      <c r="F468" s="23"/>
      <c r="G468" s="23"/>
      <c r="H468" s="21" t="str">
        <f aca="false">IF(A468="","",DATE(YEAR(A468),MONTH(A468),1))</f>
        <v/>
      </c>
    </row>
    <row r="469" customFormat="false" ht="15" hidden="false" customHeight="false" outlineLevel="0" collapsed="false">
      <c r="A469" s="22"/>
      <c r="B469" s="23"/>
      <c r="C469" s="23"/>
      <c r="D469" s="23"/>
      <c r="E469" s="24"/>
      <c r="F469" s="23"/>
      <c r="G469" s="23"/>
      <c r="H469" s="21" t="str">
        <f aca="false">IF(A469="","",DATE(YEAR(A469),MONTH(A469),1))</f>
        <v/>
      </c>
    </row>
    <row r="470" customFormat="false" ht="15" hidden="false" customHeight="false" outlineLevel="0" collapsed="false">
      <c r="A470" s="22"/>
      <c r="B470" s="23"/>
      <c r="C470" s="23"/>
      <c r="D470" s="23"/>
      <c r="E470" s="24"/>
      <c r="F470" s="23"/>
      <c r="G470" s="23"/>
      <c r="H470" s="21" t="str">
        <f aca="false">IF(A470="","",DATE(YEAR(A470),MONTH(A470),1))</f>
        <v/>
      </c>
    </row>
    <row r="471" customFormat="false" ht="15" hidden="false" customHeight="false" outlineLevel="0" collapsed="false">
      <c r="A471" s="22"/>
      <c r="B471" s="23"/>
      <c r="C471" s="23"/>
      <c r="D471" s="23"/>
      <c r="E471" s="24"/>
      <c r="F471" s="23"/>
      <c r="G471" s="23"/>
      <c r="H471" s="21" t="str">
        <f aca="false">IF(A471="","",DATE(YEAR(A471),MONTH(A471),1))</f>
        <v/>
      </c>
    </row>
    <row r="472" customFormat="false" ht="15" hidden="false" customHeight="false" outlineLevel="0" collapsed="false">
      <c r="A472" s="22"/>
      <c r="B472" s="23"/>
      <c r="C472" s="23"/>
      <c r="D472" s="23"/>
      <c r="E472" s="24"/>
      <c r="F472" s="23"/>
      <c r="G472" s="23"/>
      <c r="H472" s="21" t="str">
        <f aca="false">IF(A472="","",DATE(YEAR(A472),MONTH(A472),1))</f>
        <v/>
      </c>
    </row>
    <row r="473" customFormat="false" ht="15" hidden="false" customHeight="false" outlineLevel="0" collapsed="false">
      <c r="A473" s="22"/>
      <c r="B473" s="23"/>
      <c r="C473" s="23"/>
      <c r="D473" s="23"/>
      <c r="E473" s="24"/>
      <c r="F473" s="23"/>
      <c r="G473" s="23"/>
      <c r="H473" s="21" t="str">
        <f aca="false">IF(A473="","",DATE(YEAR(A473),MONTH(A473),1))</f>
        <v/>
      </c>
    </row>
    <row r="474" customFormat="false" ht="15" hidden="false" customHeight="false" outlineLevel="0" collapsed="false">
      <c r="A474" s="22"/>
      <c r="B474" s="23"/>
      <c r="C474" s="23"/>
      <c r="D474" s="23"/>
      <c r="E474" s="24"/>
      <c r="F474" s="23"/>
      <c r="G474" s="23"/>
      <c r="H474" s="21" t="str">
        <f aca="false">IF(A474="","",DATE(YEAR(A474),MONTH(A474),1))</f>
        <v/>
      </c>
    </row>
    <row r="475" customFormat="false" ht="15" hidden="false" customHeight="false" outlineLevel="0" collapsed="false">
      <c r="A475" s="22"/>
      <c r="B475" s="23"/>
      <c r="C475" s="23"/>
      <c r="D475" s="23"/>
      <c r="E475" s="24"/>
      <c r="F475" s="23"/>
      <c r="G475" s="23"/>
      <c r="H475" s="21" t="str">
        <f aca="false">IF(A475="","",DATE(YEAR(A475),MONTH(A475),1))</f>
        <v/>
      </c>
    </row>
    <row r="476" customFormat="false" ht="15" hidden="false" customHeight="false" outlineLevel="0" collapsed="false">
      <c r="A476" s="22"/>
      <c r="B476" s="23"/>
      <c r="C476" s="23"/>
      <c r="D476" s="23"/>
      <c r="E476" s="24"/>
      <c r="F476" s="23"/>
      <c r="G476" s="23"/>
      <c r="H476" s="21" t="str">
        <f aca="false">IF(A476="","",DATE(YEAR(A476),MONTH(A476),1))</f>
        <v/>
      </c>
    </row>
    <row r="477" customFormat="false" ht="15" hidden="false" customHeight="false" outlineLevel="0" collapsed="false">
      <c r="A477" s="22"/>
      <c r="B477" s="23"/>
      <c r="C477" s="23"/>
      <c r="D477" s="23"/>
      <c r="E477" s="24"/>
      <c r="F477" s="23"/>
      <c r="G477" s="23"/>
      <c r="H477" s="21" t="str">
        <f aca="false">IF(A477="","",DATE(YEAR(A477),MONTH(A477),1))</f>
        <v/>
      </c>
    </row>
    <row r="478" customFormat="false" ht="15" hidden="false" customHeight="false" outlineLevel="0" collapsed="false">
      <c r="A478" s="22"/>
      <c r="B478" s="23"/>
      <c r="C478" s="23"/>
      <c r="D478" s="23"/>
      <c r="E478" s="24"/>
      <c r="F478" s="23"/>
      <c r="G478" s="23"/>
      <c r="H478" s="21" t="str">
        <f aca="false">IF(A478="","",DATE(YEAR(A478),MONTH(A478),1))</f>
        <v/>
      </c>
    </row>
    <row r="479" customFormat="false" ht="15" hidden="false" customHeight="false" outlineLevel="0" collapsed="false">
      <c r="A479" s="22"/>
      <c r="B479" s="23"/>
      <c r="C479" s="23"/>
      <c r="D479" s="23"/>
      <c r="E479" s="24"/>
      <c r="F479" s="23"/>
      <c r="G479" s="23"/>
      <c r="H479" s="21" t="str">
        <f aca="false">IF(A479="","",DATE(YEAR(A479),MONTH(A479),1))</f>
        <v/>
      </c>
    </row>
    <row r="480" customFormat="false" ht="15" hidden="false" customHeight="false" outlineLevel="0" collapsed="false">
      <c r="A480" s="22"/>
      <c r="B480" s="23"/>
      <c r="C480" s="23"/>
      <c r="D480" s="23"/>
      <c r="E480" s="24"/>
      <c r="F480" s="23"/>
      <c r="G480" s="23"/>
      <c r="H480" s="21" t="str">
        <f aca="false">IF(A480="","",DATE(YEAR(A480),MONTH(A480),1))</f>
        <v/>
      </c>
    </row>
    <row r="481" customFormat="false" ht="15" hidden="false" customHeight="false" outlineLevel="0" collapsed="false">
      <c r="A481" s="22"/>
      <c r="B481" s="23"/>
      <c r="C481" s="23"/>
      <c r="D481" s="23"/>
      <c r="E481" s="24"/>
      <c r="F481" s="23"/>
      <c r="G481" s="23"/>
      <c r="H481" s="21" t="str">
        <f aca="false">IF(A481="","",DATE(YEAR(A481),MONTH(A481),1))</f>
        <v/>
      </c>
    </row>
    <row r="482" customFormat="false" ht="15" hidden="false" customHeight="false" outlineLevel="0" collapsed="false">
      <c r="A482" s="22"/>
      <c r="B482" s="23"/>
      <c r="C482" s="23"/>
      <c r="D482" s="23"/>
      <c r="E482" s="24"/>
      <c r="F482" s="23"/>
      <c r="G482" s="23"/>
      <c r="H482" s="21" t="str">
        <f aca="false">IF(A482="","",DATE(YEAR(A482),MONTH(A482),1))</f>
        <v/>
      </c>
    </row>
    <row r="483" customFormat="false" ht="15" hidden="false" customHeight="false" outlineLevel="0" collapsed="false">
      <c r="A483" s="22"/>
      <c r="B483" s="23"/>
      <c r="C483" s="23"/>
      <c r="D483" s="23"/>
      <c r="E483" s="24"/>
      <c r="F483" s="23"/>
      <c r="G483" s="23"/>
      <c r="H483" s="21" t="str">
        <f aca="false">IF(A483="","",DATE(YEAR(A483),MONTH(A483),1))</f>
        <v/>
      </c>
    </row>
    <row r="484" customFormat="false" ht="15" hidden="false" customHeight="false" outlineLevel="0" collapsed="false">
      <c r="A484" s="22"/>
      <c r="B484" s="23"/>
      <c r="C484" s="23"/>
      <c r="D484" s="23"/>
      <c r="E484" s="24"/>
      <c r="F484" s="23"/>
      <c r="G484" s="23"/>
      <c r="H484" s="21" t="str">
        <f aca="false">IF(A484="","",DATE(YEAR(A484),MONTH(A484),1))</f>
        <v/>
      </c>
    </row>
    <row r="485" customFormat="false" ht="15" hidden="false" customHeight="false" outlineLevel="0" collapsed="false">
      <c r="A485" s="22"/>
      <c r="B485" s="23"/>
      <c r="C485" s="23"/>
      <c r="D485" s="23"/>
      <c r="E485" s="24"/>
      <c r="F485" s="23"/>
      <c r="G485" s="23"/>
      <c r="H485" s="21" t="str">
        <f aca="false">IF(A485="","",DATE(YEAR(A485),MONTH(A485),1))</f>
        <v/>
      </c>
    </row>
    <row r="486" customFormat="false" ht="15" hidden="false" customHeight="false" outlineLevel="0" collapsed="false">
      <c r="A486" s="22"/>
      <c r="B486" s="23"/>
      <c r="C486" s="23"/>
      <c r="D486" s="23"/>
      <c r="E486" s="24"/>
      <c r="F486" s="23"/>
      <c r="G486" s="23"/>
      <c r="H486" s="21" t="str">
        <f aca="false">IF(A486="","",DATE(YEAR(A486),MONTH(A486),1))</f>
        <v/>
      </c>
    </row>
    <row r="487" customFormat="false" ht="15" hidden="false" customHeight="false" outlineLevel="0" collapsed="false">
      <c r="A487" s="22"/>
      <c r="B487" s="23"/>
      <c r="C487" s="23"/>
      <c r="D487" s="23"/>
      <c r="E487" s="24"/>
      <c r="F487" s="23"/>
      <c r="G487" s="23"/>
      <c r="H487" s="21" t="str">
        <f aca="false">IF(A487="","",DATE(YEAR(A487),MONTH(A487),1))</f>
        <v/>
      </c>
    </row>
    <row r="488" customFormat="false" ht="15" hidden="false" customHeight="false" outlineLevel="0" collapsed="false">
      <c r="A488" s="22"/>
      <c r="B488" s="23"/>
      <c r="C488" s="23"/>
      <c r="D488" s="23"/>
      <c r="E488" s="24"/>
      <c r="F488" s="23"/>
      <c r="G488" s="23"/>
      <c r="H488" s="21" t="str">
        <f aca="false">IF(A488="","",DATE(YEAR(A488),MONTH(A488),1))</f>
        <v/>
      </c>
    </row>
    <row r="489" customFormat="false" ht="15" hidden="false" customHeight="false" outlineLevel="0" collapsed="false">
      <c r="A489" s="22"/>
      <c r="B489" s="23"/>
      <c r="C489" s="23"/>
      <c r="D489" s="23"/>
      <c r="E489" s="24"/>
      <c r="F489" s="23"/>
      <c r="G489" s="23"/>
      <c r="H489" s="21" t="str">
        <f aca="false">IF(A489="","",DATE(YEAR(A489),MONTH(A489),1))</f>
        <v/>
      </c>
    </row>
    <row r="490" customFormat="false" ht="15" hidden="false" customHeight="false" outlineLevel="0" collapsed="false">
      <c r="A490" s="22"/>
      <c r="B490" s="23"/>
      <c r="C490" s="23"/>
      <c r="D490" s="23"/>
      <c r="E490" s="24"/>
      <c r="F490" s="23"/>
      <c r="G490" s="23"/>
      <c r="H490" s="21" t="str">
        <f aca="false">IF(A490="","",DATE(YEAR(A490),MONTH(A490),1))</f>
        <v/>
      </c>
    </row>
    <row r="491" customFormat="false" ht="15" hidden="false" customHeight="false" outlineLevel="0" collapsed="false">
      <c r="A491" s="22"/>
      <c r="B491" s="23"/>
      <c r="C491" s="23"/>
      <c r="D491" s="23"/>
      <c r="E491" s="24"/>
      <c r="F491" s="23"/>
      <c r="G491" s="23"/>
      <c r="H491" s="21" t="str">
        <f aca="false">IF(A491="","",DATE(YEAR(A491),MONTH(A491),1))</f>
        <v/>
      </c>
    </row>
    <row r="492" customFormat="false" ht="15" hidden="false" customHeight="false" outlineLevel="0" collapsed="false">
      <c r="A492" s="22"/>
      <c r="B492" s="23"/>
      <c r="C492" s="23"/>
      <c r="D492" s="23"/>
      <c r="E492" s="24"/>
      <c r="F492" s="23"/>
      <c r="G492" s="23"/>
      <c r="H492" s="21" t="str">
        <f aca="false">IF(A492="","",DATE(YEAR(A492),MONTH(A492),1))</f>
        <v/>
      </c>
    </row>
    <row r="493" customFormat="false" ht="15" hidden="false" customHeight="false" outlineLevel="0" collapsed="false">
      <c r="A493" s="22"/>
      <c r="B493" s="23"/>
      <c r="C493" s="23"/>
      <c r="D493" s="23"/>
      <c r="E493" s="24"/>
      <c r="F493" s="23"/>
      <c r="G493" s="23"/>
      <c r="H493" s="21" t="str">
        <f aca="false">IF(A493="","",DATE(YEAR(A493),MONTH(A493),1))</f>
        <v/>
      </c>
    </row>
    <row r="494" customFormat="false" ht="15" hidden="false" customHeight="false" outlineLevel="0" collapsed="false">
      <c r="A494" s="22"/>
      <c r="B494" s="23"/>
      <c r="C494" s="23"/>
      <c r="D494" s="23"/>
      <c r="E494" s="24"/>
      <c r="F494" s="23"/>
      <c r="G494" s="23"/>
      <c r="H494" s="21" t="str">
        <f aca="false">IF(A494="","",DATE(YEAR(A494),MONTH(A494),1))</f>
        <v/>
      </c>
    </row>
    <row r="495" customFormat="false" ht="15" hidden="false" customHeight="false" outlineLevel="0" collapsed="false">
      <c r="A495" s="22"/>
      <c r="B495" s="23"/>
      <c r="C495" s="23"/>
      <c r="D495" s="23"/>
      <c r="E495" s="24"/>
      <c r="F495" s="23"/>
      <c r="G495" s="23"/>
      <c r="H495" s="21" t="str">
        <f aca="false">IF(A495="","",DATE(YEAR(A495),MONTH(A495),1))</f>
        <v/>
      </c>
    </row>
    <row r="496" customFormat="false" ht="15" hidden="false" customHeight="false" outlineLevel="0" collapsed="false">
      <c r="A496" s="22"/>
      <c r="B496" s="23"/>
      <c r="C496" s="23"/>
      <c r="D496" s="23"/>
      <c r="E496" s="24"/>
      <c r="F496" s="23"/>
      <c r="G496" s="23"/>
      <c r="H496" s="21" t="str">
        <f aca="false">IF(A496="","",DATE(YEAR(A496),MONTH(A496),1))</f>
        <v/>
      </c>
    </row>
    <row r="497" customFormat="false" ht="15" hidden="false" customHeight="false" outlineLevel="0" collapsed="false">
      <c r="A497" s="22"/>
      <c r="B497" s="23"/>
      <c r="C497" s="23"/>
      <c r="D497" s="23"/>
      <c r="E497" s="24"/>
      <c r="F497" s="23"/>
      <c r="G497" s="23"/>
      <c r="H497" s="21" t="str">
        <f aca="false">IF(A497="","",DATE(YEAR(A497),MONTH(A497),1))</f>
        <v/>
      </c>
    </row>
    <row r="498" customFormat="false" ht="15" hidden="false" customHeight="false" outlineLevel="0" collapsed="false">
      <c r="A498" s="22"/>
      <c r="B498" s="23"/>
      <c r="C498" s="23"/>
      <c r="D498" s="23"/>
      <c r="E498" s="24"/>
      <c r="F498" s="23"/>
      <c r="G498" s="23"/>
      <c r="H498" s="21" t="str">
        <f aca="false">IF(A498="","",DATE(YEAR(A498),MONTH(A498),1))</f>
        <v/>
      </c>
    </row>
    <row r="499" customFormat="false" ht="15" hidden="false" customHeight="false" outlineLevel="0" collapsed="false">
      <c r="A499" s="22"/>
      <c r="B499" s="23"/>
      <c r="C499" s="23"/>
      <c r="D499" s="23"/>
      <c r="E499" s="24"/>
      <c r="F499" s="23"/>
      <c r="G499" s="23"/>
      <c r="H499" s="21" t="str">
        <f aca="false">IF(A499="","",DATE(YEAR(A499),MONTH(A499),1))</f>
        <v/>
      </c>
    </row>
    <row r="500" customFormat="false" ht="15" hidden="false" customHeight="false" outlineLevel="0" collapsed="false">
      <c r="A500" s="22"/>
      <c r="B500" s="23"/>
      <c r="C500" s="23"/>
      <c r="D500" s="23"/>
      <c r="E500" s="24"/>
      <c r="F500" s="23"/>
      <c r="G500" s="23"/>
      <c r="H500" s="21" t="str">
        <f aca="false">IF(A500="","",DATE(YEAR(A500),MONTH(A500),1))</f>
        <v/>
      </c>
    </row>
    <row r="501" customFormat="false" ht="15" hidden="false" customHeight="false" outlineLevel="0" collapsed="false">
      <c r="A501" s="22"/>
      <c r="B501" s="23"/>
      <c r="C501" s="23"/>
      <c r="D501" s="23"/>
      <c r="E501" s="24"/>
      <c r="F501" s="23"/>
      <c r="G501" s="23"/>
      <c r="H501" s="21" t="str">
        <f aca="false">IF(A501="","",DATE(YEAR(A501),MONTH(A501),1))</f>
        <v/>
      </c>
    </row>
    <row r="502" customFormat="false" ht="15" hidden="false" customHeight="false" outlineLevel="0" collapsed="false">
      <c r="A502" s="22"/>
      <c r="B502" s="23"/>
      <c r="C502" s="23"/>
      <c r="D502" s="23"/>
      <c r="E502" s="24"/>
      <c r="F502" s="23"/>
      <c r="G502" s="23"/>
      <c r="H502" s="21" t="str">
        <f aca="false">IF(A502="","",DATE(YEAR(A502),MONTH(A502),1))</f>
        <v/>
      </c>
    </row>
    <row r="503" customFormat="false" ht="15" hidden="false" customHeight="false" outlineLevel="0" collapsed="false">
      <c r="A503" s="22"/>
      <c r="B503" s="23"/>
      <c r="C503" s="23"/>
      <c r="D503" s="23"/>
      <c r="E503" s="24"/>
      <c r="F503" s="23"/>
      <c r="G503" s="23"/>
      <c r="H503" s="21" t="str">
        <f aca="false">IF(A503="","",DATE(YEAR(A503),MONTH(A503),1))</f>
        <v/>
      </c>
    </row>
    <row r="504" customFormat="false" ht="15" hidden="false" customHeight="false" outlineLevel="0" collapsed="false">
      <c r="A504" s="22"/>
      <c r="B504" s="23"/>
      <c r="C504" s="23"/>
      <c r="D504" s="23"/>
      <c r="E504" s="24"/>
      <c r="F504" s="23"/>
      <c r="G504" s="23"/>
      <c r="H504" s="21" t="str">
        <f aca="false">IF(A504="","",DATE(YEAR(A504),MONTH(A504),1))</f>
        <v/>
      </c>
    </row>
    <row r="505" customFormat="false" ht="15" hidden="false" customHeight="false" outlineLevel="0" collapsed="false">
      <c r="A505" s="22"/>
      <c r="B505" s="23"/>
      <c r="C505" s="23"/>
      <c r="D505" s="23"/>
      <c r="E505" s="24"/>
      <c r="F505" s="23"/>
      <c r="G505" s="23"/>
      <c r="H505" s="21" t="str">
        <f aca="false">IF(A505="","",DATE(YEAR(A505),MONTH(A505),1))</f>
        <v/>
      </c>
    </row>
    <row r="506" customFormat="false" ht="15" hidden="false" customHeight="false" outlineLevel="0" collapsed="false">
      <c r="A506" s="22"/>
      <c r="B506" s="23"/>
      <c r="C506" s="23"/>
      <c r="D506" s="23"/>
      <c r="E506" s="24"/>
      <c r="F506" s="23"/>
      <c r="G506" s="23"/>
      <c r="H506" s="21" t="str">
        <f aca="false">IF(A506="","",DATE(YEAR(A506),MONTH(A506),1))</f>
        <v/>
      </c>
    </row>
    <row r="507" customFormat="false" ht="15" hidden="false" customHeight="false" outlineLevel="0" collapsed="false">
      <c r="A507" s="22"/>
      <c r="B507" s="23"/>
      <c r="C507" s="23"/>
      <c r="D507" s="23"/>
      <c r="E507" s="24"/>
      <c r="F507" s="23"/>
      <c r="G507" s="23"/>
      <c r="H507" s="21" t="str">
        <f aca="false">IF(A507="","",DATE(YEAR(A507),MONTH(A507),1))</f>
        <v/>
      </c>
    </row>
    <row r="508" customFormat="false" ht="15" hidden="false" customHeight="false" outlineLevel="0" collapsed="false">
      <c r="A508" s="22"/>
      <c r="B508" s="23"/>
      <c r="C508" s="23"/>
      <c r="D508" s="23"/>
      <c r="E508" s="24"/>
      <c r="F508" s="23"/>
      <c r="G508" s="23"/>
      <c r="H508" s="21" t="str">
        <f aca="false">IF(A508="","",DATE(YEAR(A508),MONTH(A508),1))</f>
        <v/>
      </c>
    </row>
    <row r="509" customFormat="false" ht="15" hidden="false" customHeight="false" outlineLevel="0" collapsed="false">
      <c r="A509" s="22"/>
      <c r="B509" s="23"/>
      <c r="C509" s="23"/>
      <c r="D509" s="23"/>
      <c r="E509" s="24"/>
      <c r="F509" s="23"/>
      <c r="G509" s="23"/>
      <c r="H509" s="21" t="str">
        <f aca="false">IF(A509="","",DATE(YEAR(A509),MONTH(A509),1))</f>
        <v/>
      </c>
    </row>
    <row r="510" customFormat="false" ht="15" hidden="false" customHeight="false" outlineLevel="0" collapsed="false">
      <c r="A510" s="22"/>
      <c r="B510" s="23"/>
      <c r="C510" s="23"/>
      <c r="D510" s="23"/>
      <c r="E510" s="24"/>
      <c r="F510" s="23"/>
      <c r="G510" s="23"/>
      <c r="H510" s="21" t="str">
        <f aca="false">IF(A510="","",DATE(YEAR(A510),MONTH(A510),1))</f>
        <v/>
      </c>
    </row>
    <row r="511" customFormat="false" ht="15" hidden="false" customHeight="false" outlineLevel="0" collapsed="false">
      <c r="A511" s="22"/>
      <c r="B511" s="23"/>
      <c r="C511" s="23"/>
      <c r="D511" s="23"/>
      <c r="E511" s="24"/>
      <c r="F511" s="23"/>
      <c r="G511" s="23"/>
      <c r="H511" s="21" t="str">
        <f aca="false">IF(A511="","",DATE(YEAR(A511),MONTH(A511),1))</f>
        <v/>
      </c>
    </row>
    <row r="512" customFormat="false" ht="15" hidden="false" customHeight="false" outlineLevel="0" collapsed="false">
      <c r="A512" s="22"/>
      <c r="B512" s="23"/>
      <c r="C512" s="23"/>
      <c r="D512" s="23"/>
      <c r="E512" s="24"/>
      <c r="F512" s="23"/>
      <c r="G512" s="23"/>
      <c r="H512" s="21" t="str">
        <f aca="false">IF(A512="","",DATE(YEAR(A512),MONTH(A512),1))</f>
        <v/>
      </c>
    </row>
    <row r="513" customFormat="false" ht="15" hidden="false" customHeight="false" outlineLevel="0" collapsed="false">
      <c r="A513" s="22"/>
      <c r="B513" s="23"/>
      <c r="C513" s="23"/>
      <c r="D513" s="23"/>
      <c r="E513" s="24"/>
      <c r="F513" s="23"/>
      <c r="G513" s="23"/>
      <c r="H513" s="21" t="str">
        <f aca="false">IF(A513="","",DATE(YEAR(A513),MONTH(A513),1))</f>
        <v/>
      </c>
    </row>
    <row r="514" customFormat="false" ht="15" hidden="false" customHeight="false" outlineLevel="0" collapsed="false">
      <c r="A514" s="22"/>
      <c r="B514" s="23"/>
      <c r="C514" s="23"/>
      <c r="D514" s="23"/>
      <c r="E514" s="24"/>
      <c r="F514" s="23"/>
      <c r="G514" s="23"/>
      <c r="H514" s="21" t="str">
        <f aca="false">IF(A514="","",DATE(YEAR(A514),MONTH(A514),1))</f>
        <v/>
      </c>
    </row>
    <row r="515" customFormat="false" ht="15" hidden="false" customHeight="false" outlineLevel="0" collapsed="false">
      <c r="A515" s="22"/>
      <c r="B515" s="23"/>
      <c r="C515" s="23"/>
      <c r="D515" s="23"/>
      <c r="E515" s="24"/>
      <c r="F515" s="23"/>
      <c r="G515" s="23"/>
      <c r="H515" s="21" t="str">
        <f aca="false">IF(A515="","",DATE(YEAR(A515),MONTH(A515),1))</f>
        <v/>
      </c>
    </row>
    <row r="516" customFormat="false" ht="15" hidden="false" customHeight="false" outlineLevel="0" collapsed="false">
      <c r="A516" s="22"/>
      <c r="B516" s="23"/>
      <c r="C516" s="23"/>
      <c r="D516" s="23"/>
      <c r="E516" s="24"/>
      <c r="F516" s="23"/>
      <c r="G516" s="23"/>
      <c r="H516" s="21" t="str">
        <f aca="false">IF(A516="","",DATE(YEAR(A516),MONTH(A516),1))</f>
        <v/>
      </c>
    </row>
    <row r="517" customFormat="false" ht="15" hidden="false" customHeight="false" outlineLevel="0" collapsed="false">
      <c r="A517" s="22"/>
      <c r="B517" s="23"/>
      <c r="C517" s="23"/>
      <c r="D517" s="23"/>
      <c r="E517" s="24"/>
      <c r="F517" s="23"/>
      <c r="G517" s="23"/>
      <c r="H517" s="21" t="str">
        <f aca="false">IF(A517="","",DATE(YEAR(A517),MONTH(A517),1))</f>
        <v/>
      </c>
    </row>
    <row r="518" customFormat="false" ht="15" hidden="false" customHeight="false" outlineLevel="0" collapsed="false">
      <c r="A518" s="22"/>
      <c r="B518" s="23"/>
      <c r="C518" s="23"/>
      <c r="D518" s="23"/>
      <c r="E518" s="24"/>
      <c r="F518" s="23"/>
      <c r="G518" s="23"/>
      <c r="H518" s="21" t="str">
        <f aca="false">IF(A518="","",DATE(YEAR(A518),MONTH(A518),1))</f>
        <v/>
      </c>
    </row>
    <row r="519" customFormat="false" ht="15" hidden="false" customHeight="false" outlineLevel="0" collapsed="false">
      <c r="A519" s="22"/>
      <c r="B519" s="23"/>
      <c r="C519" s="23"/>
      <c r="D519" s="23"/>
      <c r="E519" s="24"/>
      <c r="F519" s="23"/>
      <c r="G519" s="23"/>
      <c r="H519" s="21" t="str">
        <f aca="false">IF(A519="","",DATE(YEAR(A519),MONTH(A519),1))</f>
        <v/>
      </c>
    </row>
    <row r="520" customFormat="false" ht="15" hidden="false" customHeight="false" outlineLevel="0" collapsed="false">
      <c r="A520" s="22"/>
      <c r="B520" s="23"/>
      <c r="C520" s="23"/>
      <c r="D520" s="23"/>
      <c r="E520" s="24"/>
      <c r="F520" s="23"/>
      <c r="G520" s="23"/>
      <c r="H520" s="21" t="str">
        <f aca="false">IF(A520="","",DATE(YEAR(A520),MONTH(A520),1))</f>
        <v/>
      </c>
    </row>
    <row r="521" customFormat="false" ht="15" hidden="false" customHeight="false" outlineLevel="0" collapsed="false">
      <c r="A521" s="22"/>
      <c r="B521" s="23"/>
      <c r="C521" s="23"/>
      <c r="D521" s="23"/>
      <c r="E521" s="24"/>
      <c r="F521" s="23"/>
      <c r="G521" s="23"/>
      <c r="H521" s="21" t="str">
        <f aca="false">IF(A521="","",DATE(YEAR(A521),MONTH(A521),1))</f>
        <v/>
      </c>
    </row>
    <row r="522" customFormat="false" ht="15" hidden="false" customHeight="false" outlineLevel="0" collapsed="false">
      <c r="A522" s="22"/>
      <c r="B522" s="23"/>
      <c r="C522" s="23"/>
      <c r="D522" s="23"/>
      <c r="E522" s="24"/>
      <c r="F522" s="23"/>
      <c r="G522" s="23"/>
      <c r="H522" s="21" t="str">
        <f aca="false">IF(A522="","",DATE(YEAR(A522),MONTH(A522),1))</f>
        <v/>
      </c>
    </row>
    <row r="523" customFormat="false" ht="15" hidden="false" customHeight="false" outlineLevel="0" collapsed="false">
      <c r="A523" s="22"/>
      <c r="B523" s="23"/>
      <c r="C523" s="23"/>
      <c r="D523" s="23"/>
      <c r="E523" s="24"/>
      <c r="F523" s="23"/>
      <c r="G523" s="23"/>
      <c r="H523" s="21" t="str">
        <f aca="false">IF(A523="","",DATE(YEAR(A523),MONTH(A523),1))</f>
        <v/>
      </c>
    </row>
    <row r="524" customFormat="false" ht="15" hidden="false" customHeight="false" outlineLevel="0" collapsed="false">
      <c r="A524" s="22"/>
      <c r="B524" s="23"/>
      <c r="C524" s="23"/>
      <c r="D524" s="23"/>
      <c r="E524" s="24"/>
      <c r="F524" s="23"/>
      <c r="G524" s="23"/>
      <c r="H524" s="21" t="str">
        <f aca="false">IF(A524="","",DATE(YEAR(A524),MONTH(A524),1))</f>
        <v/>
      </c>
    </row>
    <row r="525" customFormat="false" ht="15" hidden="false" customHeight="false" outlineLevel="0" collapsed="false">
      <c r="A525" s="22"/>
      <c r="B525" s="23"/>
      <c r="C525" s="23"/>
      <c r="D525" s="23"/>
      <c r="E525" s="24"/>
      <c r="F525" s="23"/>
      <c r="G525" s="23"/>
      <c r="H525" s="21" t="str">
        <f aca="false">IF(A525="","",DATE(YEAR(A525),MONTH(A525),1))</f>
        <v/>
      </c>
    </row>
    <row r="526" customFormat="false" ht="15" hidden="false" customHeight="false" outlineLevel="0" collapsed="false">
      <c r="A526" s="22"/>
      <c r="B526" s="23"/>
      <c r="C526" s="23"/>
      <c r="D526" s="23"/>
      <c r="E526" s="24"/>
      <c r="F526" s="23"/>
      <c r="G526" s="23"/>
      <c r="H526" s="21" t="str">
        <f aca="false">IF(A526="","",DATE(YEAR(A526),MONTH(A526),1))</f>
        <v/>
      </c>
    </row>
    <row r="527" customFormat="false" ht="15" hidden="false" customHeight="false" outlineLevel="0" collapsed="false">
      <c r="A527" s="22"/>
      <c r="B527" s="23"/>
      <c r="C527" s="23"/>
      <c r="D527" s="23"/>
      <c r="E527" s="24"/>
      <c r="F527" s="23"/>
      <c r="G527" s="23"/>
      <c r="H527" s="21" t="str">
        <f aca="false">IF(A527="","",DATE(YEAR(A527),MONTH(A527),1))</f>
        <v/>
      </c>
    </row>
    <row r="528" customFormat="false" ht="15" hidden="false" customHeight="false" outlineLevel="0" collapsed="false">
      <c r="A528" s="22"/>
      <c r="B528" s="23"/>
      <c r="C528" s="23"/>
      <c r="D528" s="23"/>
      <c r="E528" s="24"/>
      <c r="F528" s="23"/>
      <c r="G528" s="23"/>
      <c r="H528" s="21" t="str">
        <f aca="false">IF(A528="","",DATE(YEAR(A528),MONTH(A528),1))</f>
        <v/>
      </c>
    </row>
    <row r="529" customFormat="false" ht="15" hidden="false" customHeight="false" outlineLevel="0" collapsed="false">
      <c r="A529" s="22"/>
      <c r="B529" s="23"/>
      <c r="C529" s="23"/>
      <c r="D529" s="23"/>
      <c r="E529" s="24"/>
      <c r="F529" s="23"/>
      <c r="G529" s="23"/>
      <c r="H529" s="21" t="str">
        <f aca="false">IF(A529="","",DATE(YEAR(A529),MONTH(A529),1))</f>
        <v/>
      </c>
    </row>
    <row r="530" customFormat="false" ht="15" hidden="false" customHeight="false" outlineLevel="0" collapsed="false">
      <c r="A530" s="22"/>
      <c r="B530" s="23"/>
      <c r="C530" s="23"/>
      <c r="D530" s="23"/>
      <c r="E530" s="24"/>
      <c r="F530" s="23"/>
      <c r="G530" s="23"/>
      <c r="H530" s="21" t="str">
        <f aca="false">IF(A530="","",DATE(YEAR(A530),MONTH(A530),1))</f>
        <v/>
      </c>
    </row>
    <row r="531" customFormat="false" ht="15" hidden="false" customHeight="false" outlineLevel="0" collapsed="false">
      <c r="A531" s="22"/>
      <c r="B531" s="23"/>
      <c r="C531" s="23"/>
      <c r="D531" s="23"/>
      <c r="E531" s="24"/>
      <c r="F531" s="23"/>
      <c r="G531" s="23"/>
      <c r="H531" s="21" t="str">
        <f aca="false">IF(A531="","",DATE(YEAR(A531),MONTH(A531),1))</f>
        <v/>
      </c>
    </row>
    <row r="532" customFormat="false" ht="15" hidden="false" customHeight="false" outlineLevel="0" collapsed="false">
      <c r="A532" s="22"/>
      <c r="B532" s="23"/>
      <c r="C532" s="23"/>
      <c r="D532" s="23"/>
      <c r="E532" s="24"/>
      <c r="F532" s="23"/>
      <c r="G532" s="23"/>
      <c r="H532" s="21" t="str">
        <f aca="false">IF(A532="","",DATE(YEAR(A532),MONTH(A532),1))</f>
        <v/>
      </c>
    </row>
    <row r="533" customFormat="false" ht="15" hidden="false" customHeight="false" outlineLevel="0" collapsed="false">
      <c r="A533" s="22"/>
      <c r="B533" s="23"/>
      <c r="C533" s="23"/>
      <c r="D533" s="23"/>
      <c r="E533" s="24"/>
      <c r="F533" s="23"/>
      <c r="G533" s="23"/>
      <c r="H533" s="21" t="str">
        <f aca="false">IF(A533="","",DATE(YEAR(A533),MONTH(A533),1))</f>
        <v/>
      </c>
    </row>
    <row r="534" customFormat="false" ht="15" hidden="false" customHeight="false" outlineLevel="0" collapsed="false">
      <c r="A534" s="22"/>
      <c r="B534" s="23"/>
      <c r="C534" s="23"/>
      <c r="D534" s="23"/>
      <c r="E534" s="24"/>
      <c r="F534" s="23"/>
      <c r="G534" s="23"/>
      <c r="H534" s="21" t="str">
        <f aca="false">IF(A534="","",DATE(YEAR(A534),MONTH(A534),1))</f>
        <v/>
      </c>
    </row>
    <row r="535" customFormat="false" ht="15" hidden="false" customHeight="false" outlineLevel="0" collapsed="false">
      <c r="A535" s="22"/>
      <c r="B535" s="23"/>
      <c r="C535" s="23"/>
      <c r="D535" s="23"/>
      <c r="E535" s="24"/>
      <c r="F535" s="23"/>
      <c r="G535" s="23"/>
      <c r="H535" s="21" t="str">
        <f aca="false">IF(A535="","",DATE(YEAR(A535),MONTH(A535),1))</f>
        <v/>
      </c>
    </row>
    <row r="536" customFormat="false" ht="15" hidden="false" customHeight="false" outlineLevel="0" collapsed="false">
      <c r="A536" s="22"/>
      <c r="B536" s="23"/>
      <c r="C536" s="23"/>
      <c r="D536" s="23"/>
      <c r="E536" s="24"/>
      <c r="F536" s="23"/>
      <c r="G536" s="23"/>
      <c r="H536" s="21" t="str">
        <f aca="false">IF(A536="","",DATE(YEAR(A536),MONTH(A536),1))</f>
        <v/>
      </c>
    </row>
    <row r="537" customFormat="false" ht="15" hidden="false" customHeight="false" outlineLevel="0" collapsed="false">
      <c r="A537" s="22"/>
      <c r="B537" s="23"/>
      <c r="C537" s="23"/>
      <c r="D537" s="23"/>
      <c r="E537" s="24"/>
      <c r="F537" s="23"/>
      <c r="G537" s="23"/>
      <c r="H537" s="21" t="str">
        <f aca="false">IF(A537="","",DATE(YEAR(A537),MONTH(A537),1))</f>
        <v/>
      </c>
    </row>
    <row r="538" customFormat="false" ht="15" hidden="false" customHeight="false" outlineLevel="0" collapsed="false">
      <c r="A538" s="22"/>
      <c r="B538" s="23"/>
      <c r="C538" s="23"/>
      <c r="D538" s="23"/>
      <c r="E538" s="24"/>
      <c r="F538" s="23"/>
      <c r="G538" s="23"/>
      <c r="H538" s="21" t="str">
        <f aca="false">IF(A538="","",DATE(YEAR(A538),MONTH(A538),1))</f>
        <v/>
      </c>
    </row>
    <row r="539" customFormat="false" ht="15" hidden="false" customHeight="false" outlineLevel="0" collapsed="false">
      <c r="A539" s="22"/>
      <c r="B539" s="23"/>
      <c r="C539" s="23"/>
      <c r="D539" s="23"/>
      <c r="E539" s="24"/>
      <c r="F539" s="23"/>
      <c r="G539" s="23"/>
      <c r="H539" s="21" t="str">
        <f aca="false">IF(A539="","",DATE(YEAR(A539),MONTH(A539),1))</f>
        <v/>
      </c>
    </row>
    <row r="540" customFormat="false" ht="15" hidden="false" customHeight="false" outlineLevel="0" collapsed="false">
      <c r="A540" s="22"/>
      <c r="B540" s="23"/>
      <c r="C540" s="23"/>
      <c r="D540" s="23"/>
      <c r="E540" s="24"/>
      <c r="F540" s="23"/>
      <c r="G540" s="23"/>
      <c r="H540" s="21" t="str">
        <f aca="false">IF(A540="","",DATE(YEAR(A540),MONTH(A540),1))</f>
        <v/>
      </c>
    </row>
    <row r="541" customFormat="false" ht="15" hidden="false" customHeight="false" outlineLevel="0" collapsed="false">
      <c r="A541" s="22"/>
      <c r="B541" s="23"/>
      <c r="C541" s="23"/>
      <c r="D541" s="23"/>
      <c r="E541" s="24"/>
      <c r="F541" s="23"/>
      <c r="G541" s="23"/>
      <c r="H541" s="21" t="str">
        <f aca="false">IF(A541="","",DATE(YEAR(A541),MONTH(A541),1))</f>
        <v/>
      </c>
    </row>
    <row r="542" customFormat="false" ht="15" hidden="false" customHeight="false" outlineLevel="0" collapsed="false">
      <c r="A542" s="22"/>
      <c r="B542" s="23"/>
      <c r="C542" s="23"/>
      <c r="D542" s="23"/>
      <c r="E542" s="24"/>
      <c r="F542" s="23"/>
      <c r="G542" s="23"/>
      <c r="H542" s="21" t="str">
        <f aca="false">IF(A542="","",DATE(YEAR(A542),MONTH(A542),1))</f>
        <v/>
      </c>
    </row>
    <row r="543" customFormat="false" ht="15" hidden="false" customHeight="false" outlineLevel="0" collapsed="false">
      <c r="A543" s="22"/>
      <c r="B543" s="23"/>
      <c r="C543" s="23"/>
      <c r="D543" s="23"/>
      <c r="E543" s="24"/>
      <c r="F543" s="23"/>
      <c r="G543" s="23"/>
      <c r="H543" s="21" t="str">
        <f aca="false">IF(A543="","",DATE(YEAR(A543),MONTH(A543),1))</f>
        <v/>
      </c>
    </row>
    <row r="544" customFormat="false" ht="15" hidden="false" customHeight="false" outlineLevel="0" collapsed="false">
      <c r="A544" s="22"/>
      <c r="B544" s="23"/>
      <c r="C544" s="23"/>
      <c r="D544" s="23"/>
      <c r="E544" s="24"/>
      <c r="F544" s="23"/>
      <c r="G544" s="23"/>
      <c r="H544" s="21" t="str">
        <f aca="false">IF(A544="","",DATE(YEAR(A544),MONTH(A544),1))</f>
        <v/>
      </c>
    </row>
    <row r="545" customFormat="false" ht="15" hidden="false" customHeight="false" outlineLevel="0" collapsed="false">
      <c r="A545" s="22"/>
      <c r="B545" s="23"/>
      <c r="C545" s="23"/>
      <c r="D545" s="23"/>
      <c r="E545" s="24"/>
      <c r="F545" s="23"/>
      <c r="G545" s="23"/>
      <c r="H545" s="21" t="str">
        <f aca="false">IF(A545="","",DATE(YEAR(A545),MONTH(A545),1))</f>
        <v/>
      </c>
    </row>
    <row r="546" customFormat="false" ht="15" hidden="false" customHeight="false" outlineLevel="0" collapsed="false">
      <c r="A546" s="22"/>
      <c r="B546" s="23"/>
      <c r="C546" s="23"/>
      <c r="D546" s="23"/>
      <c r="E546" s="24"/>
      <c r="F546" s="23"/>
      <c r="G546" s="23"/>
      <c r="H546" s="21" t="str">
        <f aca="false">IF(A546="","",DATE(YEAR(A546),MONTH(A546),1))</f>
        <v/>
      </c>
    </row>
    <row r="547" customFormat="false" ht="15" hidden="false" customHeight="false" outlineLevel="0" collapsed="false">
      <c r="A547" s="22"/>
      <c r="B547" s="23"/>
      <c r="C547" s="23"/>
      <c r="D547" s="23"/>
      <c r="E547" s="24"/>
      <c r="F547" s="23"/>
      <c r="G547" s="23"/>
      <c r="H547" s="21" t="str">
        <f aca="false">IF(A547="","",DATE(YEAR(A547),MONTH(A547),1))</f>
        <v/>
      </c>
    </row>
    <row r="548" customFormat="false" ht="15" hidden="false" customHeight="false" outlineLevel="0" collapsed="false">
      <c r="A548" s="22"/>
      <c r="B548" s="23"/>
      <c r="C548" s="23"/>
      <c r="D548" s="23"/>
      <c r="E548" s="24"/>
      <c r="F548" s="23"/>
      <c r="G548" s="23"/>
      <c r="H548" s="21" t="str">
        <f aca="false">IF(A548="","",DATE(YEAR(A548),MONTH(A548),1))</f>
        <v/>
      </c>
    </row>
    <row r="549" customFormat="false" ht="15" hidden="false" customHeight="false" outlineLevel="0" collapsed="false">
      <c r="A549" s="22"/>
      <c r="B549" s="23"/>
      <c r="C549" s="23"/>
      <c r="D549" s="23"/>
      <c r="E549" s="24"/>
      <c r="F549" s="23"/>
      <c r="G549" s="23"/>
      <c r="H549" s="21" t="str">
        <f aca="false">IF(A549="","",DATE(YEAR(A549),MONTH(A549),1))</f>
        <v/>
      </c>
    </row>
    <row r="550" customFormat="false" ht="15" hidden="false" customHeight="false" outlineLevel="0" collapsed="false">
      <c r="A550" s="22"/>
      <c r="B550" s="23"/>
      <c r="C550" s="23"/>
      <c r="D550" s="23"/>
      <c r="E550" s="24"/>
      <c r="F550" s="23"/>
      <c r="G550" s="23"/>
      <c r="H550" s="21" t="str">
        <f aca="false">IF(A550="","",DATE(YEAR(A550),MONTH(A550),1))</f>
        <v/>
      </c>
    </row>
    <row r="551" customFormat="false" ht="15" hidden="false" customHeight="false" outlineLevel="0" collapsed="false">
      <c r="A551" s="22"/>
      <c r="B551" s="23"/>
      <c r="C551" s="23"/>
      <c r="D551" s="23"/>
      <c r="E551" s="24"/>
      <c r="F551" s="23"/>
      <c r="G551" s="23"/>
      <c r="H551" s="21" t="str">
        <f aca="false">IF(A551="","",DATE(YEAR(A551),MONTH(A551),1))</f>
        <v/>
      </c>
    </row>
    <row r="552" customFormat="false" ht="15" hidden="false" customHeight="false" outlineLevel="0" collapsed="false">
      <c r="A552" s="22"/>
      <c r="B552" s="23"/>
      <c r="C552" s="23"/>
      <c r="D552" s="23"/>
      <c r="E552" s="24"/>
      <c r="F552" s="23"/>
      <c r="G552" s="23"/>
      <c r="H552" s="21" t="str">
        <f aca="false">IF(A552="","",DATE(YEAR(A552),MONTH(A552),1))</f>
        <v/>
      </c>
    </row>
    <row r="553" customFormat="false" ht="15" hidden="false" customHeight="false" outlineLevel="0" collapsed="false">
      <c r="A553" s="22"/>
      <c r="B553" s="23"/>
      <c r="C553" s="23"/>
      <c r="D553" s="23"/>
      <c r="E553" s="24"/>
      <c r="F553" s="23"/>
      <c r="G553" s="23"/>
      <c r="H553" s="21" t="str">
        <f aca="false">IF(A553="","",DATE(YEAR(A553),MONTH(A553),1))</f>
        <v/>
      </c>
    </row>
    <row r="554" customFormat="false" ht="15" hidden="false" customHeight="false" outlineLevel="0" collapsed="false">
      <c r="A554" s="22"/>
      <c r="B554" s="23"/>
      <c r="C554" s="23"/>
      <c r="D554" s="23"/>
      <c r="E554" s="24"/>
      <c r="F554" s="23"/>
      <c r="G554" s="23"/>
      <c r="H554" s="21" t="str">
        <f aca="false">IF(A554="","",DATE(YEAR(A554),MONTH(A554),1))</f>
        <v/>
      </c>
    </row>
    <row r="555" customFormat="false" ht="15" hidden="false" customHeight="false" outlineLevel="0" collapsed="false">
      <c r="A555" s="22"/>
      <c r="B555" s="23"/>
      <c r="C555" s="23"/>
      <c r="D555" s="23"/>
      <c r="E555" s="24"/>
      <c r="F555" s="23"/>
      <c r="G555" s="23"/>
      <c r="H555" s="21" t="str">
        <f aca="false">IF(A555="","",DATE(YEAR(A555),MONTH(A555),1))</f>
        <v/>
      </c>
    </row>
    <row r="556" customFormat="false" ht="15" hidden="false" customHeight="false" outlineLevel="0" collapsed="false">
      <c r="A556" s="22"/>
      <c r="B556" s="23"/>
      <c r="C556" s="23"/>
      <c r="D556" s="23"/>
      <c r="E556" s="24"/>
      <c r="F556" s="23"/>
      <c r="G556" s="23"/>
      <c r="H556" s="21" t="str">
        <f aca="false">IF(A556="","",DATE(YEAR(A556),MONTH(A556),1))</f>
        <v/>
      </c>
    </row>
    <row r="557" customFormat="false" ht="15" hidden="false" customHeight="false" outlineLevel="0" collapsed="false">
      <c r="A557" s="22"/>
      <c r="B557" s="23"/>
      <c r="C557" s="23"/>
      <c r="D557" s="23"/>
      <c r="E557" s="24"/>
      <c r="F557" s="23"/>
      <c r="G557" s="23"/>
      <c r="H557" s="21" t="str">
        <f aca="false">IF(A557="","",DATE(YEAR(A557),MONTH(A557),1))</f>
        <v/>
      </c>
    </row>
    <row r="558" customFormat="false" ht="15" hidden="false" customHeight="false" outlineLevel="0" collapsed="false">
      <c r="A558" s="22"/>
      <c r="B558" s="23"/>
      <c r="C558" s="23"/>
      <c r="D558" s="23"/>
      <c r="E558" s="24"/>
      <c r="F558" s="23"/>
      <c r="G558" s="23"/>
      <c r="H558" s="21" t="str">
        <f aca="false">IF(A558="","",DATE(YEAR(A558),MONTH(A558),1))</f>
        <v/>
      </c>
    </row>
    <row r="559" customFormat="false" ht="15" hidden="false" customHeight="false" outlineLevel="0" collapsed="false">
      <c r="A559" s="22"/>
      <c r="B559" s="23"/>
      <c r="C559" s="23"/>
      <c r="D559" s="23"/>
      <c r="E559" s="24"/>
      <c r="F559" s="23"/>
      <c r="G559" s="23"/>
      <c r="H559" s="21" t="str">
        <f aca="false">IF(A559="","",DATE(YEAR(A559),MONTH(A559),1))</f>
        <v/>
      </c>
    </row>
    <row r="560" customFormat="false" ht="15" hidden="false" customHeight="false" outlineLevel="0" collapsed="false">
      <c r="A560" s="22"/>
      <c r="B560" s="23"/>
      <c r="C560" s="23"/>
      <c r="D560" s="23"/>
      <c r="E560" s="24"/>
      <c r="F560" s="23"/>
      <c r="G560" s="23"/>
      <c r="H560" s="21" t="str">
        <f aca="false">IF(A560="","",DATE(YEAR(A560),MONTH(A560),1))</f>
        <v/>
      </c>
    </row>
    <row r="561" customFormat="false" ht="15" hidden="false" customHeight="false" outlineLevel="0" collapsed="false">
      <c r="A561" s="22"/>
      <c r="B561" s="23"/>
      <c r="C561" s="23"/>
      <c r="D561" s="23"/>
      <c r="E561" s="24"/>
      <c r="F561" s="23"/>
      <c r="G561" s="23"/>
      <c r="H561" s="21" t="str">
        <f aca="false">IF(A561="","",DATE(YEAR(A561),MONTH(A561),1))</f>
        <v/>
      </c>
    </row>
    <row r="562" customFormat="false" ht="15" hidden="false" customHeight="false" outlineLevel="0" collapsed="false">
      <c r="A562" s="22"/>
      <c r="B562" s="23"/>
      <c r="C562" s="23"/>
      <c r="D562" s="23"/>
      <c r="E562" s="24"/>
      <c r="F562" s="23"/>
      <c r="G562" s="23"/>
      <c r="H562" s="21" t="str">
        <f aca="false">IF(A562="","",DATE(YEAR(A562),MONTH(A562),1))</f>
        <v/>
      </c>
    </row>
    <row r="563" customFormat="false" ht="15" hidden="false" customHeight="false" outlineLevel="0" collapsed="false">
      <c r="A563" s="22"/>
      <c r="B563" s="23"/>
      <c r="C563" s="23"/>
      <c r="D563" s="23"/>
      <c r="E563" s="24"/>
      <c r="F563" s="23"/>
      <c r="G563" s="23"/>
      <c r="H563" s="21" t="str">
        <f aca="false">IF(A563="","",DATE(YEAR(A563),MONTH(A563),1))</f>
        <v/>
      </c>
    </row>
    <row r="564" customFormat="false" ht="15" hidden="false" customHeight="false" outlineLevel="0" collapsed="false">
      <c r="A564" s="22"/>
      <c r="B564" s="23"/>
      <c r="C564" s="23"/>
      <c r="D564" s="23"/>
      <c r="E564" s="24"/>
      <c r="F564" s="23"/>
      <c r="G564" s="23"/>
      <c r="H564" s="21" t="str">
        <f aca="false">IF(A564="","",DATE(YEAR(A564),MONTH(A564),1))</f>
        <v/>
      </c>
    </row>
    <row r="565" customFormat="false" ht="15" hidden="false" customHeight="false" outlineLevel="0" collapsed="false">
      <c r="A565" s="22"/>
      <c r="B565" s="23"/>
      <c r="C565" s="23"/>
      <c r="D565" s="23"/>
      <c r="E565" s="24"/>
      <c r="F565" s="23"/>
      <c r="G565" s="23"/>
      <c r="H565" s="21" t="str">
        <f aca="false">IF(A565="","",DATE(YEAR(A565),MONTH(A565),1))</f>
        <v/>
      </c>
    </row>
    <row r="566" customFormat="false" ht="15" hidden="false" customHeight="false" outlineLevel="0" collapsed="false">
      <c r="A566" s="22"/>
      <c r="B566" s="23"/>
      <c r="C566" s="23"/>
      <c r="D566" s="23"/>
      <c r="E566" s="24"/>
      <c r="F566" s="23"/>
      <c r="G566" s="23"/>
      <c r="H566" s="21" t="str">
        <f aca="false">IF(A566="","",DATE(YEAR(A566),MONTH(A566),1))</f>
        <v/>
      </c>
    </row>
    <row r="567" customFormat="false" ht="15" hidden="false" customHeight="false" outlineLevel="0" collapsed="false">
      <c r="A567" s="22"/>
      <c r="B567" s="23"/>
      <c r="C567" s="23"/>
      <c r="D567" s="23"/>
      <c r="E567" s="24"/>
      <c r="F567" s="23"/>
      <c r="G567" s="23"/>
      <c r="H567" s="21" t="str">
        <f aca="false">IF(A567="","",DATE(YEAR(A567),MONTH(A567),1))</f>
        <v/>
      </c>
    </row>
    <row r="568" customFormat="false" ht="15" hidden="false" customHeight="false" outlineLevel="0" collapsed="false">
      <c r="A568" s="22"/>
      <c r="B568" s="23"/>
      <c r="C568" s="23"/>
      <c r="D568" s="23"/>
      <c r="E568" s="24"/>
      <c r="F568" s="23"/>
      <c r="G568" s="23"/>
      <c r="H568" s="21" t="str">
        <f aca="false">IF(A568="","",DATE(YEAR(A568),MONTH(A568),1))</f>
        <v/>
      </c>
    </row>
    <row r="569" customFormat="false" ht="15" hidden="false" customHeight="false" outlineLevel="0" collapsed="false">
      <c r="A569" s="22"/>
      <c r="B569" s="23"/>
      <c r="C569" s="23"/>
      <c r="D569" s="23"/>
      <c r="E569" s="24"/>
      <c r="F569" s="23"/>
      <c r="G569" s="23"/>
      <c r="H569" s="21" t="str">
        <f aca="false">IF(A569="","",DATE(YEAR(A569),MONTH(A569),1))</f>
        <v/>
      </c>
    </row>
    <row r="570" customFormat="false" ht="15" hidden="false" customHeight="false" outlineLevel="0" collapsed="false">
      <c r="A570" s="22"/>
      <c r="B570" s="23"/>
      <c r="C570" s="23"/>
      <c r="D570" s="23"/>
      <c r="E570" s="24"/>
      <c r="F570" s="23"/>
      <c r="G570" s="23"/>
      <c r="H570" s="21" t="str">
        <f aca="false">IF(A570="","",DATE(YEAR(A570),MONTH(A570),1))</f>
        <v/>
      </c>
    </row>
    <row r="571" customFormat="false" ht="15" hidden="false" customHeight="false" outlineLevel="0" collapsed="false">
      <c r="A571" s="22"/>
      <c r="B571" s="23"/>
      <c r="C571" s="23"/>
      <c r="D571" s="23"/>
      <c r="E571" s="24"/>
      <c r="F571" s="23"/>
      <c r="G571" s="23"/>
      <c r="H571" s="21" t="str">
        <f aca="false">IF(A571="","",DATE(YEAR(A571),MONTH(A571),1))</f>
        <v/>
      </c>
    </row>
    <row r="572" customFormat="false" ht="15" hidden="false" customHeight="false" outlineLevel="0" collapsed="false">
      <c r="A572" s="22"/>
      <c r="B572" s="23"/>
      <c r="C572" s="23"/>
      <c r="D572" s="23"/>
      <c r="E572" s="24"/>
      <c r="F572" s="23"/>
      <c r="G572" s="23"/>
      <c r="H572" s="21" t="str">
        <f aca="false">IF(A572="","",DATE(YEAR(A572),MONTH(A572),1))</f>
        <v/>
      </c>
    </row>
    <row r="573" customFormat="false" ht="15" hidden="false" customHeight="false" outlineLevel="0" collapsed="false">
      <c r="A573" s="22"/>
      <c r="B573" s="23"/>
      <c r="C573" s="23"/>
      <c r="D573" s="23"/>
      <c r="E573" s="24"/>
      <c r="F573" s="23"/>
      <c r="G573" s="23"/>
      <c r="H573" s="21" t="str">
        <f aca="false">IF(A573="","",DATE(YEAR(A573),MONTH(A573),1))</f>
        <v/>
      </c>
    </row>
    <row r="574" customFormat="false" ht="15" hidden="false" customHeight="false" outlineLevel="0" collapsed="false">
      <c r="A574" s="22"/>
      <c r="B574" s="23"/>
      <c r="C574" s="23"/>
      <c r="D574" s="23"/>
      <c r="E574" s="24"/>
      <c r="F574" s="23"/>
      <c r="G574" s="23"/>
      <c r="H574" s="21" t="str">
        <f aca="false">IF(A574="","",DATE(YEAR(A574),MONTH(A574),1))</f>
        <v/>
      </c>
    </row>
    <row r="575" customFormat="false" ht="15" hidden="false" customHeight="false" outlineLevel="0" collapsed="false">
      <c r="A575" s="22"/>
      <c r="B575" s="23"/>
      <c r="C575" s="23"/>
      <c r="D575" s="23"/>
      <c r="E575" s="24"/>
      <c r="F575" s="23"/>
      <c r="G575" s="23"/>
      <c r="H575" s="21" t="str">
        <f aca="false">IF(A575="","",DATE(YEAR(A575),MONTH(A575),1))</f>
        <v/>
      </c>
    </row>
    <row r="576" customFormat="false" ht="15" hidden="false" customHeight="false" outlineLevel="0" collapsed="false">
      <c r="A576" s="22"/>
      <c r="B576" s="23"/>
      <c r="C576" s="23"/>
      <c r="D576" s="23"/>
      <c r="E576" s="24"/>
      <c r="F576" s="23"/>
      <c r="G576" s="23"/>
      <c r="H576" s="21" t="str">
        <f aca="false">IF(A576="","",DATE(YEAR(A576),MONTH(A576),1))</f>
        <v/>
      </c>
    </row>
    <row r="577" customFormat="false" ht="15" hidden="false" customHeight="false" outlineLevel="0" collapsed="false">
      <c r="A577" s="22"/>
      <c r="B577" s="23"/>
      <c r="C577" s="23"/>
      <c r="D577" s="23"/>
      <c r="E577" s="24"/>
      <c r="F577" s="23"/>
      <c r="G577" s="23"/>
      <c r="H577" s="21" t="str">
        <f aca="false">IF(A577="","",DATE(YEAR(A577),MONTH(A577),1))</f>
        <v/>
      </c>
    </row>
    <row r="578" customFormat="false" ht="15" hidden="false" customHeight="false" outlineLevel="0" collapsed="false">
      <c r="A578" s="22"/>
      <c r="B578" s="23"/>
      <c r="C578" s="23"/>
      <c r="D578" s="23"/>
      <c r="E578" s="24"/>
      <c r="F578" s="23"/>
      <c r="G578" s="23"/>
      <c r="H578" s="21" t="str">
        <f aca="false">IF(A578="","",DATE(YEAR(A578),MONTH(A578),1))</f>
        <v/>
      </c>
    </row>
    <row r="579" customFormat="false" ht="15" hidden="false" customHeight="false" outlineLevel="0" collapsed="false">
      <c r="A579" s="22"/>
      <c r="B579" s="23"/>
      <c r="C579" s="23"/>
      <c r="D579" s="23"/>
      <c r="E579" s="24"/>
      <c r="F579" s="23"/>
      <c r="G579" s="23"/>
      <c r="H579" s="21" t="str">
        <f aca="false">IF(A579="","",DATE(YEAR(A579),MONTH(A579),1))</f>
        <v/>
      </c>
    </row>
    <row r="580" customFormat="false" ht="15" hidden="false" customHeight="false" outlineLevel="0" collapsed="false">
      <c r="A580" s="22"/>
      <c r="B580" s="23"/>
      <c r="C580" s="23"/>
      <c r="D580" s="23"/>
      <c r="E580" s="24"/>
      <c r="F580" s="23"/>
      <c r="G580" s="23"/>
      <c r="H580" s="21" t="str">
        <f aca="false">IF(A580="","",DATE(YEAR(A580),MONTH(A580),1))</f>
        <v/>
      </c>
    </row>
    <row r="581" customFormat="false" ht="15" hidden="false" customHeight="false" outlineLevel="0" collapsed="false">
      <c r="A581" s="22"/>
      <c r="B581" s="23"/>
      <c r="C581" s="23"/>
      <c r="D581" s="23"/>
      <c r="E581" s="24"/>
      <c r="F581" s="23"/>
      <c r="G581" s="23"/>
      <c r="H581" s="21" t="str">
        <f aca="false">IF(A581="","",DATE(YEAR(A581),MONTH(A581),1))</f>
        <v/>
      </c>
    </row>
    <row r="582" customFormat="false" ht="15" hidden="false" customHeight="false" outlineLevel="0" collapsed="false">
      <c r="A582" s="22"/>
      <c r="B582" s="23"/>
      <c r="C582" s="23"/>
      <c r="D582" s="23"/>
      <c r="E582" s="24"/>
      <c r="F582" s="23"/>
      <c r="G582" s="23"/>
      <c r="H582" s="21" t="str">
        <f aca="false">IF(A582="","",DATE(YEAR(A582),MONTH(A582),1))</f>
        <v/>
      </c>
    </row>
    <row r="583" customFormat="false" ht="15" hidden="false" customHeight="false" outlineLevel="0" collapsed="false">
      <c r="A583" s="22"/>
      <c r="B583" s="23"/>
      <c r="C583" s="23"/>
      <c r="D583" s="23"/>
      <c r="E583" s="24"/>
      <c r="F583" s="23"/>
      <c r="G583" s="23"/>
      <c r="H583" s="21" t="str">
        <f aca="false">IF(A583="","",DATE(YEAR(A583),MONTH(A583),1))</f>
        <v/>
      </c>
    </row>
    <row r="584" customFormat="false" ht="15" hidden="false" customHeight="false" outlineLevel="0" collapsed="false">
      <c r="A584" s="22"/>
      <c r="B584" s="23"/>
      <c r="C584" s="23"/>
      <c r="D584" s="23"/>
      <c r="E584" s="24"/>
      <c r="F584" s="23"/>
      <c r="G584" s="23"/>
      <c r="H584" s="21" t="str">
        <f aca="false">IF(A584="","",DATE(YEAR(A584),MONTH(A584),1))</f>
        <v/>
      </c>
    </row>
    <row r="585" customFormat="false" ht="15" hidden="false" customHeight="false" outlineLevel="0" collapsed="false">
      <c r="A585" s="22"/>
      <c r="B585" s="23"/>
      <c r="C585" s="23"/>
      <c r="D585" s="23"/>
      <c r="E585" s="24"/>
      <c r="F585" s="23"/>
      <c r="G585" s="23"/>
      <c r="H585" s="21" t="str">
        <f aca="false">IF(A585="","",DATE(YEAR(A585),MONTH(A585),1))</f>
        <v/>
      </c>
    </row>
    <row r="586" customFormat="false" ht="15" hidden="false" customHeight="false" outlineLevel="0" collapsed="false">
      <c r="A586" s="22"/>
      <c r="B586" s="23"/>
      <c r="C586" s="23"/>
      <c r="D586" s="23"/>
      <c r="E586" s="24"/>
      <c r="F586" s="23"/>
      <c r="G586" s="23"/>
      <c r="H586" s="21" t="str">
        <f aca="false">IF(A586="","",DATE(YEAR(A586),MONTH(A586),1))</f>
        <v/>
      </c>
    </row>
    <row r="587" customFormat="false" ht="15" hidden="false" customHeight="false" outlineLevel="0" collapsed="false">
      <c r="A587" s="22"/>
      <c r="B587" s="23"/>
      <c r="C587" s="23"/>
      <c r="D587" s="23"/>
      <c r="E587" s="24"/>
      <c r="F587" s="23"/>
      <c r="G587" s="23"/>
      <c r="H587" s="21" t="str">
        <f aca="false">IF(A587="","",DATE(YEAR(A587),MONTH(A587),1))</f>
        <v/>
      </c>
    </row>
    <row r="588" customFormat="false" ht="15" hidden="false" customHeight="false" outlineLevel="0" collapsed="false">
      <c r="A588" s="22"/>
      <c r="B588" s="23"/>
      <c r="C588" s="23"/>
      <c r="D588" s="23"/>
      <c r="E588" s="24"/>
      <c r="F588" s="23"/>
      <c r="G588" s="23"/>
      <c r="H588" s="21" t="str">
        <f aca="false">IF(A588="","",DATE(YEAR(A588),MONTH(A588),1))</f>
        <v/>
      </c>
    </row>
    <row r="589" customFormat="false" ht="15" hidden="false" customHeight="false" outlineLevel="0" collapsed="false">
      <c r="A589" s="22"/>
      <c r="B589" s="23"/>
      <c r="C589" s="23"/>
      <c r="D589" s="23"/>
      <c r="E589" s="24"/>
      <c r="F589" s="23"/>
      <c r="G589" s="23"/>
      <c r="H589" s="21" t="str">
        <f aca="false">IF(A589="","",DATE(YEAR(A589),MONTH(A589),1))</f>
        <v/>
      </c>
    </row>
    <row r="590" customFormat="false" ht="15" hidden="false" customHeight="false" outlineLevel="0" collapsed="false">
      <c r="A590" s="22"/>
      <c r="B590" s="23"/>
      <c r="C590" s="23"/>
      <c r="D590" s="23"/>
      <c r="E590" s="24"/>
      <c r="F590" s="23"/>
      <c r="G590" s="23"/>
      <c r="H590" s="21" t="str">
        <f aca="false">IF(A590="","",DATE(YEAR(A590),MONTH(A590),1))</f>
        <v/>
      </c>
    </row>
    <row r="591" customFormat="false" ht="15" hidden="false" customHeight="false" outlineLevel="0" collapsed="false">
      <c r="A591" s="22"/>
      <c r="B591" s="23"/>
      <c r="C591" s="23"/>
      <c r="D591" s="23"/>
      <c r="E591" s="24"/>
      <c r="F591" s="23"/>
      <c r="G591" s="23"/>
      <c r="H591" s="21" t="str">
        <f aca="false">IF(A591="","",DATE(YEAR(A591),MONTH(A591),1))</f>
        <v/>
      </c>
    </row>
    <row r="592" customFormat="false" ht="15" hidden="false" customHeight="false" outlineLevel="0" collapsed="false">
      <c r="A592" s="22"/>
      <c r="B592" s="23"/>
      <c r="C592" s="23"/>
      <c r="D592" s="23"/>
      <c r="E592" s="24"/>
      <c r="F592" s="23"/>
      <c r="G592" s="23"/>
      <c r="H592" s="21" t="str">
        <f aca="false">IF(A592="","",DATE(YEAR(A592),MONTH(A592),1))</f>
        <v/>
      </c>
    </row>
    <row r="593" customFormat="false" ht="15" hidden="false" customHeight="false" outlineLevel="0" collapsed="false">
      <c r="A593" s="22"/>
      <c r="B593" s="23"/>
      <c r="C593" s="23"/>
      <c r="D593" s="23"/>
      <c r="E593" s="24"/>
      <c r="F593" s="23"/>
      <c r="G593" s="23"/>
      <c r="H593" s="21" t="str">
        <f aca="false">IF(A593="","",DATE(YEAR(A593),MONTH(A593),1))</f>
        <v/>
      </c>
    </row>
    <row r="594" customFormat="false" ht="15" hidden="false" customHeight="false" outlineLevel="0" collapsed="false">
      <c r="A594" s="22"/>
      <c r="B594" s="23"/>
      <c r="C594" s="23"/>
      <c r="D594" s="23"/>
      <c r="E594" s="24"/>
      <c r="F594" s="23"/>
      <c r="G594" s="23"/>
      <c r="H594" s="21" t="str">
        <f aca="false">IF(A594="","",DATE(YEAR(A594),MONTH(A594),1))</f>
        <v/>
      </c>
    </row>
    <row r="595" customFormat="false" ht="15" hidden="false" customHeight="false" outlineLevel="0" collapsed="false">
      <c r="A595" s="22"/>
      <c r="B595" s="23"/>
      <c r="C595" s="23"/>
      <c r="D595" s="23"/>
      <c r="E595" s="24"/>
      <c r="F595" s="23"/>
      <c r="G595" s="23"/>
      <c r="H595" s="21" t="str">
        <f aca="false">IF(A595="","",DATE(YEAR(A595),MONTH(A595),1))</f>
        <v/>
      </c>
    </row>
    <row r="596" customFormat="false" ht="15" hidden="false" customHeight="false" outlineLevel="0" collapsed="false">
      <c r="A596" s="22"/>
      <c r="B596" s="23"/>
      <c r="C596" s="23"/>
      <c r="D596" s="23"/>
      <c r="E596" s="24"/>
      <c r="F596" s="23"/>
      <c r="G596" s="23"/>
      <c r="H596" s="21" t="str">
        <f aca="false">IF(A596="","",DATE(YEAR(A596),MONTH(A596),1))</f>
        <v/>
      </c>
    </row>
    <row r="597" customFormat="false" ht="15" hidden="false" customHeight="false" outlineLevel="0" collapsed="false">
      <c r="A597" s="22"/>
      <c r="B597" s="23"/>
      <c r="C597" s="23"/>
      <c r="D597" s="23"/>
      <c r="E597" s="24"/>
      <c r="F597" s="23"/>
      <c r="G597" s="23"/>
      <c r="H597" s="21" t="str">
        <f aca="false">IF(A597="","",DATE(YEAR(A597),MONTH(A597),1))</f>
        <v/>
      </c>
    </row>
    <row r="598" customFormat="false" ht="15" hidden="false" customHeight="false" outlineLevel="0" collapsed="false">
      <c r="A598" s="22"/>
      <c r="B598" s="23"/>
      <c r="C598" s="23"/>
      <c r="D598" s="23"/>
      <c r="E598" s="24"/>
      <c r="F598" s="23"/>
      <c r="G598" s="23"/>
      <c r="H598" s="21" t="str">
        <f aca="false">IF(A598="","",DATE(YEAR(A598),MONTH(A598),1))</f>
        <v/>
      </c>
    </row>
    <row r="599" customFormat="false" ht="15" hidden="false" customHeight="false" outlineLevel="0" collapsed="false">
      <c r="A599" s="22"/>
      <c r="B599" s="23"/>
      <c r="C599" s="23"/>
      <c r="D599" s="23"/>
      <c r="E599" s="24"/>
      <c r="F599" s="23"/>
      <c r="G599" s="23"/>
      <c r="H599" s="21" t="str">
        <f aca="false">IF(A599="","",DATE(YEAR(A599),MONTH(A599),1))</f>
        <v/>
      </c>
    </row>
    <row r="600" customFormat="false" ht="15" hidden="false" customHeight="false" outlineLevel="0" collapsed="false">
      <c r="A600" s="22"/>
      <c r="B600" s="23"/>
      <c r="C600" s="23"/>
      <c r="D600" s="23"/>
      <c r="E600" s="24"/>
      <c r="F600" s="23"/>
      <c r="G600" s="23"/>
      <c r="H600" s="21" t="str">
        <f aca="false">IF(A600="","",DATE(YEAR(A600),MONTH(A600),1))</f>
        <v/>
      </c>
    </row>
    <row r="601" customFormat="false" ht="15" hidden="false" customHeight="false" outlineLevel="0" collapsed="false">
      <c r="A601" s="22"/>
      <c r="B601" s="23"/>
      <c r="C601" s="23"/>
      <c r="D601" s="23"/>
      <c r="E601" s="24"/>
      <c r="F601" s="23"/>
      <c r="G601" s="23"/>
      <c r="H601" s="21" t="str">
        <f aca="false">IF(A601="","",DATE(YEAR(A601),MONTH(A601),1))</f>
        <v/>
      </c>
    </row>
    <row r="602" customFormat="false" ht="15" hidden="false" customHeight="false" outlineLevel="0" collapsed="false">
      <c r="A602" s="22"/>
      <c r="B602" s="23"/>
      <c r="C602" s="23"/>
      <c r="D602" s="23"/>
      <c r="E602" s="24"/>
      <c r="F602" s="23"/>
      <c r="G602" s="23"/>
      <c r="H602" s="21" t="str">
        <f aca="false">IF(A602="","",DATE(YEAR(A602),MONTH(A602),1))</f>
        <v/>
      </c>
    </row>
    <row r="603" customFormat="false" ht="15" hidden="false" customHeight="false" outlineLevel="0" collapsed="false">
      <c r="A603" s="22"/>
      <c r="B603" s="23"/>
      <c r="C603" s="23"/>
      <c r="D603" s="23"/>
      <c r="E603" s="24"/>
      <c r="F603" s="23"/>
      <c r="G603" s="23"/>
      <c r="H603" s="21" t="str">
        <f aca="false">IF(A603="","",DATE(YEAR(A603),MONTH(A603),1))</f>
        <v/>
      </c>
    </row>
    <row r="604" customFormat="false" ht="15" hidden="false" customHeight="false" outlineLevel="0" collapsed="false">
      <c r="A604" s="22"/>
      <c r="B604" s="23"/>
      <c r="C604" s="23"/>
      <c r="D604" s="23"/>
      <c r="E604" s="24"/>
      <c r="F604" s="23"/>
      <c r="G604" s="23"/>
      <c r="H604" s="21" t="str">
        <f aca="false">IF(A604="","",DATE(YEAR(A604),MONTH(A604),1))</f>
        <v/>
      </c>
    </row>
    <row r="605" customFormat="false" ht="15" hidden="false" customHeight="false" outlineLevel="0" collapsed="false">
      <c r="A605" s="22"/>
      <c r="B605" s="23"/>
      <c r="C605" s="23"/>
      <c r="D605" s="23"/>
      <c r="E605" s="24"/>
      <c r="F605" s="23"/>
      <c r="G605" s="23"/>
      <c r="H605" s="21" t="str">
        <f aca="false">IF(A605="","",DATE(YEAR(A605),MONTH(A605),1))</f>
        <v/>
      </c>
    </row>
    <row r="606" customFormat="false" ht="15" hidden="false" customHeight="false" outlineLevel="0" collapsed="false">
      <c r="A606" s="22"/>
      <c r="B606" s="23"/>
      <c r="C606" s="23"/>
      <c r="D606" s="23"/>
      <c r="E606" s="24"/>
      <c r="F606" s="23"/>
      <c r="G606" s="23"/>
      <c r="H606" s="21" t="str">
        <f aca="false">IF(A606="","",DATE(YEAR(A606),MONTH(A606),1))</f>
        <v/>
      </c>
    </row>
    <row r="607" customFormat="false" ht="15" hidden="false" customHeight="false" outlineLevel="0" collapsed="false">
      <c r="A607" s="22"/>
      <c r="B607" s="23"/>
      <c r="C607" s="23"/>
      <c r="D607" s="23"/>
      <c r="E607" s="24"/>
      <c r="F607" s="23"/>
      <c r="G607" s="23"/>
      <c r="H607" s="21" t="str">
        <f aca="false">IF(A607="","",DATE(YEAR(A607),MONTH(A607),1))</f>
        <v/>
      </c>
    </row>
    <row r="608" customFormat="false" ht="15" hidden="false" customHeight="false" outlineLevel="0" collapsed="false">
      <c r="A608" s="22"/>
      <c r="B608" s="23"/>
      <c r="C608" s="23"/>
      <c r="D608" s="23"/>
      <c r="E608" s="24"/>
      <c r="F608" s="23"/>
      <c r="G608" s="23"/>
      <c r="H608" s="21" t="str">
        <f aca="false">IF(A608="","",DATE(YEAR(A608),MONTH(A608),1))</f>
        <v/>
      </c>
    </row>
    <row r="609" customFormat="false" ht="15" hidden="false" customHeight="false" outlineLevel="0" collapsed="false">
      <c r="A609" s="22"/>
      <c r="B609" s="23"/>
      <c r="C609" s="23"/>
      <c r="D609" s="23"/>
      <c r="E609" s="24"/>
      <c r="F609" s="23"/>
      <c r="G609" s="23"/>
      <c r="H609" s="21" t="str">
        <f aca="false">IF(A609="","",DATE(YEAR(A609),MONTH(A609),1))</f>
        <v/>
      </c>
    </row>
    <row r="610" customFormat="false" ht="15" hidden="false" customHeight="false" outlineLevel="0" collapsed="false">
      <c r="A610" s="22"/>
      <c r="B610" s="23"/>
      <c r="C610" s="23"/>
      <c r="D610" s="23"/>
      <c r="E610" s="24"/>
      <c r="F610" s="23"/>
      <c r="G610" s="23"/>
      <c r="H610" s="21" t="str">
        <f aca="false">IF(A610="","",DATE(YEAR(A610),MONTH(A610),1))</f>
        <v/>
      </c>
    </row>
    <row r="611" customFormat="false" ht="15" hidden="false" customHeight="false" outlineLevel="0" collapsed="false">
      <c r="A611" s="22"/>
      <c r="B611" s="23"/>
      <c r="C611" s="23"/>
      <c r="D611" s="23"/>
      <c r="E611" s="24"/>
      <c r="F611" s="23"/>
      <c r="G611" s="23"/>
      <c r="H611" s="21" t="str">
        <f aca="false">IF(A611="","",DATE(YEAR(A611),MONTH(A611),1))</f>
        <v/>
      </c>
    </row>
    <row r="612" customFormat="false" ht="15" hidden="false" customHeight="false" outlineLevel="0" collapsed="false">
      <c r="A612" s="22"/>
      <c r="B612" s="23"/>
      <c r="C612" s="23"/>
      <c r="D612" s="23"/>
      <c r="E612" s="24"/>
      <c r="F612" s="23"/>
      <c r="G612" s="23"/>
      <c r="H612" s="21" t="str">
        <f aca="false">IF(A612="","",DATE(YEAR(A612),MONTH(A612),1))</f>
        <v/>
      </c>
    </row>
    <row r="613" customFormat="false" ht="15" hidden="false" customHeight="false" outlineLevel="0" collapsed="false">
      <c r="A613" s="22"/>
      <c r="B613" s="23"/>
      <c r="C613" s="23"/>
      <c r="D613" s="23"/>
      <c r="E613" s="24"/>
      <c r="F613" s="23"/>
      <c r="G613" s="23"/>
      <c r="H613" s="21" t="str">
        <f aca="false">IF(A613="","",DATE(YEAR(A613),MONTH(A613),1))</f>
        <v/>
      </c>
    </row>
    <row r="614" customFormat="false" ht="15" hidden="false" customHeight="false" outlineLevel="0" collapsed="false">
      <c r="A614" s="22"/>
      <c r="B614" s="23"/>
      <c r="C614" s="23"/>
      <c r="D614" s="23"/>
      <c r="E614" s="24"/>
      <c r="F614" s="23"/>
      <c r="G614" s="23"/>
      <c r="H614" s="21" t="str">
        <f aca="false">IF(A614="","",DATE(YEAR(A614),MONTH(A614),1))</f>
        <v/>
      </c>
    </row>
    <row r="615" customFormat="false" ht="15" hidden="false" customHeight="false" outlineLevel="0" collapsed="false">
      <c r="A615" s="22"/>
      <c r="B615" s="23"/>
      <c r="C615" s="23"/>
      <c r="D615" s="23"/>
      <c r="E615" s="24"/>
      <c r="F615" s="23"/>
      <c r="G615" s="23"/>
      <c r="H615" s="21" t="str">
        <f aca="false">IF(A615="","",DATE(YEAR(A615),MONTH(A615),1))</f>
        <v/>
      </c>
    </row>
    <row r="616" customFormat="false" ht="15" hidden="false" customHeight="false" outlineLevel="0" collapsed="false">
      <c r="A616" s="22"/>
      <c r="B616" s="23"/>
      <c r="C616" s="23"/>
      <c r="D616" s="23"/>
      <c r="E616" s="24"/>
      <c r="F616" s="23"/>
      <c r="G616" s="23"/>
      <c r="H616" s="21" t="str">
        <f aca="false">IF(A616="","",DATE(YEAR(A616),MONTH(A616),1))</f>
        <v/>
      </c>
    </row>
    <row r="617" customFormat="false" ht="15" hidden="false" customHeight="false" outlineLevel="0" collapsed="false">
      <c r="A617" s="22"/>
      <c r="B617" s="23"/>
      <c r="C617" s="23"/>
      <c r="D617" s="23"/>
      <c r="E617" s="24"/>
      <c r="F617" s="23"/>
      <c r="G617" s="23"/>
      <c r="H617" s="21" t="str">
        <f aca="false">IF(A617="","",DATE(YEAR(A617),MONTH(A617),1))</f>
        <v/>
      </c>
    </row>
    <row r="618" customFormat="false" ht="15" hidden="false" customHeight="false" outlineLevel="0" collapsed="false">
      <c r="A618" s="22"/>
      <c r="B618" s="23"/>
      <c r="C618" s="23"/>
      <c r="D618" s="23"/>
      <c r="E618" s="24"/>
      <c r="F618" s="23"/>
      <c r="G618" s="23"/>
      <c r="H618" s="21" t="str">
        <f aca="false">IF(A618="","",DATE(YEAR(A618),MONTH(A618),1))</f>
        <v/>
      </c>
    </row>
    <row r="619" customFormat="false" ht="15" hidden="false" customHeight="false" outlineLevel="0" collapsed="false">
      <c r="A619" s="22"/>
      <c r="B619" s="23"/>
      <c r="C619" s="23"/>
      <c r="D619" s="23"/>
      <c r="E619" s="24"/>
      <c r="F619" s="23"/>
      <c r="G619" s="23"/>
      <c r="H619" s="21" t="str">
        <f aca="false">IF(A619="","",DATE(YEAR(A619),MONTH(A619),1))</f>
        <v/>
      </c>
    </row>
    <row r="620" customFormat="false" ht="15" hidden="false" customHeight="false" outlineLevel="0" collapsed="false">
      <c r="A620" s="22"/>
      <c r="B620" s="23"/>
      <c r="C620" s="23"/>
      <c r="D620" s="23"/>
      <c r="E620" s="24"/>
      <c r="F620" s="23"/>
      <c r="G620" s="23"/>
      <c r="H620" s="21" t="str">
        <f aca="false">IF(A620="","",DATE(YEAR(A620),MONTH(A620),1))</f>
        <v/>
      </c>
    </row>
    <row r="621" customFormat="false" ht="15" hidden="false" customHeight="false" outlineLevel="0" collapsed="false">
      <c r="A621" s="22"/>
      <c r="B621" s="23"/>
      <c r="C621" s="23"/>
      <c r="D621" s="23"/>
      <c r="E621" s="24"/>
      <c r="F621" s="23"/>
      <c r="G621" s="23"/>
      <c r="H621" s="21" t="str">
        <f aca="false">IF(A621="","",DATE(YEAR(A621),MONTH(A621),1))</f>
        <v/>
      </c>
    </row>
    <row r="622" customFormat="false" ht="15" hidden="false" customHeight="false" outlineLevel="0" collapsed="false">
      <c r="A622" s="22"/>
      <c r="B622" s="23"/>
      <c r="C622" s="23"/>
      <c r="D622" s="23"/>
      <c r="E622" s="24"/>
      <c r="F622" s="23"/>
      <c r="G622" s="23"/>
      <c r="H622" s="21" t="str">
        <f aca="false">IF(A622="","",DATE(YEAR(A622),MONTH(A622),1))</f>
        <v/>
      </c>
    </row>
    <row r="623" customFormat="false" ht="15" hidden="false" customHeight="false" outlineLevel="0" collapsed="false">
      <c r="A623" s="22"/>
      <c r="B623" s="23"/>
      <c r="C623" s="23"/>
      <c r="D623" s="23"/>
      <c r="E623" s="24"/>
      <c r="F623" s="23"/>
      <c r="G623" s="23"/>
      <c r="H623" s="21" t="str">
        <f aca="false">IF(A623="","",DATE(YEAR(A623),MONTH(A623),1))</f>
        <v/>
      </c>
    </row>
    <row r="624" customFormat="false" ht="15" hidden="false" customHeight="false" outlineLevel="0" collapsed="false">
      <c r="A624" s="22"/>
      <c r="B624" s="23"/>
      <c r="C624" s="23"/>
      <c r="D624" s="23"/>
      <c r="E624" s="24"/>
      <c r="F624" s="23"/>
      <c r="G624" s="23"/>
      <c r="H624" s="21" t="str">
        <f aca="false">IF(A624="","",DATE(YEAR(A624),MONTH(A624),1))</f>
        <v/>
      </c>
    </row>
    <row r="625" customFormat="false" ht="15" hidden="false" customHeight="false" outlineLevel="0" collapsed="false">
      <c r="A625" s="22"/>
      <c r="B625" s="23"/>
      <c r="C625" s="23"/>
      <c r="D625" s="23"/>
      <c r="E625" s="24"/>
      <c r="F625" s="23"/>
      <c r="G625" s="23"/>
      <c r="H625" s="21" t="str">
        <f aca="false">IF(A625="","",DATE(YEAR(A625),MONTH(A625),1))</f>
        <v/>
      </c>
    </row>
    <row r="626" customFormat="false" ht="15" hidden="false" customHeight="false" outlineLevel="0" collapsed="false">
      <c r="A626" s="22"/>
      <c r="B626" s="23"/>
      <c r="C626" s="23"/>
      <c r="D626" s="23"/>
      <c r="E626" s="24"/>
      <c r="F626" s="23"/>
      <c r="G626" s="23"/>
      <c r="H626" s="21" t="str">
        <f aca="false">IF(A626="","",DATE(YEAR(A626),MONTH(A626),1))</f>
        <v/>
      </c>
    </row>
    <row r="627" customFormat="false" ht="15" hidden="false" customHeight="false" outlineLevel="0" collapsed="false">
      <c r="A627" s="22"/>
      <c r="B627" s="23"/>
      <c r="C627" s="23"/>
      <c r="D627" s="23"/>
      <c r="E627" s="24"/>
      <c r="F627" s="23"/>
      <c r="G627" s="23"/>
      <c r="H627" s="21" t="str">
        <f aca="false">IF(A627="","",DATE(YEAR(A627),MONTH(A627),1))</f>
        <v/>
      </c>
    </row>
    <row r="628" customFormat="false" ht="15" hidden="false" customHeight="false" outlineLevel="0" collapsed="false">
      <c r="A628" s="22"/>
      <c r="B628" s="23"/>
      <c r="C628" s="23"/>
      <c r="D628" s="23"/>
      <c r="E628" s="24"/>
      <c r="F628" s="23"/>
      <c r="G628" s="23"/>
      <c r="H628" s="21" t="str">
        <f aca="false">IF(A628="","",DATE(YEAR(A628),MONTH(A628),1))</f>
        <v/>
      </c>
    </row>
    <row r="629" customFormat="false" ht="15" hidden="false" customHeight="false" outlineLevel="0" collapsed="false">
      <c r="A629" s="22"/>
      <c r="B629" s="23"/>
      <c r="C629" s="23"/>
      <c r="D629" s="23"/>
      <c r="E629" s="24"/>
      <c r="F629" s="23"/>
      <c r="G629" s="23"/>
      <c r="H629" s="21" t="str">
        <f aca="false">IF(A629="","",DATE(YEAR(A629),MONTH(A629),1))</f>
        <v/>
      </c>
    </row>
    <row r="630" customFormat="false" ht="15" hidden="false" customHeight="false" outlineLevel="0" collapsed="false">
      <c r="A630" s="22"/>
      <c r="B630" s="23"/>
      <c r="C630" s="23"/>
      <c r="D630" s="23"/>
      <c r="E630" s="24"/>
      <c r="F630" s="23"/>
      <c r="G630" s="23"/>
      <c r="H630" s="21" t="str">
        <f aca="false">IF(A630="","",DATE(YEAR(A630),MONTH(A630),1))</f>
        <v/>
      </c>
    </row>
    <row r="631" customFormat="false" ht="15" hidden="false" customHeight="false" outlineLevel="0" collapsed="false">
      <c r="A631" s="22"/>
      <c r="B631" s="23"/>
      <c r="C631" s="23"/>
      <c r="D631" s="23"/>
      <c r="E631" s="24"/>
      <c r="F631" s="23"/>
      <c r="G631" s="23"/>
      <c r="H631" s="21" t="str">
        <f aca="false">IF(A631="","",DATE(YEAR(A631),MONTH(A631),1))</f>
        <v/>
      </c>
    </row>
    <row r="632" customFormat="false" ht="15" hidden="false" customHeight="false" outlineLevel="0" collapsed="false">
      <c r="A632" s="22"/>
      <c r="B632" s="23"/>
      <c r="C632" s="23"/>
      <c r="D632" s="23"/>
      <c r="E632" s="24"/>
      <c r="F632" s="23"/>
      <c r="G632" s="23"/>
      <c r="H632" s="21" t="str">
        <f aca="false">IF(A632="","",DATE(YEAR(A632),MONTH(A632),1))</f>
        <v/>
      </c>
    </row>
    <row r="633" customFormat="false" ht="15" hidden="false" customHeight="false" outlineLevel="0" collapsed="false">
      <c r="A633" s="22"/>
      <c r="B633" s="23"/>
      <c r="C633" s="23"/>
      <c r="D633" s="23"/>
      <c r="E633" s="24"/>
      <c r="F633" s="23"/>
      <c r="G633" s="23"/>
      <c r="H633" s="21" t="str">
        <f aca="false">IF(A633="","",DATE(YEAR(A633),MONTH(A633),1))</f>
        <v/>
      </c>
    </row>
    <row r="634" customFormat="false" ht="15" hidden="false" customHeight="false" outlineLevel="0" collapsed="false">
      <c r="A634" s="22"/>
      <c r="B634" s="23"/>
      <c r="C634" s="23"/>
      <c r="D634" s="23"/>
      <c r="E634" s="24"/>
      <c r="F634" s="23"/>
      <c r="G634" s="23"/>
      <c r="H634" s="21" t="str">
        <f aca="false">IF(A634="","",DATE(YEAR(A634),MONTH(A634),1))</f>
        <v/>
      </c>
    </row>
    <row r="635" customFormat="false" ht="15" hidden="false" customHeight="false" outlineLevel="0" collapsed="false">
      <c r="A635" s="22"/>
      <c r="B635" s="23"/>
      <c r="C635" s="23"/>
      <c r="D635" s="23"/>
      <c r="E635" s="24"/>
      <c r="F635" s="23"/>
      <c r="G635" s="23"/>
      <c r="H635" s="21" t="str">
        <f aca="false">IF(A635="","",DATE(YEAR(A635),MONTH(A635),1))</f>
        <v/>
      </c>
    </row>
    <row r="636" customFormat="false" ht="15" hidden="false" customHeight="false" outlineLevel="0" collapsed="false">
      <c r="A636" s="22"/>
      <c r="B636" s="23"/>
      <c r="C636" s="23"/>
      <c r="D636" s="23"/>
      <c r="E636" s="24"/>
      <c r="F636" s="23"/>
      <c r="G636" s="23"/>
      <c r="H636" s="21" t="str">
        <f aca="false">IF(A636="","",DATE(YEAR(A636),MONTH(A636),1))</f>
        <v/>
      </c>
    </row>
    <row r="637" customFormat="false" ht="15" hidden="false" customHeight="false" outlineLevel="0" collapsed="false">
      <c r="A637" s="22"/>
      <c r="B637" s="23"/>
      <c r="C637" s="23"/>
      <c r="D637" s="23"/>
      <c r="E637" s="24"/>
      <c r="F637" s="23"/>
      <c r="G637" s="23"/>
      <c r="H637" s="21" t="str">
        <f aca="false">IF(A637="","",DATE(YEAR(A637),MONTH(A637),1))</f>
        <v/>
      </c>
    </row>
    <row r="638" customFormat="false" ht="15" hidden="false" customHeight="false" outlineLevel="0" collapsed="false">
      <c r="A638" s="22"/>
      <c r="B638" s="23"/>
      <c r="C638" s="23"/>
      <c r="D638" s="23"/>
      <c r="E638" s="24"/>
      <c r="F638" s="23"/>
      <c r="G638" s="23"/>
      <c r="H638" s="21" t="str">
        <f aca="false">IF(A638="","",DATE(YEAR(A638),MONTH(A638),1))</f>
        <v/>
      </c>
    </row>
    <row r="639" customFormat="false" ht="15" hidden="false" customHeight="false" outlineLevel="0" collapsed="false">
      <c r="A639" s="22"/>
      <c r="B639" s="23"/>
      <c r="C639" s="23"/>
      <c r="D639" s="23"/>
      <c r="E639" s="24"/>
      <c r="F639" s="23"/>
      <c r="G639" s="23"/>
      <c r="H639" s="21" t="str">
        <f aca="false">IF(A639="","",DATE(YEAR(A639),MONTH(A639),1))</f>
        <v/>
      </c>
    </row>
    <row r="640" customFormat="false" ht="15" hidden="false" customHeight="false" outlineLevel="0" collapsed="false">
      <c r="A640" s="22"/>
      <c r="B640" s="23"/>
      <c r="C640" s="23"/>
      <c r="D640" s="23"/>
      <c r="E640" s="24"/>
      <c r="F640" s="23"/>
      <c r="G640" s="23"/>
      <c r="H640" s="21" t="str">
        <f aca="false">IF(A640="","",DATE(YEAR(A640),MONTH(A640),1))</f>
        <v/>
      </c>
    </row>
    <row r="641" customFormat="false" ht="15" hidden="false" customHeight="false" outlineLevel="0" collapsed="false">
      <c r="A641" s="22"/>
      <c r="B641" s="23"/>
      <c r="C641" s="23"/>
      <c r="D641" s="23"/>
      <c r="E641" s="24"/>
      <c r="F641" s="23"/>
      <c r="G641" s="23"/>
      <c r="H641" s="21" t="str">
        <f aca="false">IF(A641="","",DATE(YEAR(A641),MONTH(A641),1))</f>
        <v/>
      </c>
    </row>
    <row r="642" customFormat="false" ht="15" hidden="false" customHeight="false" outlineLevel="0" collapsed="false">
      <c r="A642" s="22"/>
      <c r="B642" s="23"/>
      <c r="C642" s="23"/>
      <c r="D642" s="23"/>
      <c r="E642" s="24"/>
      <c r="F642" s="23"/>
      <c r="G642" s="23"/>
      <c r="H642" s="21" t="str">
        <f aca="false">IF(A642="","",DATE(YEAR(A642),MONTH(A642),1))</f>
        <v/>
      </c>
    </row>
    <row r="643" customFormat="false" ht="15" hidden="false" customHeight="false" outlineLevel="0" collapsed="false">
      <c r="A643" s="22"/>
      <c r="B643" s="23"/>
      <c r="C643" s="23"/>
      <c r="D643" s="23"/>
      <c r="E643" s="24"/>
      <c r="F643" s="23"/>
      <c r="G643" s="23"/>
      <c r="H643" s="21" t="str">
        <f aca="false">IF(A643="","",DATE(YEAR(A643),MONTH(A643),1))</f>
        <v/>
      </c>
    </row>
    <row r="644" customFormat="false" ht="15" hidden="false" customHeight="false" outlineLevel="0" collapsed="false">
      <c r="A644" s="22"/>
      <c r="B644" s="23"/>
      <c r="C644" s="23"/>
      <c r="D644" s="23"/>
      <c r="E644" s="24"/>
      <c r="F644" s="23"/>
      <c r="G644" s="23"/>
      <c r="H644" s="21" t="str">
        <f aca="false">IF(A644="","",DATE(YEAR(A644),MONTH(A644),1))</f>
        <v/>
      </c>
    </row>
    <row r="645" customFormat="false" ht="15" hidden="false" customHeight="false" outlineLevel="0" collapsed="false">
      <c r="A645" s="22"/>
      <c r="B645" s="23"/>
      <c r="C645" s="23"/>
      <c r="D645" s="23"/>
      <c r="E645" s="24"/>
      <c r="F645" s="23"/>
      <c r="G645" s="23"/>
      <c r="H645" s="21" t="str">
        <f aca="false">IF(A645="","",DATE(YEAR(A645),MONTH(A645),1))</f>
        <v/>
      </c>
    </row>
    <row r="646" customFormat="false" ht="15" hidden="false" customHeight="false" outlineLevel="0" collapsed="false">
      <c r="A646" s="22"/>
      <c r="B646" s="23"/>
      <c r="C646" s="23"/>
      <c r="D646" s="23"/>
      <c r="E646" s="24"/>
      <c r="F646" s="23"/>
      <c r="G646" s="23"/>
      <c r="H646" s="21" t="str">
        <f aca="false">IF(A646="","",DATE(YEAR(A646),MONTH(A646),1))</f>
        <v/>
      </c>
    </row>
    <row r="647" customFormat="false" ht="15" hidden="false" customHeight="false" outlineLevel="0" collapsed="false">
      <c r="A647" s="22"/>
      <c r="B647" s="23"/>
      <c r="C647" s="23"/>
      <c r="D647" s="23"/>
      <c r="E647" s="24"/>
      <c r="F647" s="23"/>
      <c r="G647" s="23"/>
      <c r="H647" s="21" t="str">
        <f aca="false">IF(A647="","",DATE(YEAR(A647),MONTH(A647),1))</f>
        <v/>
      </c>
    </row>
    <row r="648" customFormat="false" ht="15" hidden="false" customHeight="false" outlineLevel="0" collapsed="false">
      <c r="A648" s="22"/>
      <c r="B648" s="23"/>
      <c r="C648" s="23"/>
      <c r="D648" s="23"/>
      <c r="E648" s="24"/>
      <c r="F648" s="23"/>
      <c r="G648" s="23"/>
      <c r="H648" s="21" t="str">
        <f aca="false">IF(A648="","",DATE(YEAR(A648),MONTH(A648),1))</f>
        <v/>
      </c>
    </row>
    <row r="649" customFormat="false" ht="15" hidden="false" customHeight="false" outlineLevel="0" collapsed="false">
      <c r="A649" s="22"/>
      <c r="B649" s="23"/>
      <c r="C649" s="23"/>
      <c r="D649" s="23"/>
      <c r="E649" s="24"/>
      <c r="F649" s="23"/>
      <c r="G649" s="23"/>
      <c r="H649" s="21" t="str">
        <f aca="false">IF(A649="","",DATE(YEAR(A649),MONTH(A649),1))</f>
        <v/>
      </c>
    </row>
    <row r="650" customFormat="false" ht="15" hidden="false" customHeight="false" outlineLevel="0" collapsed="false">
      <c r="A650" s="22"/>
      <c r="B650" s="23"/>
      <c r="C650" s="23"/>
      <c r="D650" s="23"/>
      <c r="E650" s="24"/>
      <c r="F650" s="23"/>
      <c r="G650" s="23"/>
      <c r="H650" s="21" t="str">
        <f aca="false">IF(A650="","",DATE(YEAR(A650),MONTH(A650),1))</f>
        <v/>
      </c>
    </row>
    <row r="651" customFormat="false" ht="15" hidden="false" customHeight="false" outlineLevel="0" collapsed="false">
      <c r="A651" s="22"/>
      <c r="B651" s="23"/>
      <c r="C651" s="23"/>
      <c r="D651" s="23"/>
      <c r="E651" s="24"/>
      <c r="F651" s="23"/>
      <c r="G651" s="23"/>
      <c r="H651" s="21" t="str">
        <f aca="false">IF(A651="","",DATE(YEAR(A651),MONTH(A651),1))</f>
        <v/>
      </c>
    </row>
    <row r="652" customFormat="false" ht="15" hidden="false" customHeight="false" outlineLevel="0" collapsed="false">
      <c r="A652" s="22"/>
      <c r="B652" s="23"/>
      <c r="C652" s="23"/>
      <c r="D652" s="23"/>
      <c r="E652" s="24"/>
      <c r="F652" s="23"/>
      <c r="G652" s="23"/>
      <c r="H652" s="21" t="str">
        <f aca="false">IF(A652="","",DATE(YEAR(A652),MONTH(A652),1))</f>
        <v/>
      </c>
    </row>
    <row r="653" customFormat="false" ht="15" hidden="false" customHeight="false" outlineLevel="0" collapsed="false">
      <c r="A653" s="22"/>
      <c r="B653" s="23"/>
      <c r="C653" s="23"/>
      <c r="D653" s="23"/>
      <c r="E653" s="24"/>
      <c r="F653" s="23"/>
      <c r="G653" s="23"/>
      <c r="H653" s="21" t="str">
        <f aca="false">IF(A653="","",DATE(YEAR(A653),MONTH(A653),1))</f>
        <v/>
      </c>
    </row>
    <row r="654" customFormat="false" ht="15" hidden="false" customHeight="false" outlineLevel="0" collapsed="false">
      <c r="A654" s="22"/>
      <c r="B654" s="23"/>
      <c r="C654" s="23"/>
      <c r="D654" s="23"/>
      <c r="E654" s="24"/>
      <c r="F654" s="23"/>
      <c r="G654" s="23"/>
      <c r="H654" s="21" t="str">
        <f aca="false">IF(A654="","",DATE(YEAR(A654),MONTH(A654),1))</f>
        <v/>
      </c>
    </row>
    <row r="655" customFormat="false" ht="15" hidden="false" customHeight="false" outlineLevel="0" collapsed="false">
      <c r="A655" s="22"/>
      <c r="B655" s="23"/>
      <c r="C655" s="23"/>
      <c r="D655" s="23"/>
      <c r="E655" s="24"/>
      <c r="F655" s="23"/>
      <c r="G655" s="23"/>
      <c r="H655" s="21" t="str">
        <f aca="false">IF(A655="","",DATE(YEAR(A655),MONTH(A655),1))</f>
        <v/>
      </c>
    </row>
    <row r="656" customFormat="false" ht="15" hidden="false" customHeight="false" outlineLevel="0" collapsed="false">
      <c r="A656" s="22"/>
      <c r="B656" s="23"/>
      <c r="C656" s="23"/>
      <c r="D656" s="23"/>
      <c r="E656" s="24"/>
      <c r="F656" s="23"/>
      <c r="G656" s="23"/>
      <c r="H656" s="21" t="str">
        <f aca="false">IF(A656="","",DATE(YEAR(A656),MONTH(A656),1))</f>
        <v/>
      </c>
    </row>
    <row r="657" customFormat="false" ht="15" hidden="false" customHeight="false" outlineLevel="0" collapsed="false">
      <c r="A657" s="22"/>
      <c r="B657" s="23"/>
      <c r="C657" s="23"/>
      <c r="D657" s="23"/>
      <c r="E657" s="24"/>
      <c r="F657" s="23"/>
      <c r="G657" s="23"/>
      <c r="H657" s="21" t="str">
        <f aca="false">IF(A657="","",DATE(YEAR(A657),MONTH(A657),1))</f>
        <v/>
      </c>
    </row>
    <row r="658" customFormat="false" ht="15" hidden="false" customHeight="false" outlineLevel="0" collapsed="false">
      <c r="A658" s="22"/>
      <c r="B658" s="23"/>
      <c r="C658" s="23"/>
      <c r="D658" s="23"/>
      <c r="E658" s="24"/>
      <c r="F658" s="23"/>
      <c r="G658" s="23"/>
      <c r="H658" s="21" t="str">
        <f aca="false">IF(A658="","",DATE(YEAR(A658),MONTH(A658),1))</f>
        <v/>
      </c>
    </row>
    <row r="659" customFormat="false" ht="15" hidden="false" customHeight="false" outlineLevel="0" collapsed="false">
      <c r="A659" s="22"/>
      <c r="B659" s="23"/>
      <c r="C659" s="23"/>
      <c r="D659" s="23"/>
      <c r="E659" s="24"/>
      <c r="F659" s="23"/>
      <c r="G659" s="23"/>
      <c r="H659" s="21" t="str">
        <f aca="false">IF(A659="","",DATE(YEAR(A659),MONTH(A659),1))</f>
        <v/>
      </c>
    </row>
    <row r="660" customFormat="false" ht="15" hidden="false" customHeight="false" outlineLevel="0" collapsed="false">
      <c r="A660" s="22"/>
      <c r="B660" s="23"/>
      <c r="C660" s="23"/>
      <c r="D660" s="23"/>
      <c r="E660" s="24"/>
      <c r="F660" s="23"/>
      <c r="G660" s="23"/>
      <c r="H660" s="21" t="str">
        <f aca="false">IF(A660="","",DATE(YEAR(A660),MONTH(A660),1))</f>
        <v/>
      </c>
    </row>
    <row r="661" customFormat="false" ht="15" hidden="false" customHeight="false" outlineLevel="0" collapsed="false">
      <c r="A661" s="22"/>
      <c r="B661" s="23"/>
      <c r="C661" s="23"/>
      <c r="D661" s="23"/>
      <c r="E661" s="24"/>
      <c r="F661" s="23"/>
      <c r="G661" s="23"/>
      <c r="H661" s="21" t="str">
        <f aca="false">IF(A661="","",DATE(YEAR(A661),MONTH(A661),1))</f>
        <v/>
      </c>
    </row>
    <row r="662" customFormat="false" ht="15" hidden="false" customHeight="false" outlineLevel="0" collapsed="false">
      <c r="A662" s="22"/>
      <c r="B662" s="23"/>
      <c r="C662" s="23"/>
      <c r="D662" s="23"/>
      <c r="E662" s="24"/>
      <c r="F662" s="23"/>
      <c r="G662" s="23"/>
      <c r="H662" s="21" t="str">
        <f aca="false">IF(A662="","",DATE(YEAR(A662),MONTH(A662),1))</f>
        <v/>
      </c>
    </row>
    <row r="663" customFormat="false" ht="15" hidden="false" customHeight="false" outlineLevel="0" collapsed="false">
      <c r="A663" s="22"/>
      <c r="B663" s="23"/>
      <c r="C663" s="23"/>
      <c r="D663" s="23"/>
      <c r="E663" s="24"/>
      <c r="F663" s="23"/>
      <c r="G663" s="23"/>
      <c r="H663" s="21" t="str">
        <f aca="false">IF(A663="","",DATE(YEAR(A663),MONTH(A663),1))</f>
        <v/>
      </c>
    </row>
    <row r="664" customFormat="false" ht="15" hidden="false" customHeight="false" outlineLevel="0" collapsed="false">
      <c r="A664" s="22"/>
      <c r="B664" s="23"/>
      <c r="C664" s="23"/>
      <c r="D664" s="23"/>
      <c r="E664" s="24"/>
      <c r="F664" s="23"/>
      <c r="G664" s="23"/>
      <c r="H664" s="21" t="str">
        <f aca="false">IF(A664="","",DATE(YEAR(A664),MONTH(A664),1))</f>
        <v/>
      </c>
    </row>
    <row r="665" customFormat="false" ht="15" hidden="false" customHeight="false" outlineLevel="0" collapsed="false">
      <c r="A665" s="22"/>
      <c r="B665" s="23"/>
      <c r="C665" s="23"/>
      <c r="D665" s="23"/>
      <c r="E665" s="24"/>
      <c r="F665" s="23"/>
      <c r="G665" s="23"/>
      <c r="H665" s="21" t="str">
        <f aca="false">IF(A665="","",DATE(YEAR(A665),MONTH(A665),1))</f>
        <v/>
      </c>
    </row>
    <row r="666" customFormat="false" ht="15" hidden="false" customHeight="false" outlineLevel="0" collapsed="false">
      <c r="A666" s="22"/>
      <c r="B666" s="23"/>
      <c r="C666" s="23"/>
      <c r="D666" s="23"/>
      <c r="E666" s="24"/>
      <c r="F666" s="23"/>
      <c r="G666" s="23"/>
      <c r="H666" s="21" t="str">
        <f aca="false">IF(A666="","",DATE(YEAR(A666),MONTH(A666),1))</f>
        <v/>
      </c>
    </row>
    <row r="667" customFormat="false" ht="15" hidden="false" customHeight="false" outlineLevel="0" collapsed="false">
      <c r="A667" s="22"/>
      <c r="B667" s="23"/>
      <c r="C667" s="23"/>
      <c r="D667" s="23"/>
      <c r="E667" s="24"/>
      <c r="F667" s="23"/>
      <c r="G667" s="23"/>
      <c r="H667" s="21" t="str">
        <f aca="false">IF(A667="","",DATE(YEAR(A667),MONTH(A667),1))</f>
        <v/>
      </c>
    </row>
    <row r="668" customFormat="false" ht="15" hidden="false" customHeight="false" outlineLevel="0" collapsed="false">
      <c r="A668" s="22"/>
      <c r="B668" s="23"/>
      <c r="C668" s="23"/>
      <c r="D668" s="23"/>
      <c r="E668" s="24"/>
      <c r="F668" s="23"/>
      <c r="G668" s="23"/>
      <c r="H668" s="21" t="str">
        <f aca="false">IF(A668="","",DATE(YEAR(A668),MONTH(A668),1))</f>
        <v/>
      </c>
    </row>
    <row r="669" customFormat="false" ht="15" hidden="false" customHeight="false" outlineLevel="0" collapsed="false">
      <c r="A669" s="22"/>
      <c r="B669" s="23"/>
      <c r="C669" s="23"/>
      <c r="D669" s="23"/>
      <c r="E669" s="24"/>
      <c r="F669" s="23"/>
      <c r="G669" s="23"/>
      <c r="H669" s="21" t="str">
        <f aca="false">IF(A669="","",DATE(YEAR(A669),MONTH(A669),1))</f>
        <v/>
      </c>
    </row>
    <row r="670" customFormat="false" ht="15" hidden="false" customHeight="false" outlineLevel="0" collapsed="false">
      <c r="A670" s="22"/>
      <c r="B670" s="23"/>
      <c r="C670" s="23"/>
      <c r="D670" s="23"/>
      <c r="E670" s="24"/>
      <c r="F670" s="23"/>
      <c r="G670" s="23"/>
      <c r="H670" s="21" t="str">
        <f aca="false">IF(A670="","",DATE(YEAR(A670),MONTH(A670),1))</f>
        <v/>
      </c>
    </row>
    <row r="671" customFormat="false" ht="15" hidden="false" customHeight="false" outlineLevel="0" collapsed="false">
      <c r="A671" s="22"/>
      <c r="B671" s="23"/>
      <c r="C671" s="23"/>
      <c r="D671" s="23"/>
      <c r="E671" s="24"/>
      <c r="F671" s="23"/>
      <c r="G671" s="23"/>
      <c r="H671" s="21" t="str">
        <f aca="false">IF(A671="","",DATE(YEAR(A671),MONTH(A671),1))</f>
        <v/>
      </c>
    </row>
    <row r="672" customFormat="false" ht="15" hidden="false" customHeight="false" outlineLevel="0" collapsed="false">
      <c r="A672" s="22"/>
      <c r="B672" s="23"/>
      <c r="C672" s="23"/>
      <c r="D672" s="23"/>
      <c r="E672" s="24"/>
      <c r="F672" s="23"/>
      <c r="G672" s="23"/>
      <c r="H672" s="21" t="str">
        <f aca="false">IF(A672="","",DATE(YEAR(A672),MONTH(A672),1))</f>
        <v/>
      </c>
    </row>
    <row r="673" customFormat="false" ht="15" hidden="false" customHeight="false" outlineLevel="0" collapsed="false">
      <c r="A673" s="22"/>
      <c r="B673" s="23"/>
      <c r="C673" s="23"/>
      <c r="D673" s="23"/>
      <c r="E673" s="24"/>
      <c r="F673" s="23"/>
      <c r="G673" s="23"/>
      <c r="H673" s="21" t="str">
        <f aca="false">IF(A673="","",DATE(YEAR(A673),MONTH(A673),1))</f>
        <v/>
      </c>
    </row>
    <row r="674" customFormat="false" ht="15" hidden="false" customHeight="false" outlineLevel="0" collapsed="false">
      <c r="A674" s="22"/>
      <c r="B674" s="23"/>
      <c r="C674" s="23"/>
      <c r="D674" s="23"/>
      <c r="E674" s="24"/>
      <c r="F674" s="23"/>
      <c r="G674" s="23"/>
      <c r="H674" s="21" t="str">
        <f aca="false">IF(A674="","",DATE(YEAR(A674),MONTH(A674),1))</f>
        <v/>
      </c>
    </row>
    <row r="675" customFormat="false" ht="15" hidden="false" customHeight="false" outlineLevel="0" collapsed="false">
      <c r="A675" s="22"/>
      <c r="B675" s="23"/>
      <c r="C675" s="23"/>
      <c r="D675" s="23"/>
      <c r="E675" s="24"/>
      <c r="F675" s="23"/>
      <c r="G675" s="23"/>
      <c r="H675" s="21" t="str">
        <f aca="false">IF(A675="","",DATE(YEAR(A675),MONTH(A675),1))</f>
        <v/>
      </c>
    </row>
    <row r="676" customFormat="false" ht="15" hidden="false" customHeight="false" outlineLevel="0" collapsed="false">
      <c r="A676" s="22"/>
      <c r="B676" s="23"/>
      <c r="C676" s="23"/>
      <c r="D676" s="23"/>
      <c r="E676" s="24"/>
      <c r="F676" s="23"/>
      <c r="G676" s="23"/>
      <c r="H676" s="21" t="str">
        <f aca="false">IF(A676="","",DATE(YEAR(A676),MONTH(A676),1))</f>
        <v/>
      </c>
    </row>
    <row r="677" customFormat="false" ht="15" hidden="false" customHeight="false" outlineLevel="0" collapsed="false">
      <c r="A677" s="22"/>
      <c r="B677" s="23"/>
      <c r="C677" s="23"/>
      <c r="D677" s="23"/>
      <c r="E677" s="24"/>
      <c r="F677" s="23"/>
      <c r="G677" s="23"/>
      <c r="H677" s="21" t="str">
        <f aca="false">IF(A677="","",DATE(YEAR(A677),MONTH(A677),1))</f>
        <v/>
      </c>
    </row>
    <row r="678" customFormat="false" ht="15" hidden="false" customHeight="false" outlineLevel="0" collapsed="false">
      <c r="A678" s="22"/>
      <c r="B678" s="23"/>
      <c r="C678" s="23"/>
      <c r="D678" s="23"/>
      <c r="E678" s="24"/>
      <c r="F678" s="23"/>
      <c r="G678" s="23"/>
      <c r="H678" s="21" t="str">
        <f aca="false">IF(A678="","",DATE(YEAR(A678),MONTH(A678),1))</f>
        <v/>
      </c>
    </row>
    <row r="679" customFormat="false" ht="15" hidden="false" customHeight="false" outlineLevel="0" collapsed="false">
      <c r="A679" s="22"/>
      <c r="B679" s="23"/>
      <c r="C679" s="23"/>
      <c r="D679" s="23"/>
      <c r="E679" s="24"/>
      <c r="F679" s="23"/>
      <c r="G679" s="23"/>
      <c r="H679" s="21" t="str">
        <f aca="false">IF(A679="","",DATE(YEAR(A679),MONTH(A679),1))</f>
        <v/>
      </c>
    </row>
    <row r="680" customFormat="false" ht="15" hidden="false" customHeight="false" outlineLevel="0" collapsed="false">
      <c r="A680" s="22"/>
      <c r="B680" s="23"/>
      <c r="C680" s="23"/>
      <c r="D680" s="23"/>
      <c r="E680" s="24"/>
      <c r="F680" s="23"/>
      <c r="G680" s="23"/>
      <c r="H680" s="21" t="str">
        <f aca="false">IF(A680="","",DATE(YEAR(A680),MONTH(A680),1))</f>
        <v/>
      </c>
    </row>
    <row r="681" customFormat="false" ht="15" hidden="false" customHeight="false" outlineLevel="0" collapsed="false">
      <c r="A681" s="22"/>
      <c r="B681" s="23"/>
      <c r="C681" s="23"/>
      <c r="D681" s="23"/>
      <c r="E681" s="24"/>
      <c r="F681" s="23"/>
      <c r="G681" s="23"/>
      <c r="H681" s="21" t="str">
        <f aca="false">IF(A681="","",DATE(YEAR(A681),MONTH(A681),1))</f>
        <v/>
      </c>
    </row>
    <row r="682" customFormat="false" ht="15" hidden="false" customHeight="false" outlineLevel="0" collapsed="false">
      <c r="A682" s="22"/>
      <c r="B682" s="23"/>
      <c r="C682" s="23"/>
      <c r="D682" s="23"/>
      <c r="E682" s="24"/>
      <c r="F682" s="23"/>
      <c r="G682" s="23"/>
      <c r="H682" s="21" t="str">
        <f aca="false">IF(A682="","",DATE(YEAR(A682),MONTH(A682),1))</f>
        <v/>
      </c>
    </row>
    <row r="683" customFormat="false" ht="15" hidden="false" customHeight="false" outlineLevel="0" collapsed="false">
      <c r="A683" s="22"/>
      <c r="B683" s="23"/>
      <c r="C683" s="23"/>
      <c r="D683" s="23"/>
      <c r="E683" s="24"/>
      <c r="F683" s="23"/>
      <c r="G683" s="23"/>
      <c r="H683" s="21" t="str">
        <f aca="false">IF(A683="","",DATE(YEAR(A683),MONTH(A683),1))</f>
        <v/>
      </c>
    </row>
    <row r="684" customFormat="false" ht="15" hidden="false" customHeight="false" outlineLevel="0" collapsed="false">
      <c r="A684" s="22"/>
      <c r="B684" s="23"/>
      <c r="C684" s="23"/>
      <c r="D684" s="23"/>
      <c r="E684" s="24"/>
      <c r="F684" s="23"/>
      <c r="G684" s="23"/>
      <c r="H684" s="21" t="str">
        <f aca="false">IF(A684="","",DATE(YEAR(A684),MONTH(A684),1))</f>
        <v/>
      </c>
    </row>
    <row r="685" customFormat="false" ht="15" hidden="false" customHeight="false" outlineLevel="0" collapsed="false">
      <c r="A685" s="22"/>
      <c r="B685" s="23"/>
      <c r="C685" s="23"/>
      <c r="D685" s="23"/>
      <c r="E685" s="24"/>
      <c r="F685" s="23"/>
      <c r="G685" s="23"/>
      <c r="H685" s="21" t="str">
        <f aca="false">IF(A685="","",DATE(YEAR(A685),MONTH(A685),1))</f>
        <v/>
      </c>
    </row>
    <row r="686" customFormat="false" ht="15" hidden="false" customHeight="false" outlineLevel="0" collapsed="false">
      <c r="A686" s="22"/>
      <c r="B686" s="23"/>
      <c r="C686" s="23"/>
      <c r="D686" s="23"/>
      <c r="E686" s="24"/>
      <c r="F686" s="23"/>
      <c r="G686" s="23"/>
      <c r="H686" s="21" t="str">
        <f aca="false">IF(A686="","",DATE(YEAR(A686),MONTH(A686),1))</f>
        <v/>
      </c>
    </row>
    <row r="687" customFormat="false" ht="15" hidden="false" customHeight="false" outlineLevel="0" collapsed="false">
      <c r="A687" s="22"/>
      <c r="B687" s="23"/>
      <c r="C687" s="23"/>
      <c r="D687" s="23"/>
      <c r="E687" s="24"/>
      <c r="F687" s="23"/>
      <c r="G687" s="23"/>
      <c r="H687" s="21" t="str">
        <f aca="false">IF(A687="","",DATE(YEAR(A687),MONTH(A687),1))</f>
        <v/>
      </c>
    </row>
    <row r="688" customFormat="false" ht="15" hidden="false" customHeight="false" outlineLevel="0" collapsed="false">
      <c r="A688" s="22"/>
      <c r="B688" s="23"/>
      <c r="C688" s="23"/>
      <c r="D688" s="23"/>
      <c r="E688" s="24"/>
      <c r="F688" s="23"/>
      <c r="G688" s="23"/>
      <c r="H688" s="21" t="str">
        <f aca="false">IF(A688="","",DATE(YEAR(A688),MONTH(A688),1))</f>
        <v/>
      </c>
    </row>
    <row r="689" customFormat="false" ht="15" hidden="false" customHeight="false" outlineLevel="0" collapsed="false">
      <c r="A689" s="22"/>
      <c r="B689" s="23"/>
      <c r="C689" s="23"/>
      <c r="D689" s="23"/>
      <c r="E689" s="24"/>
      <c r="F689" s="23"/>
      <c r="G689" s="23"/>
      <c r="H689" s="21" t="str">
        <f aca="false">IF(A689="","",DATE(YEAR(A689),MONTH(A689),1))</f>
        <v/>
      </c>
    </row>
    <row r="690" customFormat="false" ht="15" hidden="false" customHeight="false" outlineLevel="0" collapsed="false">
      <c r="A690" s="22"/>
      <c r="B690" s="23"/>
      <c r="C690" s="23"/>
      <c r="D690" s="23"/>
      <c r="E690" s="24"/>
      <c r="F690" s="23"/>
      <c r="G690" s="23"/>
      <c r="H690" s="21" t="str">
        <f aca="false">IF(A690="","",DATE(YEAR(A690),MONTH(A690),1))</f>
        <v/>
      </c>
    </row>
    <row r="691" customFormat="false" ht="15" hidden="false" customHeight="false" outlineLevel="0" collapsed="false">
      <c r="A691" s="22"/>
      <c r="B691" s="23"/>
      <c r="C691" s="23"/>
      <c r="D691" s="23"/>
      <c r="E691" s="24"/>
      <c r="F691" s="23"/>
      <c r="G691" s="23"/>
      <c r="H691" s="21" t="str">
        <f aca="false">IF(A691="","",DATE(YEAR(A691),MONTH(A691),1))</f>
        <v/>
      </c>
    </row>
    <row r="692" customFormat="false" ht="15" hidden="false" customHeight="false" outlineLevel="0" collapsed="false">
      <c r="A692" s="22"/>
      <c r="B692" s="23"/>
      <c r="C692" s="23"/>
      <c r="D692" s="23"/>
      <c r="E692" s="24"/>
      <c r="F692" s="23"/>
      <c r="G692" s="23"/>
      <c r="H692" s="21" t="str">
        <f aca="false">IF(A692="","",DATE(YEAR(A692),MONTH(A692),1))</f>
        <v/>
      </c>
    </row>
    <row r="693" customFormat="false" ht="15" hidden="false" customHeight="false" outlineLevel="0" collapsed="false">
      <c r="A693" s="22"/>
      <c r="B693" s="23"/>
      <c r="C693" s="23"/>
      <c r="D693" s="23"/>
      <c r="E693" s="24"/>
      <c r="F693" s="23"/>
      <c r="G693" s="23"/>
      <c r="H693" s="21" t="str">
        <f aca="false">IF(A693="","",DATE(YEAR(A693),MONTH(A693),1))</f>
        <v/>
      </c>
    </row>
    <row r="694" customFormat="false" ht="15" hidden="false" customHeight="false" outlineLevel="0" collapsed="false">
      <c r="A694" s="22"/>
      <c r="B694" s="23"/>
      <c r="C694" s="23"/>
      <c r="D694" s="23"/>
      <c r="E694" s="24"/>
      <c r="F694" s="23"/>
      <c r="G694" s="23"/>
      <c r="H694" s="21" t="str">
        <f aca="false">IF(A694="","",DATE(YEAR(A694),MONTH(A694),1))</f>
        <v/>
      </c>
    </row>
    <row r="695" customFormat="false" ht="15" hidden="false" customHeight="false" outlineLevel="0" collapsed="false">
      <c r="A695" s="22"/>
      <c r="B695" s="23"/>
      <c r="C695" s="23"/>
      <c r="D695" s="23"/>
      <c r="E695" s="24"/>
      <c r="F695" s="23"/>
      <c r="G695" s="23"/>
      <c r="H695" s="21" t="str">
        <f aca="false">IF(A695="","",DATE(YEAR(A695),MONTH(A695),1))</f>
        <v/>
      </c>
    </row>
    <row r="696" customFormat="false" ht="15" hidden="false" customHeight="false" outlineLevel="0" collapsed="false">
      <c r="A696" s="22"/>
      <c r="B696" s="23"/>
      <c r="C696" s="23"/>
      <c r="D696" s="23"/>
      <c r="E696" s="24"/>
      <c r="F696" s="23"/>
      <c r="G696" s="23"/>
      <c r="H696" s="21" t="str">
        <f aca="false">IF(A696="","",DATE(YEAR(A696),MONTH(A696),1))</f>
        <v/>
      </c>
    </row>
    <row r="697" customFormat="false" ht="15" hidden="false" customHeight="false" outlineLevel="0" collapsed="false">
      <c r="A697" s="22"/>
      <c r="B697" s="23"/>
      <c r="C697" s="23"/>
      <c r="D697" s="23"/>
      <c r="E697" s="24"/>
      <c r="F697" s="23"/>
      <c r="G697" s="23"/>
      <c r="H697" s="21" t="str">
        <f aca="false">IF(A697="","",DATE(YEAR(A697),MONTH(A697),1))</f>
        <v/>
      </c>
    </row>
    <row r="698" customFormat="false" ht="15" hidden="false" customHeight="false" outlineLevel="0" collapsed="false">
      <c r="A698" s="22"/>
      <c r="B698" s="23"/>
      <c r="C698" s="23"/>
      <c r="D698" s="23"/>
      <c r="E698" s="24"/>
      <c r="F698" s="23"/>
      <c r="G698" s="23"/>
      <c r="H698" s="21" t="str">
        <f aca="false">IF(A698="","",DATE(YEAR(A698),MONTH(A698),1))</f>
        <v/>
      </c>
    </row>
    <row r="699" customFormat="false" ht="15" hidden="false" customHeight="false" outlineLevel="0" collapsed="false">
      <c r="A699" s="22"/>
      <c r="B699" s="23"/>
      <c r="C699" s="23"/>
      <c r="D699" s="23"/>
      <c r="E699" s="24"/>
      <c r="F699" s="23"/>
      <c r="G699" s="23"/>
      <c r="H699" s="21" t="str">
        <f aca="false">IF(A699="","",DATE(YEAR(A699),MONTH(A699),1))</f>
        <v/>
      </c>
    </row>
    <row r="700" customFormat="false" ht="15" hidden="false" customHeight="false" outlineLevel="0" collapsed="false">
      <c r="A700" s="22"/>
      <c r="B700" s="23"/>
      <c r="C700" s="23"/>
      <c r="D700" s="23"/>
      <c r="E700" s="24"/>
      <c r="F700" s="23"/>
      <c r="G700" s="23"/>
      <c r="H700" s="21" t="str">
        <f aca="false">IF(A700="","",DATE(YEAR(A700),MONTH(A700),1))</f>
        <v/>
      </c>
    </row>
    <row r="701" customFormat="false" ht="15" hidden="false" customHeight="false" outlineLevel="0" collapsed="false">
      <c r="A701" s="22"/>
      <c r="B701" s="23"/>
      <c r="C701" s="23"/>
      <c r="D701" s="23"/>
      <c r="E701" s="24"/>
      <c r="F701" s="23"/>
      <c r="G701" s="23"/>
      <c r="H701" s="21" t="str">
        <f aca="false">IF(A701="","",DATE(YEAR(A701),MONTH(A701),1))</f>
        <v/>
      </c>
    </row>
    <row r="702" customFormat="false" ht="15" hidden="false" customHeight="false" outlineLevel="0" collapsed="false">
      <c r="A702" s="22"/>
      <c r="B702" s="23"/>
      <c r="C702" s="23"/>
      <c r="D702" s="23"/>
      <c r="E702" s="24"/>
      <c r="F702" s="23"/>
      <c r="G702" s="23"/>
      <c r="H702" s="21" t="str">
        <f aca="false">IF(A702="","",DATE(YEAR(A702),MONTH(A702),1))</f>
        <v/>
      </c>
    </row>
    <row r="703" customFormat="false" ht="15" hidden="false" customHeight="false" outlineLevel="0" collapsed="false">
      <c r="A703" s="22"/>
      <c r="B703" s="23"/>
      <c r="C703" s="23"/>
      <c r="D703" s="23"/>
      <c r="E703" s="24"/>
      <c r="F703" s="23"/>
      <c r="G703" s="23"/>
      <c r="H703" s="21" t="str">
        <f aca="false">IF(A703="","",DATE(YEAR(A703),MONTH(A703),1))</f>
        <v/>
      </c>
    </row>
    <row r="704" customFormat="false" ht="15" hidden="false" customHeight="false" outlineLevel="0" collapsed="false">
      <c r="A704" s="22"/>
      <c r="B704" s="23"/>
      <c r="C704" s="23"/>
      <c r="D704" s="23"/>
      <c r="E704" s="24"/>
      <c r="F704" s="23"/>
      <c r="G704" s="23"/>
      <c r="H704" s="21" t="str">
        <f aca="false">IF(A704="","",DATE(YEAR(A704),MONTH(A704),1))</f>
        <v/>
      </c>
    </row>
    <row r="705" customFormat="false" ht="15" hidden="false" customHeight="false" outlineLevel="0" collapsed="false">
      <c r="A705" s="22"/>
      <c r="B705" s="23"/>
      <c r="C705" s="23"/>
      <c r="D705" s="23"/>
      <c r="E705" s="24"/>
      <c r="F705" s="23"/>
      <c r="G705" s="23"/>
      <c r="H705" s="21" t="str">
        <f aca="false">IF(A705="","",DATE(YEAR(A705),MONTH(A705),1))</f>
        <v/>
      </c>
    </row>
    <row r="706" customFormat="false" ht="15" hidden="false" customHeight="false" outlineLevel="0" collapsed="false">
      <c r="A706" s="22"/>
      <c r="B706" s="23"/>
      <c r="C706" s="23"/>
      <c r="D706" s="23"/>
      <c r="E706" s="24"/>
      <c r="F706" s="23"/>
      <c r="G706" s="23"/>
      <c r="H706" s="21" t="str">
        <f aca="false">IF(A706="","",DATE(YEAR(A706),MONTH(A706),1))</f>
        <v/>
      </c>
    </row>
    <row r="707" customFormat="false" ht="15" hidden="false" customHeight="false" outlineLevel="0" collapsed="false">
      <c r="A707" s="22"/>
      <c r="B707" s="23"/>
      <c r="C707" s="23"/>
      <c r="D707" s="23"/>
      <c r="E707" s="24"/>
      <c r="F707" s="23"/>
      <c r="G707" s="23"/>
      <c r="H707" s="21" t="str">
        <f aca="false">IF(A707="","",DATE(YEAR(A707),MONTH(A707),1))</f>
        <v/>
      </c>
    </row>
    <row r="708" customFormat="false" ht="15" hidden="false" customHeight="false" outlineLevel="0" collapsed="false">
      <c r="A708" s="22"/>
      <c r="B708" s="23"/>
      <c r="C708" s="23"/>
      <c r="D708" s="23"/>
      <c r="E708" s="24"/>
      <c r="F708" s="23"/>
      <c r="G708" s="23"/>
      <c r="H708" s="21" t="str">
        <f aca="false">IF(A708="","",DATE(YEAR(A708),MONTH(A708),1))</f>
        <v/>
      </c>
    </row>
    <row r="709" customFormat="false" ht="15" hidden="false" customHeight="false" outlineLevel="0" collapsed="false">
      <c r="A709" s="22"/>
      <c r="B709" s="23"/>
      <c r="C709" s="23"/>
      <c r="D709" s="23"/>
      <c r="E709" s="24"/>
      <c r="F709" s="23"/>
      <c r="G709" s="23"/>
      <c r="H709" s="21" t="str">
        <f aca="false">IF(A709="","",DATE(YEAR(A709),MONTH(A709),1))</f>
        <v/>
      </c>
    </row>
    <row r="710" customFormat="false" ht="15" hidden="false" customHeight="false" outlineLevel="0" collapsed="false">
      <c r="A710" s="22"/>
      <c r="B710" s="23"/>
      <c r="C710" s="23"/>
      <c r="D710" s="23"/>
      <c r="E710" s="24"/>
      <c r="F710" s="23"/>
      <c r="G710" s="23"/>
      <c r="H710" s="21" t="str">
        <f aca="false">IF(A710="","",DATE(YEAR(A710),MONTH(A710),1))</f>
        <v/>
      </c>
    </row>
    <row r="711" customFormat="false" ht="15" hidden="false" customHeight="false" outlineLevel="0" collapsed="false">
      <c r="A711" s="22"/>
      <c r="B711" s="23"/>
      <c r="C711" s="23"/>
      <c r="D711" s="23"/>
      <c r="E711" s="24"/>
      <c r="F711" s="23"/>
      <c r="G711" s="23"/>
      <c r="H711" s="21" t="str">
        <f aca="false">IF(A711="","",DATE(YEAR(A711),MONTH(A711),1))</f>
        <v/>
      </c>
    </row>
    <row r="712" customFormat="false" ht="15" hidden="false" customHeight="false" outlineLevel="0" collapsed="false">
      <c r="A712" s="22"/>
      <c r="B712" s="23"/>
      <c r="C712" s="23"/>
      <c r="D712" s="23"/>
      <c r="E712" s="24"/>
      <c r="F712" s="23"/>
      <c r="G712" s="23"/>
      <c r="H712" s="21" t="str">
        <f aca="false">IF(A712="","",DATE(YEAR(A712),MONTH(A712),1))</f>
        <v/>
      </c>
    </row>
    <row r="713" customFormat="false" ht="15" hidden="false" customHeight="false" outlineLevel="0" collapsed="false">
      <c r="A713" s="22"/>
      <c r="B713" s="23"/>
      <c r="C713" s="23"/>
      <c r="D713" s="23"/>
      <c r="E713" s="24"/>
      <c r="F713" s="23"/>
      <c r="G713" s="23"/>
      <c r="H713" s="21" t="str">
        <f aca="false">IF(A713="","",DATE(YEAR(A713),MONTH(A713),1))</f>
        <v/>
      </c>
    </row>
    <row r="714" customFormat="false" ht="15" hidden="false" customHeight="false" outlineLevel="0" collapsed="false">
      <c r="A714" s="22"/>
      <c r="B714" s="23"/>
      <c r="C714" s="23"/>
      <c r="D714" s="23"/>
      <c r="E714" s="24"/>
      <c r="F714" s="23"/>
      <c r="G714" s="23"/>
      <c r="H714" s="21" t="str">
        <f aca="false">IF(A714="","",DATE(YEAR(A714),MONTH(A714),1))</f>
        <v/>
      </c>
    </row>
    <row r="715" customFormat="false" ht="15" hidden="false" customHeight="false" outlineLevel="0" collapsed="false">
      <c r="A715" s="22"/>
      <c r="B715" s="23"/>
      <c r="C715" s="23"/>
      <c r="D715" s="23"/>
      <c r="E715" s="24"/>
      <c r="F715" s="23"/>
      <c r="G715" s="23"/>
      <c r="H715" s="21" t="str">
        <f aca="false">IF(A715="","",DATE(YEAR(A715),MONTH(A715),1))</f>
        <v/>
      </c>
    </row>
    <row r="716" customFormat="false" ht="15" hidden="false" customHeight="false" outlineLevel="0" collapsed="false">
      <c r="A716" s="22"/>
      <c r="B716" s="23"/>
      <c r="C716" s="23"/>
      <c r="D716" s="23"/>
      <c r="E716" s="24"/>
      <c r="F716" s="23"/>
      <c r="G716" s="23"/>
      <c r="H716" s="21" t="str">
        <f aca="false">IF(A716="","",DATE(YEAR(A716),MONTH(A716),1))</f>
        <v/>
      </c>
    </row>
    <row r="717" customFormat="false" ht="15" hidden="false" customHeight="false" outlineLevel="0" collapsed="false">
      <c r="A717" s="22"/>
      <c r="B717" s="23"/>
      <c r="C717" s="23"/>
      <c r="D717" s="23"/>
      <c r="E717" s="24"/>
      <c r="F717" s="23"/>
      <c r="G717" s="23"/>
      <c r="H717" s="21" t="str">
        <f aca="false">IF(A717="","",DATE(YEAR(A717),MONTH(A717),1))</f>
        <v/>
      </c>
    </row>
    <row r="718" customFormat="false" ht="15" hidden="false" customHeight="false" outlineLevel="0" collapsed="false">
      <c r="A718" s="22"/>
      <c r="B718" s="23"/>
      <c r="C718" s="23"/>
      <c r="D718" s="23"/>
      <c r="E718" s="24"/>
      <c r="F718" s="23"/>
      <c r="G718" s="23"/>
      <c r="H718" s="21" t="str">
        <f aca="false">IF(A718="","",DATE(YEAR(A718),MONTH(A718),1))</f>
        <v/>
      </c>
    </row>
    <row r="719" customFormat="false" ht="15" hidden="false" customHeight="false" outlineLevel="0" collapsed="false">
      <c r="A719" s="22"/>
      <c r="B719" s="23"/>
      <c r="C719" s="23"/>
      <c r="D719" s="23"/>
      <c r="E719" s="24"/>
      <c r="F719" s="23"/>
      <c r="G719" s="23"/>
      <c r="H719" s="21" t="str">
        <f aca="false">IF(A719="","",DATE(YEAR(A719),MONTH(A719),1))</f>
        <v/>
      </c>
    </row>
    <row r="720" customFormat="false" ht="15" hidden="false" customHeight="false" outlineLevel="0" collapsed="false">
      <c r="A720" s="22"/>
      <c r="B720" s="23"/>
      <c r="C720" s="23"/>
      <c r="D720" s="23"/>
      <c r="E720" s="24"/>
      <c r="F720" s="23"/>
      <c r="G720" s="23"/>
      <c r="H720" s="21" t="str">
        <f aca="false">IF(A720="","",DATE(YEAR(A720),MONTH(A720),1))</f>
        <v/>
      </c>
    </row>
    <row r="721" customFormat="false" ht="15" hidden="false" customHeight="false" outlineLevel="0" collapsed="false">
      <c r="A721" s="22"/>
      <c r="B721" s="23"/>
      <c r="C721" s="23"/>
      <c r="D721" s="23"/>
      <c r="E721" s="24"/>
      <c r="F721" s="23"/>
      <c r="G721" s="23"/>
      <c r="H721" s="21" t="str">
        <f aca="false">IF(A721="","",DATE(YEAR(A721),MONTH(A721),1))</f>
        <v/>
      </c>
    </row>
    <row r="722" customFormat="false" ht="15" hidden="false" customHeight="false" outlineLevel="0" collapsed="false">
      <c r="A722" s="22"/>
      <c r="B722" s="23"/>
      <c r="C722" s="23"/>
      <c r="D722" s="23"/>
      <c r="E722" s="24"/>
      <c r="F722" s="23"/>
      <c r="G722" s="23"/>
      <c r="H722" s="21" t="str">
        <f aca="false">IF(A722="","",DATE(YEAR(A722),MONTH(A722),1))</f>
        <v/>
      </c>
    </row>
    <row r="723" customFormat="false" ht="15" hidden="false" customHeight="false" outlineLevel="0" collapsed="false">
      <c r="A723" s="22"/>
      <c r="B723" s="23"/>
      <c r="C723" s="23"/>
      <c r="D723" s="23"/>
      <c r="E723" s="24"/>
      <c r="F723" s="23"/>
      <c r="G723" s="23"/>
      <c r="H723" s="21" t="str">
        <f aca="false">IF(A723="","",DATE(YEAR(A723),MONTH(A723),1))</f>
        <v/>
      </c>
    </row>
    <row r="724" customFormat="false" ht="15" hidden="false" customHeight="false" outlineLevel="0" collapsed="false">
      <c r="A724" s="22"/>
      <c r="B724" s="23"/>
      <c r="C724" s="23"/>
      <c r="D724" s="23"/>
      <c r="E724" s="24"/>
      <c r="F724" s="23"/>
      <c r="G724" s="23"/>
      <c r="H724" s="21" t="str">
        <f aca="false">IF(A724="","",DATE(YEAR(A724),MONTH(A724),1))</f>
        <v/>
      </c>
    </row>
    <row r="725" customFormat="false" ht="15" hidden="false" customHeight="false" outlineLevel="0" collapsed="false">
      <c r="A725" s="22"/>
      <c r="B725" s="23"/>
      <c r="C725" s="23"/>
      <c r="D725" s="23"/>
      <c r="E725" s="24"/>
      <c r="F725" s="23"/>
      <c r="G725" s="23"/>
      <c r="H725" s="21" t="str">
        <f aca="false">IF(A725="","",DATE(YEAR(A725),MONTH(A725),1))</f>
        <v/>
      </c>
    </row>
    <row r="726" customFormat="false" ht="15" hidden="false" customHeight="false" outlineLevel="0" collapsed="false">
      <c r="A726" s="22"/>
      <c r="B726" s="23"/>
      <c r="C726" s="23"/>
      <c r="D726" s="23"/>
      <c r="E726" s="24"/>
      <c r="F726" s="23"/>
      <c r="G726" s="23"/>
      <c r="H726" s="21" t="str">
        <f aca="false">IF(A726="","",DATE(YEAR(A726),MONTH(A726),1))</f>
        <v/>
      </c>
    </row>
    <row r="727" customFormat="false" ht="15" hidden="false" customHeight="false" outlineLevel="0" collapsed="false">
      <c r="A727" s="22"/>
      <c r="B727" s="23"/>
      <c r="C727" s="23"/>
      <c r="D727" s="23"/>
      <c r="E727" s="24"/>
      <c r="F727" s="23"/>
      <c r="G727" s="23"/>
      <c r="H727" s="21" t="str">
        <f aca="false">IF(A727="","",DATE(YEAR(A727),MONTH(A727),1))</f>
        <v/>
      </c>
    </row>
    <row r="728" customFormat="false" ht="15" hidden="false" customHeight="false" outlineLevel="0" collapsed="false">
      <c r="A728" s="22"/>
      <c r="B728" s="23"/>
      <c r="C728" s="23"/>
      <c r="D728" s="23"/>
      <c r="E728" s="24"/>
      <c r="F728" s="23"/>
      <c r="G728" s="23"/>
      <c r="H728" s="21" t="str">
        <f aca="false">IF(A728="","",DATE(YEAR(A728),MONTH(A728),1))</f>
        <v/>
      </c>
    </row>
    <row r="729" customFormat="false" ht="15" hidden="false" customHeight="false" outlineLevel="0" collapsed="false">
      <c r="A729" s="22"/>
      <c r="B729" s="23"/>
      <c r="C729" s="23"/>
      <c r="D729" s="23"/>
      <c r="E729" s="24"/>
      <c r="F729" s="23"/>
      <c r="G729" s="23"/>
      <c r="H729" s="21" t="str">
        <f aca="false">IF(A729="","",DATE(YEAR(A729),MONTH(A729),1))</f>
        <v/>
      </c>
    </row>
    <row r="730" customFormat="false" ht="15" hidden="false" customHeight="false" outlineLevel="0" collapsed="false">
      <c r="A730" s="22"/>
      <c r="B730" s="23"/>
      <c r="C730" s="23"/>
      <c r="D730" s="23"/>
      <c r="E730" s="24"/>
      <c r="F730" s="23"/>
      <c r="G730" s="23"/>
      <c r="H730" s="21" t="str">
        <f aca="false">IF(A730="","",DATE(YEAR(A730),MONTH(A730),1))</f>
        <v/>
      </c>
    </row>
    <row r="731" customFormat="false" ht="15" hidden="false" customHeight="false" outlineLevel="0" collapsed="false">
      <c r="A731" s="22"/>
      <c r="B731" s="23"/>
      <c r="C731" s="23"/>
      <c r="D731" s="23"/>
      <c r="E731" s="24"/>
      <c r="F731" s="23"/>
      <c r="G731" s="23"/>
      <c r="H731" s="21" t="str">
        <f aca="false">IF(A731="","",DATE(YEAR(A731),MONTH(A731),1))</f>
        <v/>
      </c>
    </row>
    <row r="732" customFormat="false" ht="15" hidden="false" customHeight="false" outlineLevel="0" collapsed="false">
      <c r="A732" s="22"/>
      <c r="B732" s="23"/>
      <c r="C732" s="23"/>
      <c r="D732" s="23"/>
      <c r="E732" s="24"/>
      <c r="F732" s="23"/>
      <c r="G732" s="23"/>
      <c r="H732" s="21" t="str">
        <f aca="false">IF(A732="","",DATE(YEAR(A732),MONTH(A732),1))</f>
        <v/>
      </c>
    </row>
    <row r="733" customFormat="false" ht="15" hidden="false" customHeight="false" outlineLevel="0" collapsed="false">
      <c r="A733" s="22"/>
      <c r="B733" s="23"/>
      <c r="C733" s="23"/>
      <c r="D733" s="23"/>
      <c r="E733" s="24"/>
      <c r="F733" s="23"/>
      <c r="G733" s="23"/>
      <c r="H733" s="21" t="str">
        <f aca="false">IF(A733="","",DATE(YEAR(A733),MONTH(A733),1))</f>
        <v/>
      </c>
    </row>
    <row r="734" customFormat="false" ht="15" hidden="false" customHeight="false" outlineLevel="0" collapsed="false">
      <c r="A734" s="22"/>
      <c r="B734" s="23"/>
      <c r="C734" s="23"/>
      <c r="D734" s="23"/>
      <c r="E734" s="24"/>
      <c r="F734" s="23"/>
      <c r="G734" s="23"/>
      <c r="H734" s="21" t="str">
        <f aca="false">IF(A734="","",DATE(YEAR(A734),MONTH(A734),1))</f>
        <v/>
      </c>
    </row>
    <row r="735" customFormat="false" ht="15" hidden="false" customHeight="false" outlineLevel="0" collapsed="false">
      <c r="A735" s="22"/>
      <c r="B735" s="23"/>
      <c r="C735" s="23"/>
      <c r="D735" s="23"/>
      <c r="E735" s="24"/>
      <c r="F735" s="23"/>
      <c r="G735" s="23"/>
      <c r="H735" s="21" t="str">
        <f aca="false">IF(A735="","",DATE(YEAR(A735),MONTH(A735),1))</f>
        <v/>
      </c>
    </row>
    <row r="736" customFormat="false" ht="15" hidden="false" customHeight="false" outlineLevel="0" collapsed="false">
      <c r="A736" s="22"/>
      <c r="B736" s="23"/>
      <c r="C736" s="23"/>
      <c r="D736" s="23"/>
      <c r="E736" s="24"/>
      <c r="F736" s="23"/>
      <c r="G736" s="23"/>
      <c r="H736" s="21" t="str">
        <f aca="false">IF(A736="","",DATE(YEAR(A736),MONTH(A736),1))</f>
        <v/>
      </c>
    </row>
    <row r="737" customFormat="false" ht="15" hidden="false" customHeight="false" outlineLevel="0" collapsed="false">
      <c r="A737" s="22"/>
      <c r="B737" s="23"/>
      <c r="C737" s="23"/>
      <c r="D737" s="23"/>
      <c r="E737" s="24"/>
      <c r="F737" s="23"/>
      <c r="G737" s="23"/>
      <c r="H737" s="21" t="str">
        <f aca="false">IF(A737="","",DATE(YEAR(A737),MONTH(A737),1))</f>
        <v/>
      </c>
    </row>
    <row r="738" customFormat="false" ht="15" hidden="false" customHeight="false" outlineLevel="0" collapsed="false">
      <c r="A738" s="22"/>
      <c r="B738" s="23"/>
      <c r="C738" s="23"/>
      <c r="D738" s="23"/>
      <c r="E738" s="24"/>
      <c r="F738" s="23"/>
      <c r="G738" s="23"/>
      <c r="H738" s="21" t="str">
        <f aca="false">IF(A738="","",DATE(YEAR(A738),MONTH(A738),1))</f>
        <v/>
      </c>
    </row>
    <row r="739" customFormat="false" ht="15" hidden="false" customHeight="false" outlineLevel="0" collapsed="false">
      <c r="A739" s="22"/>
      <c r="B739" s="23"/>
      <c r="C739" s="23"/>
      <c r="D739" s="23"/>
      <c r="E739" s="24"/>
      <c r="F739" s="23"/>
      <c r="G739" s="23"/>
      <c r="H739" s="21" t="str">
        <f aca="false">IF(A739="","",DATE(YEAR(A739),MONTH(A739),1))</f>
        <v/>
      </c>
    </row>
    <row r="740" customFormat="false" ht="15" hidden="false" customHeight="false" outlineLevel="0" collapsed="false">
      <c r="A740" s="22"/>
      <c r="B740" s="23"/>
      <c r="C740" s="23"/>
      <c r="D740" s="23"/>
      <c r="E740" s="24"/>
      <c r="F740" s="23"/>
      <c r="G740" s="23"/>
      <c r="H740" s="21" t="str">
        <f aca="false">IF(A740="","",DATE(YEAR(A740),MONTH(A740),1))</f>
        <v/>
      </c>
    </row>
    <row r="741" customFormat="false" ht="15" hidden="false" customHeight="false" outlineLevel="0" collapsed="false">
      <c r="A741" s="22"/>
      <c r="B741" s="23"/>
      <c r="C741" s="23"/>
      <c r="D741" s="23"/>
      <c r="E741" s="24"/>
      <c r="F741" s="23"/>
      <c r="G741" s="23"/>
      <c r="H741" s="21" t="str">
        <f aca="false">IF(A741="","",DATE(YEAR(A741),MONTH(A741),1))</f>
        <v/>
      </c>
    </row>
    <row r="742" customFormat="false" ht="15" hidden="false" customHeight="false" outlineLevel="0" collapsed="false">
      <c r="A742" s="22"/>
      <c r="B742" s="23"/>
      <c r="C742" s="23"/>
      <c r="D742" s="23"/>
      <c r="E742" s="24"/>
      <c r="F742" s="23"/>
      <c r="G742" s="23"/>
      <c r="H742" s="21" t="str">
        <f aca="false">IF(A742="","",DATE(YEAR(A742),MONTH(A742),1))</f>
        <v/>
      </c>
    </row>
    <row r="743" customFormat="false" ht="15" hidden="false" customHeight="false" outlineLevel="0" collapsed="false">
      <c r="A743" s="22"/>
      <c r="B743" s="23"/>
      <c r="C743" s="23"/>
      <c r="D743" s="23"/>
      <c r="E743" s="24"/>
      <c r="F743" s="23"/>
      <c r="G743" s="23"/>
      <c r="H743" s="21" t="str">
        <f aca="false">IF(A743="","",DATE(YEAR(A743),MONTH(A743),1))</f>
        <v/>
      </c>
    </row>
    <row r="744" customFormat="false" ht="15" hidden="false" customHeight="false" outlineLevel="0" collapsed="false">
      <c r="A744" s="22"/>
      <c r="B744" s="23"/>
      <c r="C744" s="23"/>
      <c r="D744" s="23"/>
      <c r="E744" s="24"/>
      <c r="F744" s="23"/>
      <c r="G744" s="23"/>
      <c r="H744" s="21" t="str">
        <f aca="false">IF(A744="","",DATE(YEAR(A744),MONTH(A744),1))</f>
        <v/>
      </c>
    </row>
    <row r="745" customFormat="false" ht="15" hidden="false" customHeight="false" outlineLevel="0" collapsed="false">
      <c r="A745" s="22"/>
      <c r="B745" s="23"/>
      <c r="C745" s="23"/>
      <c r="D745" s="23"/>
      <c r="E745" s="24"/>
      <c r="F745" s="23"/>
      <c r="G745" s="23"/>
      <c r="H745" s="21" t="str">
        <f aca="false">IF(A745="","",DATE(YEAR(A745),MONTH(A745),1))</f>
        <v/>
      </c>
    </row>
    <row r="746" customFormat="false" ht="15" hidden="false" customHeight="false" outlineLevel="0" collapsed="false">
      <c r="A746" s="22"/>
      <c r="B746" s="23"/>
      <c r="C746" s="23"/>
      <c r="D746" s="23"/>
      <c r="E746" s="24"/>
      <c r="F746" s="23"/>
      <c r="G746" s="23"/>
      <c r="H746" s="21" t="str">
        <f aca="false">IF(A746="","",DATE(YEAR(A746),MONTH(A746),1))</f>
        <v/>
      </c>
    </row>
    <row r="747" customFormat="false" ht="15" hidden="false" customHeight="false" outlineLevel="0" collapsed="false">
      <c r="A747" s="22"/>
      <c r="B747" s="23"/>
      <c r="C747" s="23"/>
      <c r="D747" s="23"/>
      <c r="E747" s="24"/>
      <c r="F747" s="23"/>
      <c r="G747" s="23"/>
      <c r="H747" s="21" t="str">
        <f aca="false">IF(A747="","",DATE(YEAR(A747),MONTH(A747),1))</f>
        <v/>
      </c>
    </row>
    <row r="748" customFormat="false" ht="15" hidden="false" customHeight="false" outlineLevel="0" collapsed="false">
      <c r="A748" s="22"/>
      <c r="B748" s="23"/>
      <c r="C748" s="23"/>
      <c r="D748" s="23"/>
      <c r="E748" s="24"/>
      <c r="F748" s="23"/>
      <c r="G748" s="23"/>
      <c r="H748" s="21" t="str">
        <f aca="false">IF(A748="","",DATE(YEAR(A748),MONTH(A748),1))</f>
        <v/>
      </c>
    </row>
    <row r="749" customFormat="false" ht="15" hidden="false" customHeight="false" outlineLevel="0" collapsed="false">
      <c r="A749" s="22"/>
      <c r="B749" s="23"/>
      <c r="C749" s="23"/>
      <c r="D749" s="23"/>
      <c r="E749" s="24"/>
      <c r="F749" s="23"/>
      <c r="G749" s="23"/>
      <c r="H749" s="21" t="str">
        <f aca="false">IF(A749="","",DATE(YEAR(A749),MONTH(A749),1))</f>
        <v/>
      </c>
    </row>
    <row r="750" customFormat="false" ht="15" hidden="false" customHeight="false" outlineLevel="0" collapsed="false">
      <c r="A750" s="22"/>
      <c r="B750" s="23"/>
      <c r="C750" s="23"/>
      <c r="D750" s="23"/>
      <c r="E750" s="24"/>
      <c r="F750" s="23"/>
      <c r="G750" s="23"/>
      <c r="H750" s="21" t="str">
        <f aca="false">IF(A750="","",DATE(YEAR(A750),MONTH(A750),1))</f>
        <v/>
      </c>
    </row>
    <row r="751" customFormat="false" ht="15" hidden="false" customHeight="false" outlineLevel="0" collapsed="false">
      <c r="A751" s="22"/>
      <c r="B751" s="23"/>
      <c r="C751" s="23"/>
      <c r="D751" s="23"/>
      <c r="E751" s="24"/>
      <c r="F751" s="23"/>
      <c r="G751" s="23"/>
      <c r="H751" s="21" t="str">
        <f aca="false">IF(A751="","",DATE(YEAR(A751),MONTH(A751),1))</f>
        <v/>
      </c>
    </row>
    <row r="752" customFormat="false" ht="15" hidden="false" customHeight="false" outlineLevel="0" collapsed="false">
      <c r="A752" s="22"/>
      <c r="B752" s="23"/>
      <c r="C752" s="23"/>
      <c r="D752" s="23"/>
      <c r="E752" s="24"/>
      <c r="F752" s="23"/>
      <c r="G752" s="23"/>
      <c r="H752" s="21" t="str">
        <f aca="false">IF(A752="","",DATE(YEAR(A752),MONTH(A752),1))</f>
        <v/>
      </c>
    </row>
    <row r="753" customFormat="false" ht="15" hidden="false" customHeight="false" outlineLevel="0" collapsed="false">
      <c r="A753" s="22"/>
      <c r="B753" s="23"/>
      <c r="C753" s="23"/>
      <c r="D753" s="23"/>
      <c r="E753" s="24"/>
      <c r="F753" s="23"/>
      <c r="G753" s="23"/>
      <c r="H753" s="21" t="str">
        <f aca="false">IF(A753="","",DATE(YEAR(A753),MONTH(A753),1))</f>
        <v/>
      </c>
    </row>
    <row r="754" customFormat="false" ht="15" hidden="false" customHeight="false" outlineLevel="0" collapsed="false">
      <c r="A754" s="22"/>
      <c r="B754" s="23"/>
      <c r="C754" s="23"/>
      <c r="D754" s="23"/>
      <c r="E754" s="24"/>
      <c r="F754" s="23"/>
      <c r="G754" s="23"/>
      <c r="H754" s="21" t="str">
        <f aca="false">IF(A754="","",DATE(YEAR(A754),MONTH(A754),1))</f>
        <v/>
      </c>
    </row>
    <row r="755" customFormat="false" ht="15" hidden="false" customHeight="false" outlineLevel="0" collapsed="false">
      <c r="A755" s="22"/>
      <c r="B755" s="23"/>
      <c r="C755" s="23"/>
      <c r="D755" s="23"/>
      <c r="E755" s="24"/>
      <c r="F755" s="23"/>
      <c r="G755" s="23"/>
      <c r="H755" s="21" t="str">
        <f aca="false">IF(A755="","",DATE(YEAR(A755),MONTH(A755),1))</f>
        <v/>
      </c>
    </row>
    <row r="756" customFormat="false" ht="15" hidden="false" customHeight="false" outlineLevel="0" collapsed="false">
      <c r="A756" s="22"/>
      <c r="B756" s="23"/>
      <c r="C756" s="23"/>
      <c r="D756" s="23"/>
      <c r="E756" s="24"/>
      <c r="F756" s="23"/>
      <c r="G756" s="23"/>
      <c r="H756" s="21" t="str">
        <f aca="false">IF(A756="","",DATE(YEAR(A756),MONTH(A756),1))</f>
        <v/>
      </c>
    </row>
    <row r="757" customFormat="false" ht="15" hidden="false" customHeight="false" outlineLevel="0" collapsed="false">
      <c r="A757" s="22"/>
      <c r="B757" s="23"/>
      <c r="C757" s="23"/>
      <c r="D757" s="23"/>
      <c r="E757" s="24"/>
      <c r="F757" s="23"/>
      <c r="G757" s="23"/>
      <c r="H757" s="21" t="str">
        <f aca="false">IF(A757="","",DATE(YEAR(A757),MONTH(A757),1))</f>
        <v/>
      </c>
    </row>
    <row r="758" customFormat="false" ht="15" hidden="false" customHeight="false" outlineLevel="0" collapsed="false">
      <c r="A758" s="22"/>
      <c r="B758" s="23"/>
      <c r="C758" s="23"/>
      <c r="D758" s="23"/>
      <c r="E758" s="24"/>
      <c r="F758" s="23"/>
      <c r="G758" s="23"/>
      <c r="H758" s="21" t="str">
        <f aca="false">IF(A758="","",DATE(YEAR(A758),MONTH(A758),1))</f>
        <v/>
      </c>
    </row>
    <row r="759" customFormat="false" ht="15" hidden="false" customHeight="false" outlineLevel="0" collapsed="false">
      <c r="A759" s="22"/>
      <c r="B759" s="23"/>
      <c r="C759" s="23"/>
      <c r="D759" s="23"/>
      <c r="E759" s="24"/>
      <c r="F759" s="23"/>
      <c r="G759" s="23"/>
      <c r="H759" s="21" t="str">
        <f aca="false">IF(A759="","",DATE(YEAR(A759),MONTH(A759),1))</f>
        <v/>
      </c>
    </row>
    <row r="760" customFormat="false" ht="15" hidden="false" customHeight="false" outlineLevel="0" collapsed="false">
      <c r="A760" s="22"/>
      <c r="B760" s="23"/>
      <c r="C760" s="23"/>
      <c r="D760" s="23"/>
      <c r="E760" s="24"/>
      <c r="F760" s="23"/>
      <c r="G760" s="23"/>
      <c r="H760" s="21" t="str">
        <f aca="false">IF(A760="","",DATE(YEAR(A760),MONTH(A760),1))</f>
        <v/>
      </c>
    </row>
    <row r="761" customFormat="false" ht="15" hidden="false" customHeight="false" outlineLevel="0" collapsed="false">
      <c r="A761" s="22"/>
      <c r="B761" s="23"/>
      <c r="C761" s="23"/>
      <c r="D761" s="23"/>
      <c r="E761" s="24"/>
      <c r="F761" s="23"/>
      <c r="G761" s="23"/>
      <c r="H761" s="21" t="str">
        <f aca="false">IF(A761="","",DATE(YEAR(A761),MONTH(A761),1))</f>
        <v/>
      </c>
    </row>
    <row r="762" customFormat="false" ht="15" hidden="false" customHeight="false" outlineLevel="0" collapsed="false">
      <c r="A762" s="22"/>
      <c r="B762" s="23"/>
      <c r="C762" s="23"/>
      <c r="D762" s="23"/>
      <c r="E762" s="24"/>
      <c r="F762" s="23"/>
      <c r="G762" s="23"/>
      <c r="H762" s="21" t="str">
        <f aca="false">IF(A762="","",DATE(YEAR(A762),MONTH(A762),1))</f>
        <v/>
      </c>
    </row>
    <row r="763" customFormat="false" ht="15" hidden="false" customHeight="false" outlineLevel="0" collapsed="false">
      <c r="A763" s="22"/>
      <c r="B763" s="23"/>
      <c r="C763" s="23"/>
      <c r="D763" s="23"/>
      <c r="E763" s="24"/>
      <c r="F763" s="23"/>
      <c r="G763" s="23"/>
      <c r="H763" s="21" t="str">
        <f aca="false">IF(A763="","",DATE(YEAR(A763),MONTH(A763),1))</f>
        <v/>
      </c>
    </row>
    <row r="764" customFormat="false" ht="15" hidden="false" customHeight="false" outlineLevel="0" collapsed="false">
      <c r="A764" s="22"/>
      <c r="B764" s="23"/>
      <c r="C764" s="23"/>
      <c r="D764" s="23"/>
      <c r="E764" s="24"/>
      <c r="F764" s="23"/>
      <c r="G764" s="23"/>
      <c r="H764" s="21" t="str">
        <f aca="false">IF(A764="","",DATE(YEAR(A764),MONTH(A764),1))</f>
        <v/>
      </c>
    </row>
    <row r="765" customFormat="false" ht="15" hidden="false" customHeight="false" outlineLevel="0" collapsed="false">
      <c r="A765" s="22"/>
      <c r="B765" s="23"/>
      <c r="C765" s="23"/>
      <c r="D765" s="23"/>
      <c r="E765" s="24"/>
      <c r="F765" s="23"/>
      <c r="G765" s="23"/>
      <c r="H765" s="21" t="str">
        <f aca="false">IF(A765="","",DATE(YEAR(A765),MONTH(A765),1))</f>
        <v/>
      </c>
    </row>
    <row r="766" customFormat="false" ht="15" hidden="false" customHeight="false" outlineLevel="0" collapsed="false">
      <c r="A766" s="22"/>
      <c r="B766" s="23"/>
      <c r="C766" s="23"/>
      <c r="D766" s="23"/>
      <c r="E766" s="24"/>
      <c r="F766" s="23"/>
      <c r="G766" s="23"/>
      <c r="H766" s="21" t="str">
        <f aca="false">IF(A766="","",DATE(YEAR(A766),MONTH(A766),1))</f>
        <v/>
      </c>
    </row>
    <row r="767" customFormat="false" ht="15" hidden="false" customHeight="false" outlineLevel="0" collapsed="false">
      <c r="A767" s="22"/>
      <c r="B767" s="23"/>
      <c r="C767" s="23"/>
      <c r="D767" s="23"/>
      <c r="E767" s="24"/>
      <c r="F767" s="23"/>
      <c r="G767" s="23"/>
      <c r="H767" s="21" t="str">
        <f aca="false">IF(A767="","",DATE(YEAR(A767),MONTH(A767),1))</f>
        <v/>
      </c>
    </row>
    <row r="768" customFormat="false" ht="15" hidden="false" customHeight="false" outlineLevel="0" collapsed="false">
      <c r="A768" s="22"/>
      <c r="B768" s="23"/>
      <c r="C768" s="23"/>
      <c r="D768" s="23"/>
      <c r="E768" s="24"/>
      <c r="F768" s="23"/>
      <c r="G768" s="23"/>
      <c r="H768" s="21" t="str">
        <f aca="false">IF(A768="","",DATE(YEAR(A768),MONTH(A768),1))</f>
        <v/>
      </c>
    </row>
    <row r="769" customFormat="false" ht="15" hidden="false" customHeight="false" outlineLevel="0" collapsed="false">
      <c r="A769" s="22"/>
      <c r="B769" s="23"/>
      <c r="C769" s="23"/>
      <c r="D769" s="23"/>
      <c r="E769" s="24"/>
      <c r="F769" s="23"/>
      <c r="G769" s="23"/>
      <c r="H769" s="21" t="str">
        <f aca="false">IF(A769="","",DATE(YEAR(A769),MONTH(A769),1))</f>
        <v/>
      </c>
    </row>
    <row r="770" customFormat="false" ht="15" hidden="false" customHeight="false" outlineLevel="0" collapsed="false">
      <c r="A770" s="22"/>
      <c r="B770" s="23"/>
      <c r="C770" s="23"/>
      <c r="D770" s="23"/>
      <c r="E770" s="24"/>
      <c r="F770" s="23"/>
      <c r="G770" s="23"/>
      <c r="H770" s="21" t="str">
        <f aca="false">IF(A770="","",DATE(YEAR(A770),MONTH(A770),1))</f>
        <v/>
      </c>
    </row>
    <row r="771" customFormat="false" ht="15" hidden="false" customHeight="false" outlineLevel="0" collapsed="false">
      <c r="A771" s="22"/>
      <c r="B771" s="23"/>
      <c r="C771" s="23"/>
      <c r="D771" s="23"/>
      <c r="E771" s="24"/>
      <c r="F771" s="23"/>
      <c r="G771" s="23"/>
      <c r="H771" s="21" t="str">
        <f aca="false">IF(A771="","",DATE(YEAR(A771),MONTH(A771),1))</f>
        <v/>
      </c>
    </row>
    <row r="772" customFormat="false" ht="15" hidden="false" customHeight="false" outlineLevel="0" collapsed="false">
      <c r="A772" s="22"/>
      <c r="B772" s="23"/>
      <c r="C772" s="23"/>
      <c r="D772" s="23"/>
      <c r="E772" s="24"/>
      <c r="F772" s="23"/>
      <c r="G772" s="23"/>
      <c r="H772" s="21" t="str">
        <f aca="false">IF(A772="","",DATE(YEAR(A772),MONTH(A772),1))</f>
        <v/>
      </c>
    </row>
    <row r="773" customFormat="false" ht="15" hidden="false" customHeight="false" outlineLevel="0" collapsed="false">
      <c r="A773" s="22"/>
      <c r="B773" s="23"/>
      <c r="C773" s="23"/>
      <c r="D773" s="23"/>
      <c r="E773" s="24"/>
      <c r="F773" s="23"/>
      <c r="G773" s="23"/>
      <c r="H773" s="21" t="str">
        <f aca="false">IF(A773="","",DATE(YEAR(A773),MONTH(A773),1))</f>
        <v/>
      </c>
    </row>
    <row r="774" customFormat="false" ht="15" hidden="false" customHeight="false" outlineLevel="0" collapsed="false">
      <c r="A774" s="22"/>
      <c r="B774" s="23"/>
      <c r="C774" s="23"/>
      <c r="D774" s="23"/>
      <c r="E774" s="24"/>
      <c r="F774" s="23"/>
      <c r="G774" s="23"/>
      <c r="H774" s="21" t="str">
        <f aca="false">IF(A774="","",DATE(YEAR(A774),MONTH(A774),1))</f>
        <v/>
      </c>
    </row>
    <row r="775" customFormat="false" ht="15" hidden="false" customHeight="false" outlineLevel="0" collapsed="false">
      <c r="A775" s="22"/>
      <c r="B775" s="23"/>
      <c r="C775" s="23"/>
      <c r="D775" s="23"/>
      <c r="E775" s="24"/>
      <c r="F775" s="23"/>
      <c r="G775" s="23"/>
      <c r="H775" s="21" t="str">
        <f aca="false">IF(A775="","",DATE(YEAR(A775),MONTH(A775),1))</f>
        <v/>
      </c>
    </row>
    <row r="776" customFormat="false" ht="15" hidden="false" customHeight="false" outlineLevel="0" collapsed="false">
      <c r="A776" s="22"/>
      <c r="B776" s="23"/>
      <c r="C776" s="23"/>
      <c r="D776" s="23"/>
      <c r="E776" s="24"/>
      <c r="F776" s="23"/>
      <c r="G776" s="23"/>
      <c r="H776" s="21" t="str">
        <f aca="false">IF(A776="","",DATE(YEAR(A776),MONTH(A776),1))</f>
        <v/>
      </c>
    </row>
    <row r="777" customFormat="false" ht="15" hidden="false" customHeight="false" outlineLevel="0" collapsed="false">
      <c r="A777" s="22"/>
      <c r="B777" s="23"/>
      <c r="C777" s="23"/>
      <c r="D777" s="23"/>
      <c r="E777" s="24"/>
      <c r="F777" s="23"/>
      <c r="G777" s="23"/>
      <c r="H777" s="21" t="str">
        <f aca="false">IF(A777="","",DATE(YEAR(A777),MONTH(A777),1))</f>
        <v/>
      </c>
    </row>
    <row r="778" customFormat="false" ht="15" hidden="false" customHeight="false" outlineLevel="0" collapsed="false">
      <c r="A778" s="22"/>
      <c r="B778" s="23"/>
      <c r="C778" s="23"/>
      <c r="D778" s="23"/>
      <c r="E778" s="24"/>
      <c r="F778" s="23"/>
      <c r="G778" s="23"/>
      <c r="H778" s="21" t="str">
        <f aca="false">IF(A778="","",DATE(YEAR(A778),MONTH(A778),1))</f>
        <v/>
      </c>
    </row>
    <row r="779" customFormat="false" ht="15" hidden="false" customHeight="false" outlineLevel="0" collapsed="false">
      <c r="A779" s="22"/>
      <c r="B779" s="23"/>
      <c r="C779" s="23"/>
      <c r="D779" s="23"/>
      <c r="E779" s="24"/>
      <c r="F779" s="23"/>
      <c r="G779" s="23"/>
      <c r="H779" s="21" t="str">
        <f aca="false">IF(A779="","",DATE(YEAR(A779),MONTH(A779),1))</f>
        <v/>
      </c>
    </row>
    <row r="780" customFormat="false" ht="15" hidden="false" customHeight="false" outlineLevel="0" collapsed="false">
      <c r="A780" s="22"/>
      <c r="B780" s="23"/>
      <c r="C780" s="23"/>
      <c r="D780" s="23"/>
      <c r="E780" s="24"/>
      <c r="F780" s="23"/>
      <c r="G780" s="23"/>
      <c r="H780" s="21" t="str">
        <f aca="false">IF(A780="","",DATE(YEAR(A780),MONTH(A780),1))</f>
        <v/>
      </c>
    </row>
    <row r="781" customFormat="false" ht="15" hidden="false" customHeight="false" outlineLevel="0" collapsed="false">
      <c r="A781" s="22"/>
      <c r="B781" s="23"/>
      <c r="C781" s="23"/>
      <c r="D781" s="23"/>
      <c r="E781" s="24"/>
      <c r="F781" s="23"/>
      <c r="G781" s="23"/>
      <c r="H781" s="21" t="str">
        <f aca="false">IF(A781="","",DATE(YEAR(A781),MONTH(A781),1))</f>
        <v/>
      </c>
    </row>
    <row r="782" customFormat="false" ht="15" hidden="false" customHeight="false" outlineLevel="0" collapsed="false">
      <c r="A782" s="22"/>
      <c r="B782" s="23"/>
      <c r="C782" s="23"/>
      <c r="D782" s="23"/>
      <c r="E782" s="24"/>
      <c r="F782" s="23"/>
      <c r="G782" s="23"/>
      <c r="H782" s="21" t="str">
        <f aca="false">IF(A782="","",DATE(YEAR(A782),MONTH(A782),1))</f>
        <v/>
      </c>
    </row>
    <row r="783" customFormat="false" ht="15" hidden="false" customHeight="false" outlineLevel="0" collapsed="false">
      <c r="A783" s="22"/>
      <c r="B783" s="23"/>
      <c r="C783" s="23"/>
      <c r="D783" s="23"/>
      <c r="E783" s="24"/>
      <c r="F783" s="23"/>
      <c r="G783" s="23"/>
      <c r="H783" s="21" t="str">
        <f aca="false">IF(A783="","",DATE(YEAR(A783),MONTH(A783),1))</f>
        <v/>
      </c>
    </row>
    <row r="784" customFormat="false" ht="15" hidden="false" customHeight="false" outlineLevel="0" collapsed="false">
      <c r="A784" s="22"/>
      <c r="B784" s="23"/>
      <c r="C784" s="23"/>
      <c r="D784" s="23"/>
      <c r="E784" s="24"/>
      <c r="F784" s="23"/>
      <c r="G784" s="23"/>
      <c r="H784" s="21" t="str">
        <f aca="false">IF(A784="","",DATE(YEAR(A784),MONTH(A784),1))</f>
        <v/>
      </c>
    </row>
    <row r="785" customFormat="false" ht="15" hidden="false" customHeight="false" outlineLevel="0" collapsed="false">
      <c r="A785" s="22"/>
      <c r="B785" s="23"/>
      <c r="C785" s="23"/>
      <c r="D785" s="23"/>
      <c r="E785" s="24"/>
      <c r="F785" s="23"/>
      <c r="G785" s="23"/>
      <c r="H785" s="21" t="str">
        <f aca="false">IF(A785="","",DATE(YEAR(A785),MONTH(A785),1))</f>
        <v/>
      </c>
    </row>
    <row r="786" customFormat="false" ht="15" hidden="false" customHeight="false" outlineLevel="0" collapsed="false">
      <c r="A786" s="22"/>
      <c r="B786" s="23"/>
      <c r="C786" s="23"/>
      <c r="D786" s="23"/>
      <c r="E786" s="24"/>
      <c r="F786" s="23"/>
      <c r="G786" s="23"/>
      <c r="H786" s="21" t="str">
        <f aca="false">IF(A786="","",DATE(YEAR(A786),MONTH(A786),1))</f>
        <v/>
      </c>
    </row>
    <row r="787" customFormat="false" ht="15" hidden="false" customHeight="false" outlineLevel="0" collapsed="false">
      <c r="A787" s="22"/>
      <c r="B787" s="23"/>
      <c r="C787" s="23"/>
      <c r="D787" s="23"/>
      <c r="E787" s="24"/>
      <c r="F787" s="23"/>
      <c r="G787" s="23"/>
      <c r="H787" s="21" t="str">
        <f aca="false">IF(A787="","",DATE(YEAR(A787),MONTH(A787),1))</f>
        <v/>
      </c>
    </row>
    <row r="788" customFormat="false" ht="15" hidden="false" customHeight="false" outlineLevel="0" collapsed="false">
      <c r="A788" s="22"/>
      <c r="B788" s="23"/>
      <c r="C788" s="23"/>
      <c r="D788" s="23"/>
      <c r="E788" s="24"/>
      <c r="F788" s="23"/>
      <c r="G788" s="23"/>
      <c r="H788" s="21" t="str">
        <f aca="false">IF(A788="","",DATE(YEAR(A788),MONTH(A788),1))</f>
        <v/>
      </c>
    </row>
    <row r="789" customFormat="false" ht="15" hidden="false" customHeight="false" outlineLevel="0" collapsed="false">
      <c r="A789" s="22"/>
      <c r="B789" s="23"/>
      <c r="C789" s="23"/>
      <c r="D789" s="23"/>
      <c r="E789" s="24"/>
      <c r="F789" s="23"/>
      <c r="G789" s="23"/>
      <c r="H789" s="21" t="str">
        <f aca="false">IF(A789="","",DATE(YEAR(A789),MONTH(A789),1))</f>
        <v/>
      </c>
    </row>
    <row r="790" customFormat="false" ht="15" hidden="false" customHeight="false" outlineLevel="0" collapsed="false">
      <c r="A790" s="22"/>
      <c r="B790" s="23"/>
      <c r="C790" s="23"/>
      <c r="D790" s="23"/>
      <c r="E790" s="24"/>
      <c r="F790" s="23"/>
      <c r="G790" s="23"/>
      <c r="H790" s="21" t="str">
        <f aca="false">IF(A790="","",DATE(YEAR(A790),MONTH(A790),1))</f>
        <v/>
      </c>
    </row>
    <row r="791" customFormat="false" ht="15" hidden="false" customHeight="false" outlineLevel="0" collapsed="false">
      <c r="A791" s="22"/>
      <c r="B791" s="23"/>
      <c r="C791" s="23"/>
      <c r="D791" s="23"/>
      <c r="E791" s="24"/>
      <c r="F791" s="23"/>
      <c r="G791" s="23"/>
      <c r="H791" s="21" t="str">
        <f aca="false">IF(A791="","",DATE(YEAR(A791),MONTH(A791),1))</f>
        <v/>
      </c>
    </row>
    <row r="792" customFormat="false" ht="15" hidden="false" customHeight="false" outlineLevel="0" collapsed="false">
      <c r="A792" s="22"/>
      <c r="B792" s="23"/>
      <c r="C792" s="23"/>
      <c r="D792" s="23"/>
      <c r="E792" s="24"/>
      <c r="F792" s="23"/>
      <c r="G792" s="23"/>
      <c r="H792" s="21" t="str">
        <f aca="false">IF(A792="","",DATE(YEAR(A792),MONTH(A792),1))</f>
        <v/>
      </c>
    </row>
    <row r="793" customFormat="false" ht="15" hidden="false" customHeight="false" outlineLevel="0" collapsed="false">
      <c r="A793" s="22"/>
      <c r="B793" s="23"/>
      <c r="C793" s="23"/>
      <c r="D793" s="23"/>
      <c r="E793" s="24"/>
      <c r="F793" s="23"/>
      <c r="G793" s="23"/>
      <c r="H793" s="21" t="str">
        <f aca="false">IF(A793="","",DATE(YEAR(A793),MONTH(A793),1))</f>
        <v/>
      </c>
    </row>
    <row r="794" customFormat="false" ht="15" hidden="false" customHeight="false" outlineLevel="0" collapsed="false">
      <c r="A794" s="22"/>
      <c r="B794" s="23"/>
      <c r="C794" s="23"/>
      <c r="D794" s="23"/>
      <c r="E794" s="24"/>
      <c r="F794" s="23"/>
      <c r="G794" s="23"/>
      <c r="H794" s="21" t="str">
        <f aca="false">IF(A794="","",DATE(YEAR(A794),MONTH(A794),1))</f>
        <v/>
      </c>
    </row>
    <row r="795" customFormat="false" ht="15" hidden="false" customHeight="false" outlineLevel="0" collapsed="false">
      <c r="A795" s="22"/>
      <c r="B795" s="23"/>
      <c r="C795" s="23"/>
      <c r="D795" s="23"/>
      <c r="E795" s="24"/>
      <c r="F795" s="23"/>
      <c r="G795" s="23"/>
      <c r="H795" s="21" t="str">
        <f aca="false">IF(A795="","",DATE(YEAR(A795),MONTH(A795),1))</f>
        <v/>
      </c>
    </row>
    <row r="796" customFormat="false" ht="15" hidden="false" customHeight="false" outlineLevel="0" collapsed="false">
      <c r="A796" s="22"/>
      <c r="B796" s="23"/>
      <c r="C796" s="23"/>
      <c r="D796" s="23"/>
      <c r="E796" s="24"/>
      <c r="F796" s="23"/>
      <c r="G796" s="23"/>
      <c r="H796" s="21" t="str">
        <f aca="false">IF(A796="","",DATE(YEAR(A796),MONTH(A796),1))</f>
        <v/>
      </c>
    </row>
    <row r="797" customFormat="false" ht="15" hidden="false" customHeight="false" outlineLevel="0" collapsed="false">
      <c r="A797" s="22"/>
      <c r="B797" s="23"/>
      <c r="C797" s="23"/>
      <c r="D797" s="23"/>
      <c r="E797" s="24"/>
      <c r="F797" s="23"/>
      <c r="G797" s="23"/>
      <c r="H797" s="21" t="str">
        <f aca="false">IF(A797="","",DATE(YEAR(A797),MONTH(A797),1))</f>
        <v/>
      </c>
    </row>
    <row r="798" customFormat="false" ht="15" hidden="false" customHeight="false" outlineLevel="0" collapsed="false">
      <c r="A798" s="22"/>
      <c r="B798" s="23"/>
      <c r="C798" s="23"/>
      <c r="D798" s="23"/>
      <c r="E798" s="24"/>
      <c r="F798" s="23"/>
      <c r="G798" s="23"/>
      <c r="H798" s="21" t="str">
        <f aca="false">IF(A798="","",DATE(YEAR(A798),MONTH(A798),1))</f>
        <v/>
      </c>
    </row>
    <row r="799" customFormat="false" ht="15" hidden="false" customHeight="false" outlineLevel="0" collapsed="false">
      <c r="A799" s="22"/>
      <c r="B799" s="23"/>
      <c r="C799" s="23"/>
      <c r="D799" s="23"/>
      <c r="E799" s="24"/>
      <c r="F799" s="23"/>
      <c r="G799" s="23"/>
      <c r="H799" s="21" t="str">
        <f aca="false">IF(A799="","",DATE(YEAR(A799),MONTH(A799),1))</f>
        <v/>
      </c>
    </row>
    <row r="800" customFormat="false" ht="15" hidden="false" customHeight="false" outlineLevel="0" collapsed="false">
      <c r="A800" s="22"/>
      <c r="B800" s="23"/>
      <c r="C800" s="23"/>
      <c r="D800" s="23"/>
      <c r="E800" s="24"/>
      <c r="F800" s="23"/>
      <c r="G800" s="23"/>
      <c r="H800" s="21" t="str">
        <f aca="false">IF(A800="","",DATE(YEAR(A800),MONTH(A800),1))</f>
        <v/>
      </c>
    </row>
    <row r="801" customFormat="false" ht="15" hidden="false" customHeight="false" outlineLevel="0" collapsed="false">
      <c r="A801" s="22"/>
      <c r="B801" s="23"/>
      <c r="C801" s="23"/>
      <c r="D801" s="23"/>
      <c r="E801" s="24"/>
      <c r="F801" s="23"/>
      <c r="G801" s="23"/>
      <c r="H801" s="21" t="str">
        <f aca="false">IF(A801="","",DATE(YEAR(A801),MONTH(A801),1))</f>
        <v/>
      </c>
    </row>
    <row r="802" customFormat="false" ht="15" hidden="false" customHeight="false" outlineLevel="0" collapsed="false">
      <c r="A802" s="22"/>
      <c r="B802" s="23"/>
      <c r="C802" s="23"/>
      <c r="D802" s="23"/>
      <c r="E802" s="24"/>
      <c r="F802" s="23"/>
      <c r="G802" s="23"/>
      <c r="H802" s="21" t="str">
        <f aca="false">IF(A802="","",DATE(YEAR(A802),MONTH(A802),1))</f>
        <v/>
      </c>
    </row>
    <row r="803" customFormat="false" ht="15" hidden="false" customHeight="false" outlineLevel="0" collapsed="false">
      <c r="A803" s="22"/>
      <c r="B803" s="23"/>
      <c r="C803" s="23"/>
      <c r="D803" s="23"/>
      <c r="E803" s="24"/>
      <c r="F803" s="23"/>
      <c r="G803" s="23"/>
      <c r="H803" s="21" t="str">
        <f aca="false">IF(A803="","",DATE(YEAR(A803),MONTH(A803),1))</f>
        <v/>
      </c>
    </row>
    <row r="804" customFormat="false" ht="15" hidden="false" customHeight="false" outlineLevel="0" collapsed="false">
      <c r="A804" s="22"/>
      <c r="B804" s="23"/>
      <c r="C804" s="23"/>
      <c r="D804" s="23"/>
      <c r="E804" s="24"/>
      <c r="F804" s="23"/>
      <c r="G804" s="23"/>
      <c r="H804" s="21" t="str">
        <f aca="false">IF(A804="","",DATE(YEAR(A804),MONTH(A804),1))</f>
        <v/>
      </c>
    </row>
    <row r="805" customFormat="false" ht="15" hidden="false" customHeight="false" outlineLevel="0" collapsed="false">
      <c r="A805" s="22"/>
      <c r="B805" s="23"/>
      <c r="C805" s="23"/>
      <c r="D805" s="23"/>
      <c r="E805" s="24"/>
      <c r="F805" s="23"/>
      <c r="G805" s="23"/>
      <c r="H805" s="21" t="str">
        <f aca="false">IF(A805="","",DATE(YEAR(A805),MONTH(A805),1))</f>
        <v/>
      </c>
    </row>
    <row r="806" customFormat="false" ht="15" hidden="false" customHeight="false" outlineLevel="0" collapsed="false">
      <c r="A806" s="22"/>
      <c r="B806" s="23"/>
      <c r="C806" s="23"/>
      <c r="D806" s="23"/>
      <c r="E806" s="24"/>
      <c r="F806" s="23"/>
      <c r="G806" s="23"/>
      <c r="H806" s="21" t="str">
        <f aca="false">IF(A806="","",DATE(YEAR(A806),MONTH(A806),1))</f>
        <v/>
      </c>
    </row>
    <row r="807" customFormat="false" ht="15" hidden="false" customHeight="false" outlineLevel="0" collapsed="false">
      <c r="A807" s="22"/>
      <c r="B807" s="23"/>
      <c r="C807" s="23"/>
      <c r="D807" s="23"/>
      <c r="E807" s="24"/>
      <c r="F807" s="23"/>
      <c r="G807" s="23"/>
      <c r="H807" s="21" t="str">
        <f aca="false">IF(A807="","",DATE(YEAR(A807),MONTH(A807),1))</f>
        <v/>
      </c>
    </row>
    <row r="808" customFormat="false" ht="15" hidden="false" customHeight="false" outlineLevel="0" collapsed="false">
      <c r="A808" s="22"/>
      <c r="B808" s="23"/>
      <c r="C808" s="23"/>
      <c r="D808" s="23"/>
      <c r="E808" s="24"/>
      <c r="F808" s="23"/>
      <c r="G808" s="23"/>
      <c r="H808" s="21" t="str">
        <f aca="false">IF(A808="","",DATE(YEAR(A808),MONTH(A808),1))</f>
        <v/>
      </c>
    </row>
    <row r="809" customFormat="false" ht="15" hidden="false" customHeight="false" outlineLevel="0" collapsed="false">
      <c r="A809" s="22"/>
      <c r="B809" s="23"/>
      <c r="C809" s="23"/>
      <c r="D809" s="23"/>
      <c r="E809" s="24"/>
      <c r="F809" s="23"/>
      <c r="G809" s="23"/>
      <c r="H809" s="21" t="str">
        <f aca="false">IF(A809="","",DATE(YEAR(A809),MONTH(A809),1))</f>
        <v/>
      </c>
    </row>
    <row r="810" customFormat="false" ht="15" hidden="false" customHeight="false" outlineLevel="0" collapsed="false">
      <c r="A810" s="22"/>
      <c r="B810" s="23"/>
      <c r="C810" s="23"/>
      <c r="D810" s="23"/>
      <c r="E810" s="24"/>
      <c r="F810" s="23"/>
      <c r="G810" s="23"/>
      <c r="H810" s="21" t="str">
        <f aca="false">IF(A810="","",DATE(YEAR(A810),MONTH(A810),1))</f>
        <v/>
      </c>
    </row>
    <row r="811" customFormat="false" ht="15" hidden="false" customHeight="false" outlineLevel="0" collapsed="false">
      <c r="A811" s="22"/>
      <c r="B811" s="23"/>
      <c r="C811" s="23"/>
      <c r="D811" s="23"/>
      <c r="E811" s="24"/>
      <c r="F811" s="23"/>
      <c r="G811" s="23"/>
      <c r="H811" s="21" t="str">
        <f aca="false">IF(A811="","",DATE(YEAR(A811),MONTH(A811),1))</f>
        <v/>
      </c>
    </row>
    <row r="812" customFormat="false" ht="15" hidden="false" customHeight="false" outlineLevel="0" collapsed="false">
      <c r="A812" s="22"/>
      <c r="B812" s="23"/>
      <c r="C812" s="23"/>
      <c r="D812" s="23"/>
      <c r="E812" s="24"/>
      <c r="F812" s="23"/>
      <c r="G812" s="23"/>
      <c r="H812" s="21" t="str">
        <f aca="false">IF(A812="","",DATE(YEAR(A812),MONTH(A812),1))</f>
        <v/>
      </c>
    </row>
    <row r="813" customFormat="false" ht="15" hidden="false" customHeight="false" outlineLevel="0" collapsed="false">
      <c r="A813" s="22"/>
      <c r="B813" s="23"/>
      <c r="C813" s="23"/>
      <c r="D813" s="23"/>
      <c r="E813" s="24"/>
      <c r="F813" s="23"/>
      <c r="G813" s="23"/>
      <c r="H813" s="21" t="str">
        <f aca="false">IF(A813="","",DATE(YEAR(A813),MONTH(A813),1))</f>
        <v/>
      </c>
    </row>
    <row r="814" customFormat="false" ht="15" hidden="false" customHeight="false" outlineLevel="0" collapsed="false">
      <c r="A814" s="22"/>
      <c r="B814" s="23"/>
      <c r="C814" s="23"/>
      <c r="D814" s="23"/>
      <c r="E814" s="24"/>
      <c r="F814" s="23"/>
      <c r="G814" s="23"/>
      <c r="H814" s="21" t="str">
        <f aca="false">IF(A814="","",DATE(YEAR(A814),MONTH(A814),1))</f>
        <v/>
      </c>
    </row>
    <row r="815" customFormat="false" ht="15" hidden="false" customHeight="false" outlineLevel="0" collapsed="false">
      <c r="A815" s="22"/>
      <c r="B815" s="23"/>
      <c r="C815" s="23"/>
      <c r="D815" s="23"/>
      <c r="E815" s="24"/>
      <c r="F815" s="23"/>
      <c r="G815" s="23"/>
      <c r="H815" s="21" t="str">
        <f aca="false">IF(A815="","",DATE(YEAR(A815),MONTH(A815),1))</f>
        <v/>
      </c>
    </row>
    <row r="816" customFormat="false" ht="15" hidden="false" customHeight="false" outlineLevel="0" collapsed="false">
      <c r="A816" s="22"/>
      <c r="B816" s="23"/>
      <c r="C816" s="23"/>
      <c r="D816" s="23"/>
      <c r="E816" s="24"/>
      <c r="F816" s="23"/>
      <c r="G816" s="23"/>
      <c r="H816" s="21" t="str">
        <f aca="false">IF(A816="","",DATE(YEAR(A816),MONTH(A816),1))</f>
        <v/>
      </c>
    </row>
    <row r="817" customFormat="false" ht="15" hidden="false" customHeight="false" outlineLevel="0" collapsed="false">
      <c r="A817" s="22"/>
      <c r="B817" s="23"/>
      <c r="C817" s="23"/>
      <c r="D817" s="23"/>
      <c r="E817" s="24"/>
      <c r="F817" s="23"/>
      <c r="G817" s="23"/>
      <c r="H817" s="21" t="str">
        <f aca="false">IF(A817="","",DATE(YEAR(A817),MONTH(A817),1))</f>
        <v/>
      </c>
    </row>
    <row r="818" customFormat="false" ht="15" hidden="false" customHeight="false" outlineLevel="0" collapsed="false">
      <c r="A818" s="22"/>
      <c r="B818" s="23"/>
      <c r="C818" s="23"/>
      <c r="D818" s="23"/>
      <c r="E818" s="24"/>
      <c r="F818" s="23"/>
      <c r="G818" s="23"/>
      <c r="H818" s="21" t="str">
        <f aca="false">IF(A818="","",DATE(YEAR(A818),MONTH(A818),1))</f>
        <v/>
      </c>
    </row>
    <row r="819" customFormat="false" ht="15" hidden="false" customHeight="false" outlineLevel="0" collapsed="false">
      <c r="A819" s="22"/>
      <c r="B819" s="23"/>
      <c r="C819" s="23"/>
      <c r="D819" s="23"/>
      <c r="E819" s="24"/>
      <c r="F819" s="23"/>
      <c r="G819" s="23"/>
      <c r="H819" s="21" t="str">
        <f aca="false">IF(A819="","",DATE(YEAR(A819),MONTH(A819),1))</f>
        <v/>
      </c>
    </row>
    <row r="820" customFormat="false" ht="15" hidden="false" customHeight="false" outlineLevel="0" collapsed="false">
      <c r="A820" s="22"/>
      <c r="B820" s="23"/>
      <c r="C820" s="23"/>
      <c r="D820" s="23"/>
      <c r="E820" s="24"/>
      <c r="F820" s="23"/>
      <c r="G820" s="23"/>
      <c r="H820" s="21" t="str">
        <f aca="false">IF(A820="","",DATE(YEAR(A820),MONTH(A820),1))</f>
        <v/>
      </c>
    </row>
    <row r="821" customFormat="false" ht="15" hidden="false" customHeight="false" outlineLevel="0" collapsed="false">
      <c r="A821" s="22"/>
      <c r="B821" s="23"/>
      <c r="C821" s="23"/>
      <c r="D821" s="23"/>
      <c r="E821" s="24"/>
      <c r="F821" s="23"/>
      <c r="G821" s="23"/>
      <c r="H821" s="21" t="str">
        <f aca="false">IF(A821="","",DATE(YEAR(A821),MONTH(A821),1))</f>
        <v/>
      </c>
    </row>
    <row r="822" customFormat="false" ht="15" hidden="false" customHeight="false" outlineLevel="0" collapsed="false">
      <c r="A822" s="22"/>
      <c r="B822" s="23"/>
      <c r="C822" s="23"/>
      <c r="D822" s="23"/>
      <c r="E822" s="24"/>
      <c r="F822" s="23"/>
      <c r="G822" s="23"/>
      <c r="H822" s="21" t="str">
        <f aca="false">IF(A822="","",DATE(YEAR(A822),MONTH(A822),1))</f>
        <v/>
      </c>
    </row>
    <row r="823" customFormat="false" ht="15" hidden="false" customHeight="false" outlineLevel="0" collapsed="false">
      <c r="A823" s="22"/>
      <c r="B823" s="23"/>
      <c r="C823" s="23"/>
      <c r="D823" s="23"/>
      <c r="E823" s="24"/>
      <c r="F823" s="23"/>
      <c r="G823" s="23"/>
      <c r="H823" s="21" t="str">
        <f aca="false">IF(A823="","",DATE(YEAR(A823),MONTH(A823),1))</f>
        <v/>
      </c>
    </row>
    <row r="824" customFormat="false" ht="15" hidden="false" customHeight="false" outlineLevel="0" collapsed="false">
      <c r="A824" s="22"/>
      <c r="B824" s="23"/>
      <c r="C824" s="23"/>
      <c r="D824" s="23"/>
      <c r="E824" s="24"/>
      <c r="F824" s="23"/>
      <c r="G824" s="23"/>
      <c r="H824" s="21" t="str">
        <f aca="false">IF(A824="","",DATE(YEAR(A824),MONTH(A824),1))</f>
        <v/>
      </c>
    </row>
    <row r="825" customFormat="false" ht="15" hidden="false" customHeight="false" outlineLevel="0" collapsed="false">
      <c r="A825" s="22"/>
      <c r="B825" s="23"/>
      <c r="C825" s="23"/>
      <c r="D825" s="23"/>
      <c r="E825" s="24"/>
      <c r="F825" s="23"/>
      <c r="G825" s="23"/>
      <c r="H825" s="21" t="str">
        <f aca="false">IF(A825="","",DATE(YEAR(A825),MONTH(A825),1))</f>
        <v/>
      </c>
    </row>
    <row r="826" customFormat="false" ht="15" hidden="false" customHeight="false" outlineLevel="0" collapsed="false">
      <c r="A826" s="22"/>
      <c r="B826" s="23"/>
      <c r="C826" s="23"/>
      <c r="D826" s="23"/>
      <c r="E826" s="24"/>
      <c r="F826" s="23"/>
      <c r="G826" s="23"/>
      <c r="H826" s="21" t="str">
        <f aca="false">IF(A826="","",DATE(YEAR(A826),MONTH(A826),1))</f>
        <v/>
      </c>
    </row>
    <row r="827" customFormat="false" ht="15" hidden="false" customHeight="false" outlineLevel="0" collapsed="false">
      <c r="A827" s="22"/>
      <c r="B827" s="23"/>
      <c r="C827" s="23"/>
      <c r="D827" s="23"/>
      <c r="E827" s="24"/>
      <c r="F827" s="23"/>
      <c r="G827" s="23"/>
      <c r="H827" s="21" t="str">
        <f aca="false">IF(A827="","",DATE(YEAR(A827),MONTH(A827),1))</f>
        <v/>
      </c>
    </row>
    <row r="828" customFormat="false" ht="15" hidden="false" customHeight="false" outlineLevel="0" collapsed="false">
      <c r="A828" s="22"/>
      <c r="B828" s="23"/>
      <c r="C828" s="23"/>
      <c r="D828" s="23"/>
      <c r="E828" s="24"/>
      <c r="F828" s="23"/>
      <c r="G828" s="23"/>
      <c r="H828" s="21" t="str">
        <f aca="false">IF(A828="","",DATE(YEAR(A828),MONTH(A828),1))</f>
        <v/>
      </c>
    </row>
    <row r="829" customFormat="false" ht="15" hidden="false" customHeight="false" outlineLevel="0" collapsed="false">
      <c r="A829" s="22"/>
      <c r="B829" s="23"/>
      <c r="C829" s="23"/>
      <c r="D829" s="23"/>
      <c r="E829" s="24"/>
      <c r="F829" s="23"/>
      <c r="G829" s="23"/>
      <c r="H829" s="21" t="str">
        <f aca="false">IF(A829="","",DATE(YEAR(A829),MONTH(A829),1))</f>
        <v/>
      </c>
    </row>
    <row r="830" customFormat="false" ht="15" hidden="false" customHeight="false" outlineLevel="0" collapsed="false">
      <c r="A830" s="22"/>
      <c r="B830" s="23"/>
      <c r="C830" s="23"/>
      <c r="D830" s="23"/>
      <c r="E830" s="24"/>
      <c r="F830" s="23"/>
      <c r="G830" s="23"/>
      <c r="H830" s="21" t="str">
        <f aca="false">IF(A830="","",DATE(YEAR(A830),MONTH(A830),1))</f>
        <v/>
      </c>
    </row>
    <row r="831" customFormat="false" ht="15" hidden="false" customHeight="false" outlineLevel="0" collapsed="false">
      <c r="A831" s="22"/>
      <c r="B831" s="23"/>
      <c r="C831" s="23"/>
      <c r="D831" s="23"/>
      <c r="E831" s="24"/>
      <c r="F831" s="23"/>
      <c r="G831" s="23"/>
      <c r="H831" s="21" t="str">
        <f aca="false">IF(A831="","",DATE(YEAR(A831),MONTH(A831),1))</f>
        <v/>
      </c>
    </row>
    <row r="832" customFormat="false" ht="15" hidden="false" customHeight="false" outlineLevel="0" collapsed="false">
      <c r="A832" s="22"/>
      <c r="B832" s="23"/>
      <c r="C832" s="23"/>
      <c r="D832" s="23"/>
      <c r="E832" s="24"/>
      <c r="F832" s="23"/>
      <c r="G832" s="23"/>
      <c r="H832" s="21" t="str">
        <f aca="false">IF(A832="","",DATE(YEAR(A832),MONTH(A832),1))</f>
        <v/>
      </c>
    </row>
    <row r="833" customFormat="false" ht="15" hidden="false" customHeight="false" outlineLevel="0" collapsed="false">
      <c r="A833" s="22"/>
      <c r="B833" s="23"/>
      <c r="C833" s="23"/>
      <c r="D833" s="23"/>
      <c r="E833" s="24"/>
      <c r="F833" s="23"/>
      <c r="G833" s="23"/>
      <c r="H833" s="21" t="str">
        <f aca="false">IF(A833="","",DATE(YEAR(A833),MONTH(A833),1))</f>
        <v/>
      </c>
    </row>
    <row r="834" customFormat="false" ht="15" hidden="false" customHeight="false" outlineLevel="0" collapsed="false">
      <c r="A834" s="22"/>
      <c r="B834" s="23"/>
      <c r="C834" s="23"/>
      <c r="D834" s="23"/>
      <c r="E834" s="24"/>
      <c r="F834" s="23"/>
      <c r="G834" s="23"/>
      <c r="H834" s="21" t="str">
        <f aca="false">IF(A834="","",DATE(YEAR(A834),MONTH(A834),1))</f>
        <v/>
      </c>
    </row>
    <row r="835" customFormat="false" ht="15" hidden="false" customHeight="false" outlineLevel="0" collapsed="false">
      <c r="A835" s="22"/>
      <c r="B835" s="23"/>
      <c r="C835" s="23"/>
      <c r="D835" s="23"/>
      <c r="E835" s="24"/>
      <c r="F835" s="23"/>
      <c r="G835" s="23"/>
      <c r="H835" s="21" t="str">
        <f aca="false">IF(A835="","",DATE(YEAR(A835),MONTH(A835),1))</f>
        <v/>
      </c>
    </row>
    <row r="836" customFormat="false" ht="15" hidden="false" customHeight="false" outlineLevel="0" collapsed="false">
      <c r="A836" s="22"/>
      <c r="B836" s="23"/>
      <c r="C836" s="23"/>
      <c r="D836" s="23"/>
      <c r="E836" s="24"/>
      <c r="F836" s="23"/>
      <c r="G836" s="23"/>
      <c r="H836" s="21" t="str">
        <f aca="false">IF(A836="","",DATE(YEAR(A836),MONTH(A836),1))</f>
        <v/>
      </c>
    </row>
    <row r="837" customFormat="false" ht="15" hidden="false" customHeight="false" outlineLevel="0" collapsed="false">
      <c r="A837" s="22"/>
      <c r="B837" s="23"/>
      <c r="C837" s="23"/>
      <c r="D837" s="23"/>
      <c r="E837" s="24"/>
      <c r="F837" s="23"/>
      <c r="G837" s="23"/>
      <c r="H837" s="21" t="str">
        <f aca="false">IF(A837="","",DATE(YEAR(A837),MONTH(A837),1))</f>
        <v/>
      </c>
    </row>
    <row r="838" customFormat="false" ht="15" hidden="false" customHeight="false" outlineLevel="0" collapsed="false">
      <c r="A838" s="22"/>
      <c r="B838" s="23"/>
      <c r="C838" s="23"/>
      <c r="D838" s="23"/>
      <c r="E838" s="24"/>
      <c r="F838" s="23"/>
      <c r="G838" s="23"/>
      <c r="H838" s="21" t="str">
        <f aca="false">IF(A838="","",DATE(YEAR(A838),MONTH(A838),1))</f>
        <v/>
      </c>
    </row>
    <row r="839" customFormat="false" ht="15" hidden="false" customHeight="false" outlineLevel="0" collapsed="false">
      <c r="A839" s="22"/>
      <c r="B839" s="23"/>
      <c r="C839" s="23"/>
      <c r="D839" s="23"/>
      <c r="E839" s="24"/>
      <c r="F839" s="23"/>
      <c r="G839" s="23"/>
      <c r="H839" s="21" t="str">
        <f aca="false">IF(A839="","",DATE(YEAR(A839),MONTH(A839),1))</f>
        <v/>
      </c>
    </row>
    <row r="840" customFormat="false" ht="15" hidden="false" customHeight="false" outlineLevel="0" collapsed="false">
      <c r="A840" s="22"/>
      <c r="B840" s="23"/>
      <c r="C840" s="23"/>
      <c r="D840" s="23"/>
      <c r="E840" s="24"/>
      <c r="F840" s="23"/>
      <c r="G840" s="23"/>
      <c r="H840" s="21" t="str">
        <f aca="false">IF(A840="","",DATE(YEAR(A840),MONTH(A840),1))</f>
        <v/>
      </c>
    </row>
    <row r="841" customFormat="false" ht="15" hidden="false" customHeight="false" outlineLevel="0" collapsed="false">
      <c r="A841" s="22"/>
      <c r="B841" s="23"/>
      <c r="C841" s="23"/>
      <c r="D841" s="23"/>
      <c r="E841" s="24"/>
      <c r="F841" s="23"/>
      <c r="G841" s="23"/>
      <c r="H841" s="21" t="str">
        <f aca="false">IF(A841="","",DATE(YEAR(A841),MONTH(A841),1))</f>
        <v/>
      </c>
    </row>
    <row r="842" customFormat="false" ht="15" hidden="false" customHeight="false" outlineLevel="0" collapsed="false">
      <c r="A842" s="22"/>
      <c r="B842" s="23"/>
      <c r="C842" s="23"/>
      <c r="D842" s="23"/>
      <c r="E842" s="24"/>
      <c r="F842" s="23"/>
      <c r="G842" s="23"/>
      <c r="H842" s="21" t="str">
        <f aca="false">IF(A842="","",DATE(YEAR(A842),MONTH(A842),1))</f>
        <v/>
      </c>
    </row>
    <row r="843" customFormat="false" ht="15" hidden="false" customHeight="false" outlineLevel="0" collapsed="false">
      <c r="A843" s="22"/>
      <c r="B843" s="23"/>
      <c r="C843" s="23"/>
      <c r="D843" s="23"/>
      <c r="E843" s="24"/>
      <c r="F843" s="23"/>
      <c r="G843" s="23"/>
      <c r="H843" s="21" t="str">
        <f aca="false">IF(A843="","",DATE(YEAR(A843),MONTH(A843),1))</f>
        <v/>
      </c>
    </row>
    <row r="844" customFormat="false" ht="15" hidden="false" customHeight="false" outlineLevel="0" collapsed="false">
      <c r="A844" s="22"/>
      <c r="B844" s="23"/>
      <c r="C844" s="23"/>
      <c r="D844" s="23"/>
      <c r="E844" s="24"/>
      <c r="F844" s="23"/>
      <c r="G844" s="23"/>
      <c r="H844" s="21" t="str">
        <f aca="false">IF(A844="","",DATE(YEAR(A844),MONTH(A844),1))</f>
        <v/>
      </c>
    </row>
    <row r="845" customFormat="false" ht="15" hidden="false" customHeight="false" outlineLevel="0" collapsed="false">
      <c r="A845" s="22"/>
      <c r="B845" s="23"/>
      <c r="C845" s="23"/>
      <c r="D845" s="23"/>
      <c r="E845" s="24"/>
      <c r="F845" s="23"/>
      <c r="G845" s="23"/>
      <c r="H845" s="21" t="str">
        <f aca="false">IF(A845="","",DATE(YEAR(A845),MONTH(A845),1))</f>
        <v/>
      </c>
    </row>
    <row r="846" customFormat="false" ht="15" hidden="false" customHeight="false" outlineLevel="0" collapsed="false">
      <c r="A846" s="22"/>
      <c r="B846" s="23"/>
      <c r="C846" s="23"/>
      <c r="D846" s="23"/>
      <c r="E846" s="24"/>
      <c r="F846" s="23"/>
      <c r="G846" s="23"/>
      <c r="H846" s="21" t="str">
        <f aca="false">IF(A846="","",DATE(YEAR(A846),MONTH(A846),1))</f>
        <v/>
      </c>
    </row>
    <row r="847" customFormat="false" ht="15" hidden="false" customHeight="false" outlineLevel="0" collapsed="false">
      <c r="A847" s="22"/>
      <c r="B847" s="23"/>
      <c r="C847" s="23"/>
      <c r="D847" s="23"/>
      <c r="E847" s="24"/>
      <c r="F847" s="23"/>
      <c r="G847" s="23"/>
      <c r="H847" s="21" t="str">
        <f aca="false">IF(A847="","",DATE(YEAR(A847),MONTH(A847),1))</f>
        <v/>
      </c>
    </row>
    <row r="848" customFormat="false" ht="15" hidden="false" customHeight="false" outlineLevel="0" collapsed="false">
      <c r="A848" s="22"/>
      <c r="B848" s="23"/>
      <c r="C848" s="23"/>
      <c r="D848" s="23"/>
      <c r="E848" s="24"/>
      <c r="F848" s="23"/>
      <c r="G848" s="23"/>
      <c r="H848" s="21" t="str">
        <f aca="false">IF(A848="","",DATE(YEAR(A848),MONTH(A848),1))</f>
        <v/>
      </c>
    </row>
    <row r="849" customFormat="false" ht="15" hidden="false" customHeight="false" outlineLevel="0" collapsed="false">
      <c r="A849" s="22"/>
      <c r="B849" s="23"/>
      <c r="C849" s="23"/>
      <c r="D849" s="23"/>
      <c r="E849" s="24"/>
      <c r="F849" s="23"/>
      <c r="G849" s="23"/>
      <c r="H849" s="21" t="str">
        <f aca="false">IF(A849="","",DATE(YEAR(A849),MONTH(A849),1))</f>
        <v/>
      </c>
    </row>
    <row r="850" customFormat="false" ht="15" hidden="false" customHeight="false" outlineLevel="0" collapsed="false">
      <c r="A850" s="22"/>
      <c r="B850" s="23"/>
      <c r="C850" s="23"/>
      <c r="D850" s="23"/>
      <c r="E850" s="24"/>
      <c r="F850" s="23"/>
      <c r="G850" s="23"/>
      <c r="H850" s="21" t="str">
        <f aca="false">IF(A850="","",DATE(YEAR(A850),MONTH(A850),1))</f>
        <v/>
      </c>
    </row>
    <row r="851" customFormat="false" ht="15" hidden="false" customHeight="false" outlineLevel="0" collapsed="false">
      <c r="A851" s="22"/>
      <c r="B851" s="23"/>
      <c r="C851" s="23"/>
      <c r="D851" s="23"/>
      <c r="E851" s="24"/>
      <c r="F851" s="23"/>
      <c r="G851" s="23"/>
      <c r="H851" s="21" t="str">
        <f aca="false">IF(A851="","",DATE(YEAR(A851),MONTH(A851),1))</f>
        <v/>
      </c>
    </row>
    <row r="852" customFormat="false" ht="15" hidden="false" customHeight="false" outlineLevel="0" collapsed="false">
      <c r="A852" s="22"/>
      <c r="B852" s="23"/>
      <c r="C852" s="23"/>
      <c r="D852" s="23"/>
      <c r="E852" s="24"/>
      <c r="F852" s="23"/>
      <c r="G852" s="23"/>
      <c r="H852" s="21" t="str">
        <f aca="false">IF(A852="","",DATE(YEAR(A852),MONTH(A852),1))</f>
        <v/>
      </c>
    </row>
    <row r="853" customFormat="false" ht="15" hidden="false" customHeight="false" outlineLevel="0" collapsed="false">
      <c r="A853" s="22"/>
      <c r="B853" s="23"/>
      <c r="C853" s="23"/>
      <c r="D853" s="23"/>
      <c r="E853" s="24"/>
      <c r="F853" s="23"/>
      <c r="G853" s="23"/>
      <c r="H853" s="21" t="str">
        <f aca="false">IF(A853="","",DATE(YEAR(A853),MONTH(A853),1))</f>
        <v/>
      </c>
    </row>
    <row r="854" customFormat="false" ht="15" hidden="false" customHeight="false" outlineLevel="0" collapsed="false">
      <c r="A854" s="22"/>
      <c r="B854" s="23"/>
      <c r="C854" s="23"/>
      <c r="D854" s="23"/>
      <c r="E854" s="24"/>
      <c r="F854" s="23"/>
      <c r="G854" s="23"/>
      <c r="H854" s="21" t="str">
        <f aca="false">IF(A854="","",DATE(YEAR(A854),MONTH(A854),1))</f>
        <v/>
      </c>
    </row>
    <row r="855" customFormat="false" ht="15" hidden="false" customHeight="false" outlineLevel="0" collapsed="false">
      <c r="A855" s="22"/>
      <c r="B855" s="23"/>
      <c r="C855" s="23"/>
      <c r="D855" s="23"/>
      <c r="E855" s="24"/>
      <c r="F855" s="23"/>
      <c r="G855" s="23"/>
      <c r="H855" s="21" t="str">
        <f aca="false">IF(A855="","",DATE(YEAR(A855),MONTH(A855),1))</f>
        <v/>
      </c>
    </row>
    <row r="856" customFormat="false" ht="15" hidden="false" customHeight="false" outlineLevel="0" collapsed="false">
      <c r="A856" s="22"/>
      <c r="B856" s="23"/>
      <c r="C856" s="23"/>
      <c r="D856" s="23"/>
      <c r="E856" s="24"/>
      <c r="F856" s="23"/>
      <c r="G856" s="23"/>
      <c r="H856" s="21" t="str">
        <f aca="false">IF(A856="","",DATE(YEAR(A856),MONTH(A856),1))</f>
        <v/>
      </c>
    </row>
    <row r="857" customFormat="false" ht="15" hidden="false" customHeight="false" outlineLevel="0" collapsed="false">
      <c r="A857" s="22"/>
      <c r="B857" s="23"/>
      <c r="C857" s="23"/>
      <c r="D857" s="23"/>
      <c r="E857" s="24"/>
      <c r="F857" s="23"/>
      <c r="G857" s="23"/>
      <c r="H857" s="21" t="str">
        <f aca="false">IF(A857="","",DATE(YEAR(A857),MONTH(A857),1))</f>
        <v/>
      </c>
    </row>
    <row r="858" customFormat="false" ht="15" hidden="false" customHeight="false" outlineLevel="0" collapsed="false">
      <c r="A858" s="22"/>
      <c r="B858" s="23"/>
      <c r="C858" s="23"/>
      <c r="D858" s="23"/>
      <c r="E858" s="24"/>
      <c r="F858" s="23"/>
      <c r="G858" s="23"/>
      <c r="H858" s="21" t="str">
        <f aca="false">IF(A858="","",DATE(YEAR(A858),MONTH(A858),1))</f>
        <v/>
      </c>
    </row>
    <row r="859" customFormat="false" ht="15" hidden="false" customHeight="false" outlineLevel="0" collapsed="false">
      <c r="A859" s="22"/>
      <c r="B859" s="23"/>
      <c r="C859" s="23"/>
      <c r="D859" s="23"/>
      <c r="E859" s="24"/>
      <c r="F859" s="23"/>
      <c r="G859" s="23"/>
      <c r="H859" s="21" t="str">
        <f aca="false">IF(A859="","",DATE(YEAR(A859),MONTH(A859),1))</f>
        <v/>
      </c>
    </row>
    <row r="860" customFormat="false" ht="15" hidden="false" customHeight="false" outlineLevel="0" collapsed="false">
      <c r="A860" s="22"/>
      <c r="B860" s="23"/>
      <c r="C860" s="23"/>
      <c r="D860" s="23"/>
      <c r="E860" s="24"/>
      <c r="F860" s="23"/>
      <c r="G860" s="23"/>
      <c r="H860" s="21" t="str">
        <f aca="false">IF(A860="","",DATE(YEAR(A860),MONTH(A860),1))</f>
        <v/>
      </c>
    </row>
    <row r="861" customFormat="false" ht="15" hidden="false" customHeight="false" outlineLevel="0" collapsed="false">
      <c r="A861" s="22"/>
      <c r="B861" s="23"/>
      <c r="C861" s="23"/>
      <c r="D861" s="23"/>
      <c r="E861" s="24"/>
      <c r="F861" s="23"/>
      <c r="G861" s="23"/>
      <c r="H861" s="21" t="str">
        <f aca="false">IF(A861="","",DATE(YEAR(A861),MONTH(A861),1))</f>
        <v/>
      </c>
    </row>
    <row r="862" customFormat="false" ht="15" hidden="false" customHeight="false" outlineLevel="0" collapsed="false">
      <c r="A862" s="22"/>
      <c r="B862" s="23"/>
      <c r="C862" s="23"/>
      <c r="D862" s="23"/>
      <c r="E862" s="24"/>
      <c r="F862" s="23"/>
      <c r="G862" s="23"/>
      <c r="H862" s="21" t="str">
        <f aca="false">IF(A862="","",DATE(YEAR(A862),MONTH(A862),1))</f>
        <v/>
      </c>
    </row>
    <row r="863" customFormat="false" ht="15" hidden="false" customHeight="false" outlineLevel="0" collapsed="false">
      <c r="A863" s="22"/>
      <c r="B863" s="23"/>
      <c r="C863" s="23"/>
      <c r="D863" s="23"/>
      <c r="E863" s="24"/>
      <c r="F863" s="23"/>
      <c r="G863" s="23"/>
      <c r="H863" s="21" t="str">
        <f aca="false">IF(A863="","",DATE(YEAR(A863),MONTH(A863),1))</f>
        <v/>
      </c>
    </row>
    <row r="864" customFormat="false" ht="15" hidden="false" customHeight="false" outlineLevel="0" collapsed="false">
      <c r="A864" s="22"/>
      <c r="B864" s="23"/>
      <c r="C864" s="23"/>
      <c r="D864" s="23"/>
      <c r="E864" s="24"/>
      <c r="F864" s="23"/>
      <c r="G864" s="23"/>
      <c r="H864" s="21" t="str">
        <f aca="false">IF(A864="","",DATE(YEAR(A864),MONTH(A864),1))</f>
        <v/>
      </c>
    </row>
    <row r="865" customFormat="false" ht="15" hidden="false" customHeight="false" outlineLevel="0" collapsed="false">
      <c r="A865" s="22"/>
      <c r="B865" s="23"/>
      <c r="C865" s="23"/>
      <c r="D865" s="23"/>
      <c r="E865" s="24"/>
      <c r="F865" s="23"/>
      <c r="G865" s="23"/>
      <c r="H865" s="21" t="str">
        <f aca="false">IF(A865="","",DATE(YEAR(A865),MONTH(A865),1))</f>
        <v/>
      </c>
    </row>
    <row r="866" customFormat="false" ht="15" hidden="false" customHeight="false" outlineLevel="0" collapsed="false">
      <c r="A866" s="22"/>
      <c r="B866" s="23"/>
      <c r="C866" s="23"/>
      <c r="D866" s="23"/>
      <c r="E866" s="24"/>
      <c r="F866" s="23"/>
      <c r="G866" s="23"/>
      <c r="H866" s="21" t="str">
        <f aca="false">IF(A866="","",DATE(YEAR(A866),MONTH(A866),1))</f>
        <v/>
      </c>
    </row>
    <row r="867" customFormat="false" ht="15" hidden="false" customHeight="false" outlineLevel="0" collapsed="false">
      <c r="A867" s="22"/>
      <c r="B867" s="23"/>
      <c r="C867" s="23"/>
      <c r="D867" s="23"/>
      <c r="E867" s="24"/>
      <c r="F867" s="23"/>
      <c r="G867" s="23"/>
      <c r="H867" s="21" t="str">
        <f aca="false">IF(A867="","",DATE(YEAR(A867),MONTH(A867),1))</f>
        <v/>
      </c>
    </row>
    <row r="868" customFormat="false" ht="15" hidden="false" customHeight="false" outlineLevel="0" collapsed="false">
      <c r="A868" s="22"/>
      <c r="B868" s="23"/>
      <c r="C868" s="23"/>
      <c r="D868" s="23"/>
      <c r="E868" s="24"/>
      <c r="F868" s="23"/>
      <c r="G868" s="23"/>
      <c r="H868" s="21" t="str">
        <f aca="false">IF(A868="","",DATE(YEAR(A868),MONTH(A868),1))</f>
        <v/>
      </c>
    </row>
    <row r="869" customFormat="false" ht="15" hidden="false" customHeight="false" outlineLevel="0" collapsed="false">
      <c r="A869" s="22"/>
      <c r="B869" s="23"/>
      <c r="C869" s="23"/>
      <c r="D869" s="23"/>
      <c r="E869" s="24"/>
      <c r="F869" s="23"/>
      <c r="G869" s="23"/>
      <c r="H869" s="21" t="str">
        <f aca="false">IF(A869="","",DATE(YEAR(A869),MONTH(A869),1))</f>
        <v/>
      </c>
    </row>
    <row r="870" customFormat="false" ht="15" hidden="false" customHeight="false" outlineLevel="0" collapsed="false">
      <c r="A870" s="22"/>
      <c r="B870" s="23"/>
      <c r="C870" s="23"/>
      <c r="D870" s="23"/>
      <c r="E870" s="24"/>
      <c r="F870" s="23"/>
      <c r="G870" s="23"/>
      <c r="H870" s="21" t="str">
        <f aca="false">IF(A870="","",DATE(YEAR(A870),MONTH(A870),1))</f>
        <v/>
      </c>
    </row>
    <row r="871" customFormat="false" ht="15" hidden="false" customHeight="false" outlineLevel="0" collapsed="false">
      <c r="A871" s="22"/>
      <c r="B871" s="23"/>
      <c r="C871" s="23"/>
      <c r="D871" s="23"/>
      <c r="E871" s="24"/>
      <c r="F871" s="23"/>
      <c r="G871" s="23"/>
      <c r="H871" s="21" t="str">
        <f aca="false">IF(A871="","",DATE(YEAR(A871),MONTH(A871),1))</f>
        <v/>
      </c>
    </row>
    <row r="872" customFormat="false" ht="15" hidden="false" customHeight="false" outlineLevel="0" collapsed="false">
      <c r="A872" s="22"/>
      <c r="B872" s="23"/>
      <c r="C872" s="23"/>
      <c r="D872" s="23"/>
      <c r="E872" s="24"/>
      <c r="F872" s="23"/>
      <c r="G872" s="23"/>
      <c r="H872" s="21" t="str">
        <f aca="false">IF(A872="","",DATE(YEAR(A872),MONTH(A872),1))</f>
        <v/>
      </c>
    </row>
    <row r="873" customFormat="false" ht="15" hidden="false" customHeight="false" outlineLevel="0" collapsed="false">
      <c r="A873" s="22"/>
      <c r="B873" s="23"/>
      <c r="C873" s="23"/>
      <c r="D873" s="23"/>
      <c r="E873" s="24"/>
      <c r="F873" s="23"/>
      <c r="G873" s="23"/>
      <c r="H873" s="21" t="str">
        <f aca="false">IF(A873="","",DATE(YEAR(A873),MONTH(A873),1))</f>
        <v/>
      </c>
    </row>
    <row r="874" customFormat="false" ht="15" hidden="false" customHeight="false" outlineLevel="0" collapsed="false">
      <c r="A874" s="22"/>
      <c r="B874" s="23"/>
      <c r="C874" s="23"/>
      <c r="D874" s="23"/>
      <c r="E874" s="24"/>
      <c r="F874" s="23"/>
      <c r="G874" s="23"/>
      <c r="H874" s="21" t="str">
        <f aca="false">IF(A874="","",DATE(YEAR(A874),MONTH(A874),1))</f>
        <v/>
      </c>
    </row>
    <row r="875" customFormat="false" ht="15" hidden="false" customHeight="false" outlineLevel="0" collapsed="false">
      <c r="A875" s="22"/>
      <c r="B875" s="23"/>
      <c r="C875" s="23"/>
      <c r="D875" s="23"/>
      <c r="E875" s="24"/>
      <c r="F875" s="23"/>
      <c r="G875" s="23"/>
      <c r="H875" s="21" t="str">
        <f aca="false">IF(A875="","",DATE(YEAR(A875),MONTH(A875),1))</f>
        <v/>
      </c>
    </row>
    <row r="876" customFormat="false" ht="15" hidden="false" customHeight="false" outlineLevel="0" collapsed="false">
      <c r="A876" s="22"/>
      <c r="B876" s="23"/>
      <c r="C876" s="23"/>
      <c r="D876" s="23"/>
      <c r="E876" s="24"/>
      <c r="F876" s="23"/>
      <c r="G876" s="23"/>
      <c r="H876" s="21" t="str">
        <f aca="false">IF(A876="","",DATE(YEAR(A876),MONTH(A876),1))</f>
        <v/>
      </c>
    </row>
    <row r="877" customFormat="false" ht="15" hidden="false" customHeight="false" outlineLevel="0" collapsed="false">
      <c r="A877" s="22"/>
      <c r="B877" s="23"/>
      <c r="C877" s="23"/>
      <c r="D877" s="23"/>
      <c r="E877" s="24"/>
      <c r="F877" s="23"/>
      <c r="G877" s="23"/>
      <c r="H877" s="21" t="str">
        <f aca="false">IF(A877="","",DATE(YEAR(A877),MONTH(A877),1))</f>
        <v/>
      </c>
    </row>
    <row r="878" customFormat="false" ht="15" hidden="false" customHeight="false" outlineLevel="0" collapsed="false">
      <c r="A878" s="22"/>
      <c r="B878" s="23"/>
      <c r="C878" s="23"/>
      <c r="D878" s="23"/>
      <c r="E878" s="24"/>
      <c r="F878" s="23"/>
      <c r="G878" s="23"/>
      <c r="H878" s="21" t="str">
        <f aca="false">IF(A878="","",DATE(YEAR(A878),MONTH(A878),1))</f>
        <v/>
      </c>
    </row>
    <row r="879" customFormat="false" ht="15" hidden="false" customHeight="false" outlineLevel="0" collapsed="false">
      <c r="A879" s="22"/>
      <c r="B879" s="23"/>
      <c r="C879" s="23"/>
      <c r="D879" s="23"/>
      <c r="E879" s="24"/>
      <c r="F879" s="23"/>
      <c r="G879" s="23"/>
      <c r="H879" s="21" t="str">
        <f aca="false">IF(A879="","",DATE(YEAR(A879),MONTH(A879),1))</f>
        <v/>
      </c>
    </row>
    <row r="880" customFormat="false" ht="15" hidden="false" customHeight="false" outlineLevel="0" collapsed="false">
      <c r="A880" s="22"/>
      <c r="B880" s="23"/>
      <c r="C880" s="23"/>
      <c r="D880" s="23"/>
      <c r="E880" s="24"/>
      <c r="F880" s="23"/>
      <c r="G880" s="23"/>
      <c r="H880" s="21" t="str">
        <f aca="false">IF(A880="","",DATE(YEAR(A880),MONTH(A880),1))</f>
        <v/>
      </c>
    </row>
    <row r="881" customFormat="false" ht="15" hidden="false" customHeight="false" outlineLevel="0" collapsed="false">
      <c r="A881" s="22"/>
      <c r="B881" s="23"/>
      <c r="C881" s="23"/>
      <c r="D881" s="23"/>
      <c r="E881" s="24"/>
      <c r="F881" s="23"/>
      <c r="G881" s="23"/>
      <c r="H881" s="21" t="str">
        <f aca="false">IF(A881="","",DATE(YEAR(A881),MONTH(A881),1))</f>
        <v/>
      </c>
    </row>
    <row r="882" customFormat="false" ht="15" hidden="false" customHeight="false" outlineLevel="0" collapsed="false">
      <c r="A882" s="22"/>
      <c r="B882" s="23"/>
      <c r="C882" s="23"/>
      <c r="D882" s="23"/>
      <c r="E882" s="24"/>
      <c r="F882" s="23"/>
      <c r="G882" s="23"/>
      <c r="H882" s="21" t="str">
        <f aca="false">IF(A882="","",DATE(YEAR(A882),MONTH(A882),1))</f>
        <v/>
      </c>
    </row>
    <row r="883" customFormat="false" ht="15" hidden="false" customHeight="false" outlineLevel="0" collapsed="false">
      <c r="A883" s="22"/>
      <c r="B883" s="23"/>
      <c r="C883" s="23"/>
      <c r="D883" s="23"/>
      <c r="E883" s="24"/>
      <c r="F883" s="23"/>
      <c r="G883" s="23"/>
      <c r="H883" s="21" t="str">
        <f aca="false">IF(A883="","",DATE(YEAR(A883),MONTH(A883),1))</f>
        <v/>
      </c>
    </row>
    <row r="884" customFormat="false" ht="15" hidden="false" customHeight="false" outlineLevel="0" collapsed="false">
      <c r="A884" s="22"/>
      <c r="B884" s="23"/>
      <c r="C884" s="23"/>
      <c r="D884" s="23"/>
      <c r="E884" s="24"/>
      <c r="F884" s="23"/>
      <c r="G884" s="23"/>
      <c r="H884" s="21" t="str">
        <f aca="false">IF(A884="","",DATE(YEAR(A884),MONTH(A884),1))</f>
        <v/>
      </c>
    </row>
    <row r="885" customFormat="false" ht="15" hidden="false" customHeight="false" outlineLevel="0" collapsed="false">
      <c r="A885" s="22"/>
      <c r="B885" s="23"/>
      <c r="C885" s="23"/>
      <c r="D885" s="23"/>
      <c r="E885" s="24"/>
      <c r="F885" s="23"/>
      <c r="G885" s="23"/>
      <c r="H885" s="21" t="str">
        <f aca="false">IF(A885="","",DATE(YEAR(A885),MONTH(A885),1))</f>
        <v/>
      </c>
    </row>
    <row r="886" customFormat="false" ht="15" hidden="false" customHeight="false" outlineLevel="0" collapsed="false">
      <c r="A886" s="22"/>
      <c r="B886" s="23"/>
      <c r="C886" s="23"/>
      <c r="D886" s="23"/>
      <c r="E886" s="24"/>
      <c r="F886" s="23"/>
      <c r="G886" s="23"/>
      <c r="H886" s="21" t="str">
        <f aca="false">IF(A886="","",DATE(YEAR(A886),MONTH(A886),1))</f>
        <v/>
      </c>
    </row>
    <row r="887" customFormat="false" ht="15" hidden="false" customHeight="false" outlineLevel="0" collapsed="false">
      <c r="A887" s="22"/>
      <c r="B887" s="23"/>
      <c r="C887" s="23"/>
      <c r="D887" s="23"/>
      <c r="E887" s="24"/>
      <c r="F887" s="23"/>
      <c r="G887" s="23"/>
      <c r="H887" s="21" t="str">
        <f aca="false">IF(A887="","",DATE(YEAR(A887),MONTH(A887),1))</f>
        <v/>
      </c>
    </row>
    <row r="888" customFormat="false" ht="15" hidden="false" customHeight="false" outlineLevel="0" collapsed="false">
      <c r="A888" s="22"/>
      <c r="B888" s="23"/>
      <c r="C888" s="23"/>
      <c r="D888" s="23"/>
      <c r="E888" s="24"/>
      <c r="F888" s="23"/>
      <c r="G888" s="23"/>
      <c r="H888" s="21" t="str">
        <f aca="false">IF(A888="","",DATE(YEAR(A888),MONTH(A888),1))</f>
        <v/>
      </c>
    </row>
    <row r="889" customFormat="false" ht="15" hidden="false" customHeight="false" outlineLevel="0" collapsed="false">
      <c r="A889" s="22"/>
      <c r="B889" s="23"/>
      <c r="C889" s="23"/>
      <c r="D889" s="23"/>
      <c r="E889" s="24"/>
      <c r="F889" s="23"/>
      <c r="G889" s="23"/>
      <c r="H889" s="21" t="str">
        <f aca="false">IF(A889="","",DATE(YEAR(A889),MONTH(A889),1))</f>
        <v/>
      </c>
    </row>
    <row r="890" customFormat="false" ht="15" hidden="false" customHeight="false" outlineLevel="0" collapsed="false">
      <c r="A890" s="22"/>
      <c r="B890" s="23"/>
      <c r="C890" s="23"/>
      <c r="D890" s="23"/>
      <c r="E890" s="24"/>
      <c r="F890" s="23"/>
      <c r="G890" s="23"/>
      <c r="H890" s="21" t="str">
        <f aca="false">IF(A890="","",DATE(YEAR(A890),MONTH(A890),1))</f>
        <v/>
      </c>
    </row>
    <row r="891" customFormat="false" ht="15" hidden="false" customHeight="false" outlineLevel="0" collapsed="false">
      <c r="A891" s="22"/>
      <c r="B891" s="23"/>
      <c r="C891" s="23"/>
      <c r="D891" s="23"/>
      <c r="E891" s="24"/>
      <c r="F891" s="23"/>
      <c r="G891" s="23"/>
      <c r="H891" s="21" t="str">
        <f aca="false">IF(A891="","",DATE(YEAR(A891),MONTH(A891),1))</f>
        <v/>
      </c>
    </row>
    <row r="892" customFormat="false" ht="15" hidden="false" customHeight="false" outlineLevel="0" collapsed="false">
      <c r="A892" s="22"/>
      <c r="B892" s="23"/>
      <c r="C892" s="23"/>
      <c r="D892" s="23"/>
      <c r="E892" s="24"/>
      <c r="F892" s="23"/>
      <c r="G892" s="23"/>
      <c r="H892" s="21" t="str">
        <f aca="false">IF(A892="","",DATE(YEAR(A892),MONTH(A892),1))</f>
        <v/>
      </c>
    </row>
    <row r="893" customFormat="false" ht="15" hidden="false" customHeight="false" outlineLevel="0" collapsed="false">
      <c r="A893" s="22"/>
      <c r="B893" s="23"/>
      <c r="C893" s="23"/>
      <c r="D893" s="23"/>
      <c r="E893" s="24"/>
      <c r="F893" s="23"/>
      <c r="G893" s="23"/>
      <c r="H893" s="21" t="str">
        <f aca="false">IF(A893="","",DATE(YEAR(A893),MONTH(A893),1))</f>
        <v/>
      </c>
    </row>
    <row r="894" customFormat="false" ht="15" hidden="false" customHeight="false" outlineLevel="0" collapsed="false">
      <c r="A894" s="22"/>
      <c r="B894" s="23"/>
      <c r="C894" s="23"/>
      <c r="D894" s="23"/>
      <c r="E894" s="24"/>
      <c r="F894" s="23"/>
      <c r="G894" s="23"/>
      <c r="H894" s="21" t="str">
        <f aca="false">IF(A894="","",DATE(YEAR(A894),MONTH(A894),1))</f>
        <v/>
      </c>
    </row>
    <row r="895" customFormat="false" ht="15" hidden="false" customHeight="false" outlineLevel="0" collapsed="false">
      <c r="A895" s="22"/>
      <c r="B895" s="23"/>
      <c r="C895" s="23"/>
      <c r="D895" s="23"/>
      <c r="E895" s="24"/>
      <c r="F895" s="23"/>
      <c r="G895" s="23"/>
      <c r="H895" s="21" t="str">
        <f aca="false">IF(A895="","",DATE(YEAR(A895),MONTH(A895),1))</f>
        <v/>
      </c>
    </row>
    <row r="896" customFormat="false" ht="15" hidden="false" customHeight="false" outlineLevel="0" collapsed="false">
      <c r="A896" s="22"/>
      <c r="B896" s="23"/>
      <c r="C896" s="23"/>
      <c r="D896" s="23"/>
      <c r="E896" s="24"/>
      <c r="F896" s="23"/>
      <c r="G896" s="23"/>
      <c r="H896" s="21" t="str">
        <f aca="false">IF(A896="","",DATE(YEAR(A896),MONTH(A896),1))</f>
        <v/>
      </c>
    </row>
    <row r="897" customFormat="false" ht="15" hidden="false" customHeight="false" outlineLevel="0" collapsed="false">
      <c r="A897" s="22"/>
      <c r="B897" s="23"/>
      <c r="C897" s="23"/>
      <c r="D897" s="23"/>
      <c r="E897" s="24"/>
      <c r="F897" s="23"/>
      <c r="G897" s="23"/>
      <c r="H897" s="21" t="str">
        <f aca="false">IF(A897="","",DATE(YEAR(A897),MONTH(A897),1))</f>
        <v/>
      </c>
    </row>
    <row r="898" customFormat="false" ht="15" hidden="false" customHeight="false" outlineLevel="0" collapsed="false">
      <c r="A898" s="22"/>
      <c r="B898" s="23"/>
      <c r="C898" s="23"/>
      <c r="D898" s="23"/>
      <c r="E898" s="24"/>
      <c r="F898" s="23"/>
      <c r="G898" s="23"/>
      <c r="H898" s="21" t="str">
        <f aca="false">IF(A898="","",DATE(YEAR(A898),MONTH(A898),1))</f>
        <v/>
      </c>
    </row>
    <row r="899" customFormat="false" ht="15" hidden="false" customHeight="false" outlineLevel="0" collapsed="false">
      <c r="A899" s="22"/>
      <c r="B899" s="23"/>
      <c r="C899" s="23"/>
      <c r="D899" s="23"/>
      <c r="E899" s="24"/>
      <c r="F899" s="23"/>
      <c r="G899" s="23"/>
      <c r="H899" s="21" t="str">
        <f aca="false">IF(A899="","",DATE(YEAR(A899),MONTH(A899),1))</f>
        <v/>
      </c>
    </row>
    <row r="900" customFormat="false" ht="15" hidden="false" customHeight="false" outlineLevel="0" collapsed="false">
      <c r="A900" s="22"/>
      <c r="B900" s="23"/>
      <c r="C900" s="23"/>
      <c r="D900" s="23"/>
      <c r="E900" s="24"/>
      <c r="F900" s="23"/>
      <c r="G900" s="23"/>
      <c r="H900" s="21" t="str">
        <f aca="false">IF(A900="","",DATE(YEAR(A900),MONTH(A900),1))</f>
        <v/>
      </c>
    </row>
    <row r="901" customFormat="false" ht="15" hidden="false" customHeight="false" outlineLevel="0" collapsed="false">
      <c r="A901" s="22"/>
      <c r="B901" s="23"/>
      <c r="C901" s="23"/>
      <c r="D901" s="23"/>
      <c r="E901" s="24"/>
      <c r="F901" s="23"/>
      <c r="G901" s="23"/>
      <c r="H901" s="21" t="str">
        <f aca="false">IF(A901="","",DATE(YEAR(A901),MONTH(A901),1))</f>
        <v/>
      </c>
    </row>
    <row r="902" customFormat="false" ht="15" hidden="false" customHeight="false" outlineLevel="0" collapsed="false">
      <c r="A902" s="22"/>
      <c r="B902" s="23"/>
      <c r="C902" s="23"/>
      <c r="D902" s="23"/>
      <c r="E902" s="24"/>
      <c r="F902" s="23"/>
      <c r="G902" s="23"/>
      <c r="H902" s="21" t="str">
        <f aca="false">IF(A902="","",DATE(YEAR(A902),MONTH(A902),1))</f>
        <v/>
      </c>
    </row>
    <row r="903" customFormat="false" ht="15" hidden="false" customHeight="false" outlineLevel="0" collapsed="false">
      <c r="A903" s="22"/>
      <c r="B903" s="23"/>
      <c r="C903" s="23"/>
      <c r="D903" s="23"/>
      <c r="E903" s="24"/>
      <c r="F903" s="23"/>
      <c r="G903" s="23"/>
      <c r="H903" s="21" t="str">
        <f aca="false">IF(A903="","",DATE(YEAR(A903),MONTH(A903),1))</f>
        <v/>
      </c>
    </row>
    <row r="904" customFormat="false" ht="15" hidden="false" customHeight="false" outlineLevel="0" collapsed="false">
      <c r="A904" s="22"/>
      <c r="B904" s="23"/>
      <c r="C904" s="23"/>
      <c r="D904" s="23"/>
      <c r="E904" s="24"/>
      <c r="F904" s="23"/>
      <c r="G904" s="23"/>
      <c r="H904" s="21" t="str">
        <f aca="false">IF(A904="","",DATE(YEAR(A904),MONTH(A904),1))</f>
        <v/>
      </c>
    </row>
    <row r="905" customFormat="false" ht="15" hidden="false" customHeight="false" outlineLevel="0" collapsed="false">
      <c r="A905" s="22"/>
      <c r="B905" s="23"/>
      <c r="C905" s="23"/>
      <c r="D905" s="23"/>
      <c r="E905" s="24"/>
      <c r="F905" s="23"/>
      <c r="G905" s="23"/>
      <c r="H905" s="21" t="str">
        <f aca="false">IF(A905="","",DATE(YEAR(A905),MONTH(A905),1))</f>
        <v/>
      </c>
    </row>
    <row r="906" customFormat="false" ht="15" hidden="false" customHeight="false" outlineLevel="0" collapsed="false">
      <c r="A906" s="22"/>
      <c r="B906" s="23"/>
      <c r="C906" s="23"/>
      <c r="D906" s="23"/>
      <c r="E906" s="24"/>
      <c r="F906" s="23"/>
      <c r="G906" s="23"/>
      <c r="H906" s="21" t="str">
        <f aca="false">IF(A906="","",DATE(YEAR(A906),MONTH(A906),1))</f>
        <v/>
      </c>
    </row>
    <row r="907" customFormat="false" ht="15" hidden="false" customHeight="false" outlineLevel="0" collapsed="false">
      <c r="A907" s="22"/>
      <c r="B907" s="23"/>
      <c r="C907" s="23"/>
      <c r="D907" s="23"/>
      <c r="E907" s="24"/>
      <c r="F907" s="23"/>
      <c r="G907" s="23"/>
      <c r="H907" s="21" t="str">
        <f aca="false">IF(A907="","",DATE(YEAR(A907),MONTH(A907),1))</f>
        <v/>
      </c>
    </row>
    <row r="908" customFormat="false" ht="15" hidden="false" customHeight="false" outlineLevel="0" collapsed="false">
      <c r="A908" s="22"/>
      <c r="B908" s="23"/>
      <c r="C908" s="23"/>
      <c r="D908" s="23"/>
      <c r="E908" s="24"/>
      <c r="F908" s="23"/>
      <c r="G908" s="23"/>
      <c r="H908" s="21" t="str">
        <f aca="false">IF(A908="","",DATE(YEAR(A908),MONTH(A908),1))</f>
        <v/>
      </c>
    </row>
    <row r="909" customFormat="false" ht="15" hidden="false" customHeight="false" outlineLevel="0" collapsed="false">
      <c r="A909" s="22"/>
      <c r="B909" s="23"/>
      <c r="C909" s="23"/>
      <c r="D909" s="23"/>
      <c r="E909" s="24"/>
      <c r="F909" s="23"/>
      <c r="G909" s="23"/>
      <c r="H909" s="21" t="str">
        <f aca="false">IF(A909="","",DATE(YEAR(A909),MONTH(A909),1))</f>
        <v/>
      </c>
    </row>
    <row r="910" customFormat="false" ht="15" hidden="false" customHeight="false" outlineLevel="0" collapsed="false">
      <c r="A910" s="22"/>
      <c r="B910" s="23"/>
      <c r="C910" s="23"/>
      <c r="D910" s="23"/>
      <c r="E910" s="24"/>
      <c r="F910" s="23"/>
      <c r="G910" s="23"/>
      <c r="H910" s="21" t="str">
        <f aca="false">IF(A910="","",DATE(YEAR(A910),MONTH(A910),1))</f>
        <v/>
      </c>
    </row>
    <row r="911" customFormat="false" ht="15" hidden="false" customHeight="false" outlineLevel="0" collapsed="false">
      <c r="A911" s="22"/>
      <c r="B911" s="23"/>
      <c r="C911" s="23"/>
      <c r="D911" s="23"/>
      <c r="E911" s="24"/>
      <c r="F911" s="23"/>
      <c r="G911" s="23"/>
      <c r="H911" s="21" t="str">
        <f aca="false">IF(A911="","",DATE(YEAR(A911),MONTH(A911),1))</f>
        <v/>
      </c>
    </row>
    <row r="912" customFormat="false" ht="15" hidden="false" customHeight="false" outlineLevel="0" collapsed="false">
      <c r="A912" s="22"/>
      <c r="B912" s="23"/>
      <c r="C912" s="23"/>
      <c r="D912" s="23"/>
      <c r="E912" s="24"/>
      <c r="F912" s="23"/>
      <c r="G912" s="23"/>
      <c r="H912" s="21" t="str">
        <f aca="false">IF(A912="","",DATE(YEAR(A912),MONTH(A912),1))</f>
        <v/>
      </c>
    </row>
    <row r="913" customFormat="false" ht="15" hidden="false" customHeight="false" outlineLevel="0" collapsed="false">
      <c r="A913" s="22"/>
      <c r="B913" s="23"/>
      <c r="C913" s="23"/>
      <c r="D913" s="23"/>
      <c r="E913" s="24"/>
      <c r="F913" s="23"/>
      <c r="G913" s="23"/>
      <c r="H913" s="21" t="str">
        <f aca="false">IF(A913="","",DATE(YEAR(A913),MONTH(A913),1))</f>
        <v/>
      </c>
    </row>
    <row r="914" customFormat="false" ht="15" hidden="false" customHeight="false" outlineLevel="0" collapsed="false">
      <c r="A914" s="22"/>
      <c r="B914" s="23"/>
      <c r="C914" s="23"/>
      <c r="D914" s="23"/>
      <c r="E914" s="24"/>
      <c r="F914" s="23"/>
      <c r="G914" s="23"/>
      <c r="H914" s="21" t="str">
        <f aca="false">IF(A914="","",DATE(YEAR(A914),MONTH(A914),1))</f>
        <v/>
      </c>
    </row>
    <row r="915" customFormat="false" ht="15" hidden="false" customHeight="false" outlineLevel="0" collapsed="false">
      <c r="A915" s="22"/>
      <c r="B915" s="23"/>
      <c r="C915" s="23"/>
      <c r="D915" s="23"/>
      <c r="E915" s="24"/>
      <c r="F915" s="23"/>
      <c r="G915" s="23"/>
      <c r="H915" s="21" t="str">
        <f aca="false">IF(A915="","",DATE(YEAR(A915),MONTH(A915),1))</f>
        <v/>
      </c>
    </row>
    <row r="916" customFormat="false" ht="15" hidden="false" customHeight="false" outlineLevel="0" collapsed="false">
      <c r="A916" s="22"/>
      <c r="B916" s="23"/>
      <c r="C916" s="23"/>
      <c r="D916" s="23"/>
      <c r="E916" s="24"/>
      <c r="F916" s="23"/>
      <c r="G916" s="23"/>
      <c r="H916" s="21" t="str">
        <f aca="false">IF(A916="","",DATE(YEAR(A916),MONTH(A916),1))</f>
        <v/>
      </c>
    </row>
    <row r="917" customFormat="false" ht="15" hidden="false" customHeight="false" outlineLevel="0" collapsed="false">
      <c r="A917" s="22"/>
      <c r="B917" s="23"/>
      <c r="C917" s="23"/>
      <c r="D917" s="23"/>
      <c r="E917" s="24"/>
      <c r="F917" s="23"/>
      <c r="G917" s="23"/>
      <c r="H917" s="21" t="str">
        <f aca="false">IF(A917="","",DATE(YEAR(A917),MONTH(A917),1))</f>
        <v/>
      </c>
    </row>
    <row r="918" customFormat="false" ht="15" hidden="false" customHeight="false" outlineLevel="0" collapsed="false">
      <c r="A918" s="22"/>
      <c r="B918" s="23"/>
      <c r="C918" s="23"/>
      <c r="D918" s="23"/>
      <c r="E918" s="24"/>
      <c r="F918" s="23"/>
      <c r="G918" s="23"/>
      <c r="H918" s="21" t="str">
        <f aca="false">IF(A918="","",DATE(YEAR(A918),MONTH(A918),1))</f>
        <v/>
      </c>
    </row>
    <row r="919" customFormat="false" ht="15" hidden="false" customHeight="false" outlineLevel="0" collapsed="false">
      <c r="A919" s="22"/>
      <c r="B919" s="23"/>
      <c r="C919" s="23"/>
      <c r="D919" s="23"/>
      <c r="E919" s="24"/>
      <c r="F919" s="23"/>
      <c r="G919" s="23"/>
      <c r="H919" s="21" t="str">
        <f aca="false">IF(A919="","",DATE(YEAR(A919),MONTH(A919),1))</f>
        <v/>
      </c>
    </row>
    <row r="920" customFormat="false" ht="15" hidden="false" customHeight="false" outlineLevel="0" collapsed="false">
      <c r="A920" s="22"/>
      <c r="B920" s="23"/>
      <c r="C920" s="23"/>
      <c r="D920" s="23"/>
      <c r="E920" s="24"/>
      <c r="F920" s="23"/>
      <c r="G920" s="23"/>
      <c r="H920" s="21" t="str">
        <f aca="false">IF(A920="","",DATE(YEAR(A920),MONTH(A920),1))</f>
        <v/>
      </c>
    </row>
    <row r="921" customFormat="false" ht="15" hidden="false" customHeight="false" outlineLevel="0" collapsed="false">
      <c r="A921" s="22"/>
      <c r="B921" s="23"/>
      <c r="C921" s="23"/>
      <c r="D921" s="23"/>
      <c r="E921" s="24"/>
      <c r="F921" s="23"/>
      <c r="G921" s="23"/>
      <c r="H921" s="21" t="str">
        <f aca="false">IF(A921="","",DATE(YEAR(A921),MONTH(A921),1))</f>
        <v/>
      </c>
    </row>
    <row r="922" customFormat="false" ht="15" hidden="false" customHeight="false" outlineLevel="0" collapsed="false">
      <c r="A922" s="22"/>
      <c r="B922" s="23"/>
      <c r="C922" s="23"/>
      <c r="D922" s="23"/>
      <c r="E922" s="24"/>
      <c r="F922" s="23"/>
      <c r="G922" s="23"/>
      <c r="H922" s="21" t="str">
        <f aca="false">IF(A922="","",DATE(YEAR(A922),MONTH(A922),1))</f>
        <v/>
      </c>
    </row>
    <row r="923" customFormat="false" ht="15" hidden="false" customHeight="false" outlineLevel="0" collapsed="false">
      <c r="A923" s="22"/>
      <c r="B923" s="23"/>
      <c r="C923" s="23"/>
      <c r="D923" s="23"/>
      <c r="E923" s="24"/>
      <c r="F923" s="23"/>
      <c r="G923" s="23"/>
      <c r="H923" s="21" t="str">
        <f aca="false">IF(A923="","",DATE(YEAR(A923),MONTH(A923),1))</f>
        <v/>
      </c>
    </row>
    <row r="924" customFormat="false" ht="15" hidden="false" customHeight="false" outlineLevel="0" collapsed="false">
      <c r="A924" s="22"/>
      <c r="B924" s="23"/>
      <c r="C924" s="23"/>
      <c r="D924" s="23"/>
      <c r="E924" s="24"/>
      <c r="F924" s="23"/>
      <c r="G924" s="23"/>
      <c r="H924" s="21" t="str">
        <f aca="false">IF(A924="","",DATE(YEAR(A924),MONTH(A924),1))</f>
        <v/>
      </c>
    </row>
    <row r="925" customFormat="false" ht="15" hidden="false" customHeight="false" outlineLevel="0" collapsed="false">
      <c r="A925" s="22"/>
      <c r="B925" s="23"/>
      <c r="C925" s="23"/>
      <c r="D925" s="23"/>
      <c r="E925" s="24"/>
      <c r="F925" s="23"/>
      <c r="G925" s="23"/>
      <c r="H925" s="21" t="str">
        <f aca="false">IF(A925="","",DATE(YEAR(A925),MONTH(A925),1))</f>
        <v/>
      </c>
    </row>
    <row r="926" customFormat="false" ht="15" hidden="false" customHeight="false" outlineLevel="0" collapsed="false">
      <c r="A926" s="22"/>
      <c r="B926" s="23"/>
      <c r="C926" s="23"/>
      <c r="D926" s="23"/>
      <c r="E926" s="24"/>
      <c r="F926" s="23"/>
      <c r="G926" s="23"/>
      <c r="H926" s="21" t="str">
        <f aca="false">IF(A926="","",DATE(YEAR(A926),MONTH(A926),1))</f>
        <v/>
      </c>
    </row>
    <row r="927" customFormat="false" ht="15" hidden="false" customHeight="false" outlineLevel="0" collapsed="false">
      <c r="A927" s="22"/>
      <c r="B927" s="23"/>
      <c r="C927" s="23"/>
      <c r="D927" s="23"/>
      <c r="E927" s="24"/>
      <c r="F927" s="23"/>
      <c r="G927" s="23"/>
      <c r="H927" s="21" t="str">
        <f aca="false">IF(A927="","",DATE(YEAR(A927),MONTH(A927),1))</f>
        <v/>
      </c>
    </row>
    <row r="928" customFormat="false" ht="15" hidden="false" customHeight="false" outlineLevel="0" collapsed="false">
      <c r="A928" s="22"/>
      <c r="B928" s="23"/>
      <c r="C928" s="23"/>
      <c r="D928" s="23"/>
      <c r="E928" s="24"/>
      <c r="F928" s="23"/>
      <c r="G928" s="23"/>
      <c r="H928" s="21" t="str">
        <f aca="false">IF(A928="","",DATE(YEAR(A928),MONTH(A928),1))</f>
        <v/>
      </c>
    </row>
    <row r="929" customFormat="false" ht="15" hidden="false" customHeight="false" outlineLevel="0" collapsed="false">
      <c r="A929" s="22"/>
      <c r="B929" s="23"/>
      <c r="C929" s="23"/>
      <c r="D929" s="23"/>
      <c r="E929" s="24"/>
      <c r="F929" s="23"/>
      <c r="G929" s="23"/>
      <c r="H929" s="21" t="str">
        <f aca="false">IF(A929="","",DATE(YEAR(A929),MONTH(A929),1))</f>
        <v/>
      </c>
    </row>
    <row r="930" customFormat="false" ht="15" hidden="false" customHeight="false" outlineLevel="0" collapsed="false">
      <c r="A930" s="22"/>
      <c r="B930" s="23"/>
      <c r="C930" s="23"/>
      <c r="D930" s="23"/>
      <c r="E930" s="24"/>
      <c r="F930" s="23"/>
      <c r="G930" s="23"/>
      <c r="H930" s="21" t="str">
        <f aca="false">IF(A930="","",DATE(YEAR(A930),MONTH(A930),1))</f>
        <v/>
      </c>
    </row>
    <row r="931" customFormat="false" ht="15" hidden="false" customHeight="false" outlineLevel="0" collapsed="false">
      <c r="A931" s="22"/>
      <c r="B931" s="23"/>
      <c r="C931" s="23"/>
      <c r="D931" s="23"/>
      <c r="E931" s="24"/>
      <c r="F931" s="23"/>
      <c r="G931" s="23"/>
      <c r="H931" s="21" t="str">
        <f aca="false">IF(A931="","",DATE(YEAR(A931),MONTH(A931),1))</f>
        <v/>
      </c>
    </row>
    <row r="932" customFormat="false" ht="15" hidden="false" customHeight="false" outlineLevel="0" collapsed="false">
      <c r="A932" s="22"/>
      <c r="B932" s="23"/>
      <c r="C932" s="23"/>
      <c r="D932" s="23"/>
      <c r="E932" s="24"/>
      <c r="F932" s="23"/>
      <c r="G932" s="23"/>
      <c r="H932" s="21" t="str">
        <f aca="false">IF(A932="","",DATE(YEAR(A932),MONTH(A932),1))</f>
        <v/>
      </c>
    </row>
    <row r="933" customFormat="false" ht="15" hidden="false" customHeight="false" outlineLevel="0" collapsed="false">
      <c r="A933" s="22"/>
      <c r="B933" s="23"/>
      <c r="C933" s="23"/>
      <c r="D933" s="23"/>
      <c r="E933" s="24"/>
      <c r="F933" s="23"/>
      <c r="G933" s="23"/>
      <c r="H933" s="21" t="str">
        <f aca="false">IF(A933="","",DATE(YEAR(A933),MONTH(A933),1))</f>
        <v/>
      </c>
    </row>
    <row r="934" customFormat="false" ht="15" hidden="false" customHeight="false" outlineLevel="0" collapsed="false">
      <c r="A934" s="22"/>
      <c r="B934" s="23"/>
      <c r="C934" s="23"/>
      <c r="D934" s="23"/>
      <c r="E934" s="24"/>
      <c r="F934" s="23"/>
      <c r="G934" s="23"/>
      <c r="H934" s="21" t="str">
        <f aca="false">IF(A934="","",DATE(YEAR(A934),MONTH(A934),1))</f>
        <v/>
      </c>
    </row>
    <row r="935" customFormat="false" ht="15" hidden="false" customHeight="false" outlineLevel="0" collapsed="false">
      <c r="A935" s="22"/>
      <c r="B935" s="23"/>
      <c r="C935" s="23"/>
      <c r="D935" s="23"/>
      <c r="E935" s="24"/>
      <c r="F935" s="23"/>
      <c r="G935" s="23"/>
      <c r="H935" s="21" t="str">
        <f aca="false">IF(A935="","",DATE(YEAR(A935),MONTH(A935),1))</f>
        <v/>
      </c>
    </row>
    <row r="936" customFormat="false" ht="15" hidden="false" customHeight="false" outlineLevel="0" collapsed="false">
      <c r="A936" s="22"/>
      <c r="B936" s="23"/>
      <c r="C936" s="23"/>
      <c r="D936" s="23"/>
      <c r="E936" s="24"/>
      <c r="F936" s="23"/>
      <c r="G936" s="23"/>
      <c r="H936" s="21" t="str">
        <f aca="false">IF(A936="","",DATE(YEAR(A936),MONTH(A936),1))</f>
        <v/>
      </c>
    </row>
    <row r="937" customFormat="false" ht="15" hidden="false" customHeight="false" outlineLevel="0" collapsed="false">
      <c r="A937" s="22"/>
      <c r="B937" s="23"/>
      <c r="C937" s="23"/>
      <c r="D937" s="23"/>
      <c r="E937" s="24"/>
      <c r="F937" s="23"/>
      <c r="G937" s="23"/>
      <c r="H937" s="21" t="str">
        <f aca="false">IF(A937="","",DATE(YEAR(A937),MONTH(A937),1))</f>
        <v/>
      </c>
    </row>
    <row r="938" customFormat="false" ht="15" hidden="false" customHeight="false" outlineLevel="0" collapsed="false">
      <c r="A938" s="22"/>
      <c r="B938" s="23"/>
      <c r="C938" s="23"/>
      <c r="D938" s="23"/>
      <c r="E938" s="24"/>
      <c r="F938" s="23"/>
      <c r="G938" s="23"/>
      <c r="H938" s="21" t="str">
        <f aca="false">IF(A938="","",DATE(YEAR(A938),MONTH(A938),1))</f>
        <v/>
      </c>
    </row>
    <row r="939" customFormat="false" ht="15" hidden="false" customHeight="false" outlineLevel="0" collapsed="false">
      <c r="A939" s="22"/>
      <c r="B939" s="23"/>
      <c r="C939" s="23"/>
      <c r="D939" s="23"/>
      <c r="E939" s="24"/>
      <c r="F939" s="23"/>
      <c r="G939" s="23"/>
      <c r="H939" s="21" t="str">
        <f aca="false">IF(A939="","",DATE(YEAR(A939),MONTH(A939),1))</f>
        <v/>
      </c>
    </row>
    <row r="940" customFormat="false" ht="15" hidden="false" customHeight="false" outlineLevel="0" collapsed="false">
      <c r="A940" s="22"/>
      <c r="B940" s="23"/>
      <c r="C940" s="23"/>
      <c r="D940" s="23"/>
      <c r="E940" s="24"/>
      <c r="F940" s="23"/>
      <c r="G940" s="23"/>
      <c r="H940" s="21" t="str">
        <f aca="false">IF(A940="","",DATE(YEAR(A940),MONTH(A940),1))</f>
        <v/>
      </c>
    </row>
    <row r="941" customFormat="false" ht="15" hidden="false" customHeight="false" outlineLevel="0" collapsed="false">
      <c r="A941" s="22"/>
      <c r="B941" s="23"/>
      <c r="C941" s="23"/>
      <c r="D941" s="23"/>
      <c r="E941" s="24"/>
      <c r="F941" s="23"/>
      <c r="G941" s="23"/>
      <c r="H941" s="21" t="str">
        <f aca="false">IF(A941="","",DATE(YEAR(A941),MONTH(A941),1))</f>
        <v/>
      </c>
    </row>
    <row r="942" customFormat="false" ht="15" hidden="false" customHeight="false" outlineLevel="0" collapsed="false">
      <c r="A942" s="22"/>
      <c r="B942" s="23"/>
      <c r="C942" s="23"/>
      <c r="D942" s="23"/>
      <c r="E942" s="24"/>
      <c r="F942" s="23"/>
      <c r="G942" s="23"/>
      <c r="H942" s="21" t="str">
        <f aca="false">IF(A942="","",DATE(YEAR(A942),MONTH(A942),1))</f>
        <v/>
      </c>
    </row>
    <row r="943" customFormat="false" ht="15" hidden="false" customHeight="false" outlineLevel="0" collapsed="false">
      <c r="A943" s="22"/>
      <c r="B943" s="23"/>
      <c r="C943" s="23"/>
      <c r="D943" s="23"/>
      <c r="E943" s="24"/>
      <c r="F943" s="23"/>
      <c r="G943" s="23"/>
      <c r="H943" s="21" t="str">
        <f aca="false">IF(A943="","",DATE(YEAR(A943),MONTH(A943),1))</f>
        <v/>
      </c>
    </row>
    <row r="944" customFormat="false" ht="15" hidden="false" customHeight="false" outlineLevel="0" collapsed="false">
      <c r="A944" s="22"/>
      <c r="B944" s="23"/>
      <c r="C944" s="23"/>
      <c r="D944" s="23"/>
      <c r="E944" s="24"/>
      <c r="F944" s="23"/>
      <c r="G944" s="23"/>
      <c r="H944" s="21" t="str">
        <f aca="false">IF(A944="","",DATE(YEAR(A944),MONTH(A944),1))</f>
        <v/>
      </c>
    </row>
    <row r="945" customFormat="false" ht="15" hidden="false" customHeight="false" outlineLevel="0" collapsed="false">
      <c r="A945" s="22"/>
      <c r="B945" s="23"/>
      <c r="C945" s="23"/>
      <c r="D945" s="23"/>
      <c r="E945" s="24"/>
      <c r="F945" s="23"/>
      <c r="G945" s="23"/>
      <c r="H945" s="21" t="str">
        <f aca="false">IF(A945="","",DATE(YEAR(A945),MONTH(A945),1))</f>
        <v/>
      </c>
    </row>
    <row r="946" customFormat="false" ht="15" hidden="false" customHeight="false" outlineLevel="0" collapsed="false">
      <c r="A946" s="22"/>
      <c r="B946" s="23"/>
      <c r="C946" s="23"/>
      <c r="D946" s="23"/>
      <c r="E946" s="24"/>
      <c r="F946" s="23"/>
      <c r="G946" s="23"/>
      <c r="H946" s="21" t="str">
        <f aca="false">IF(A946="","",DATE(YEAR(A946),MONTH(A946),1))</f>
        <v/>
      </c>
    </row>
    <row r="947" customFormat="false" ht="15" hidden="false" customHeight="false" outlineLevel="0" collapsed="false">
      <c r="A947" s="22"/>
      <c r="B947" s="23"/>
      <c r="C947" s="23"/>
      <c r="D947" s="23"/>
      <c r="E947" s="24"/>
      <c r="F947" s="23"/>
      <c r="G947" s="23"/>
      <c r="H947" s="21" t="str">
        <f aca="false">IF(A947="","",DATE(YEAR(A947),MONTH(A947),1))</f>
        <v/>
      </c>
    </row>
    <row r="948" customFormat="false" ht="15" hidden="false" customHeight="false" outlineLevel="0" collapsed="false">
      <c r="A948" s="22"/>
      <c r="B948" s="23"/>
      <c r="C948" s="23"/>
      <c r="D948" s="23"/>
      <c r="E948" s="24"/>
      <c r="F948" s="23"/>
      <c r="G948" s="23"/>
      <c r="H948" s="21" t="str">
        <f aca="false">IF(A948="","",DATE(YEAR(A948),MONTH(A948),1))</f>
        <v/>
      </c>
    </row>
    <row r="949" customFormat="false" ht="15" hidden="false" customHeight="false" outlineLevel="0" collapsed="false">
      <c r="A949" s="22"/>
      <c r="B949" s="23"/>
      <c r="C949" s="23"/>
      <c r="D949" s="23"/>
      <c r="E949" s="24"/>
      <c r="F949" s="23"/>
      <c r="G949" s="23"/>
      <c r="H949" s="21" t="str">
        <f aca="false">IF(A949="","",DATE(YEAR(A949),MONTH(A949),1))</f>
        <v/>
      </c>
    </row>
    <row r="950" customFormat="false" ht="15" hidden="false" customHeight="false" outlineLevel="0" collapsed="false">
      <c r="A950" s="22"/>
      <c r="B950" s="23"/>
      <c r="C950" s="23"/>
      <c r="D950" s="23"/>
      <c r="E950" s="24"/>
      <c r="F950" s="23"/>
      <c r="G950" s="23"/>
      <c r="H950" s="21" t="str">
        <f aca="false">IF(A950="","",DATE(YEAR(A950),MONTH(A950),1))</f>
        <v/>
      </c>
    </row>
    <row r="951" customFormat="false" ht="15" hidden="false" customHeight="false" outlineLevel="0" collapsed="false">
      <c r="A951" s="22"/>
      <c r="B951" s="23"/>
      <c r="C951" s="23"/>
      <c r="D951" s="23"/>
      <c r="E951" s="24"/>
      <c r="F951" s="23"/>
      <c r="G951" s="23"/>
      <c r="H951" s="21" t="str">
        <f aca="false">IF(A951="","",DATE(YEAR(A951),MONTH(A951),1))</f>
        <v/>
      </c>
    </row>
    <row r="952" customFormat="false" ht="15" hidden="false" customHeight="false" outlineLevel="0" collapsed="false">
      <c r="A952" s="22"/>
      <c r="B952" s="23"/>
      <c r="C952" s="23"/>
      <c r="D952" s="23"/>
      <c r="E952" s="24"/>
      <c r="F952" s="23"/>
      <c r="G952" s="23"/>
      <c r="H952" s="21" t="str">
        <f aca="false">IF(A952="","",DATE(YEAR(A952),MONTH(A952),1))</f>
        <v/>
      </c>
    </row>
    <row r="953" customFormat="false" ht="15" hidden="false" customHeight="false" outlineLevel="0" collapsed="false">
      <c r="A953" s="22"/>
      <c r="B953" s="23"/>
      <c r="C953" s="23"/>
      <c r="D953" s="23"/>
      <c r="E953" s="24"/>
      <c r="F953" s="23"/>
      <c r="G953" s="23"/>
      <c r="H953" s="21" t="str">
        <f aca="false">IF(A953="","",DATE(YEAR(A953),MONTH(A953),1))</f>
        <v/>
      </c>
    </row>
    <row r="954" customFormat="false" ht="15" hidden="false" customHeight="false" outlineLevel="0" collapsed="false">
      <c r="A954" s="22"/>
      <c r="B954" s="23"/>
      <c r="C954" s="23"/>
      <c r="D954" s="23"/>
      <c r="E954" s="24"/>
      <c r="F954" s="23"/>
      <c r="G954" s="23"/>
      <c r="H954" s="21" t="str">
        <f aca="false">IF(A954="","",DATE(YEAR(A954),MONTH(A954),1))</f>
        <v/>
      </c>
    </row>
    <row r="955" customFormat="false" ht="15" hidden="false" customHeight="false" outlineLevel="0" collapsed="false">
      <c r="A955" s="22"/>
      <c r="B955" s="23"/>
      <c r="C955" s="23"/>
      <c r="D955" s="23"/>
      <c r="E955" s="24"/>
      <c r="F955" s="23"/>
      <c r="G955" s="23"/>
      <c r="H955" s="21" t="str">
        <f aca="false">IF(A955="","",DATE(YEAR(A955),MONTH(A955),1))</f>
        <v/>
      </c>
    </row>
    <row r="956" customFormat="false" ht="15" hidden="false" customHeight="false" outlineLevel="0" collapsed="false">
      <c r="A956" s="22"/>
      <c r="B956" s="23"/>
      <c r="C956" s="23"/>
      <c r="D956" s="23"/>
      <c r="E956" s="24"/>
      <c r="F956" s="23"/>
      <c r="G956" s="23"/>
      <c r="H956" s="21" t="str">
        <f aca="false">IF(A956="","",DATE(YEAR(A956),MONTH(A956),1))</f>
        <v/>
      </c>
    </row>
    <row r="957" customFormat="false" ht="15" hidden="false" customHeight="false" outlineLevel="0" collapsed="false">
      <c r="A957" s="22"/>
      <c r="B957" s="23"/>
      <c r="C957" s="23"/>
      <c r="D957" s="23"/>
      <c r="E957" s="24"/>
      <c r="F957" s="23"/>
      <c r="G957" s="23"/>
      <c r="H957" s="21" t="str">
        <f aca="false">IF(A957="","",DATE(YEAR(A957),MONTH(A957),1))</f>
        <v/>
      </c>
    </row>
    <row r="958" customFormat="false" ht="15" hidden="false" customHeight="false" outlineLevel="0" collapsed="false">
      <c r="A958" s="22"/>
      <c r="B958" s="23"/>
      <c r="C958" s="23"/>
      <c r="D958" s="23"/>
      <c r="E958" s="24"/>
      <c r="F958" s="23"/>
      <c r="G958" s="23"/>
      <c r="H958" s="21" t="str">
        <f aca="false">IF(A958="","",DATE(YEAR(A958),MONTH(A958),1))</f>
        <v/>
      </c>
    </row>
    <row r="959" customFormat="false" ht="15" hidden="false" customHeight="false" outlineLevel="0" collapsed="false">
      <c r="A959" s="22"/>
      <c r="B959" s="23"/>
      <c r="C959" s="23"/>
      <c r="D959" s="23"/>
      <c r="E959" s="24"/>
      <c r="F959" s="23"/>
      <c r="G959" s="23"/>
      <c r="H959" s="21" t="str">
        <f aca="false">IF(A959="","",DATE(YEAR(A959),MONTH(A959),1))</f>
        <v/>
      </c>
    </row>
    <row r="960" customFormat="false" ht="15" hidden="false" customHeight="false" outlineLevel="0" collapsed="false">
      <c r="A960" s="22"/>
      <c r="B960" s="23"/>
      <c r="C960" s="23"/>
      <c r="D960" s="23"/>
      <c r="E960" s="24"/>
      <c r="F960" s="23"/>
      <c r="G960" s="23"/>
      <c r="H960" s="21" t="str">
        <f aca="false">IF(A960="","",DATE(YEAR(A960),MONTH(A960),1))</f>
        <v/>
      </c>
    </row>
    <row r="961" customFormat="false" ht="15" hidden="false" customHeight="false" outlineLevel="0" collapsed="false">
      <c r="A961" s="22"/>
      <c r="B961" s="23"/>
      <c r="C961" s="23"/>
      <c r="D961" s="23"/>
      <c r="E961" s="24"/>
      <c r="F961" s="23"/>
      <c r="G961" s="23"/>
      <c r="H961" s="21" t="str">
        <f aca="false">IF(A961="","",DATE(YEAR(A961),MONTH(A961),1))</f>
        <v/>
      </c>
    </row>
    <row r="962" customFormat="false" ht="15" hidden="false" customHeight="false" outlineLevel="0" collapsed="false">
      <c r="A962" s="22"/>
      <c r="B962" s="23"/>
      <c r="C962" s="23"/>
      <c r="D962" s="23"/>
      <c r="E962" s="24"/>
      <c r="F962" s="23"/>
      <c r="G962" s="23"/>
      <c r="H962" s="21" t="str">
        <f aca="false">IF(A962="","",DATE(YEAR(A962),MONTH(A962),1))</f>
        <v/>
      </c>
    </row>
    <row r="963" customFormat="false" ht="15" hidden="false" customHeight="false" outlineLevel="0" collapsed="false">
      <c r="A963" s="22"/>
      <c r="B963" s="23"/>
      <c r="C963" s="23"/>
      <c r="D963" s="23"/>
      <c r="E963" s="24"/>
      <c r="F963" s="23"/>
      <c r="G963" s="23"/>
      <c r="H963" s="21" t="str">
        <f aca="false">IF(A963="","",DATE(YEAR(A963),MONTH(A963),1))</f>
        <v/>
      </c>
    </row>
    <row r="964" customFormat="false" ht="15" hidden="false" customHeight="false" outlineLevel="0" collapsed="false">
      <c r="A964" s="22"/>
      <c r="B964" s="23"/>
      <c r="C964" s="23"/>
      <c r="D964" s="23"/>
      <c r="E964" s="24"/>
      <c r="F964" s="23"/>
      <c r="G964" s="23"/>
      <c r="H964" s="21" t="str">
        <f aca="false">IF(A964="","",DATE(YEAR(A964),MONTH(A964),1))</f>
        <v/>
      </c>
    </row>
    <row r="965" customFormat="false" ht="15" hidden="false" customHeight="false" outlineLevel="0" collapsed="false">
      <c r="A965" s="22"/>
      <c r="B965" s="23"/>
      <c r="C965" s="23"/>
      <c r="D965" s="23"/>
      <c r="E965" s="24"/>
      <c r="F965" s="23"/>
      <c r="G965" s="23"/>
      <c r="H965" s="21" t="str">
        <f aca="false">IF(A965="","",DATE(YEAR(A965),MONTH(A965),1))</f>
        <v/>
      </c>
    </row>
    <row r="966" customFormat="false" ht="15" hidden="false" customHeight="false" outlineLevel="0" collapsed="false">
      <c r="A966" s="22"/>
      <c r="B966" s="23"/>
      <c r="C966" s="23"/>
      <c r="D966" s="23"/>
      <c r="E966" s="24"/>
      <c r="F966" s="23"/>
      <c r="G966" s="23"/>
      <c r="H966" s="21" t="str">
        <f aca="false">IF(A966="","",DATE(YEAR(A966),MONTH(A966),1))</f>
        <v/>
      </c>
    </row>
    <row r="967" customFormat="false" ht="15" hidden="false" customHeight="false" outlineLevel="0" collapsed="false">
      <c r="A967" s="22"/>
      <c r="B967" s="23"/>
      <c r="C967" s="23"/>
      <c r="D967" s="23"/>
      <c r="E967" s="24"/>
      <c r="F967" s="23"/>
      <c r="G967" s="23"/>
      <c r="H967" s="21" t="str">
        <f aca="false">IF(A967="","",DATE(YEAR(A967),MONTH(A967),1))</f>
        <v/>
      </c>
    </row>
    <row r="968" customFormat="false" ht="15" hidden="false" customHeight="false" outlineLevel="0" collapsed="false">
      <c r="A968" s="22"/>
      <c r="B968" s="23"/>
      <c r="C968" s="23"/>
      <c r="D968" s="23"/>
      <c r="E968" s="24"/>
      <c r="F968" s="23"/>
      <c r="G968" s="23"/>
      <c r="H968" s="21" t="str">
        <f aca="false">IF(A968="","",DATE(YEAR(A968),MONTH(A968),1))</f>
        <v/>
      </c>
    </row>
    <row r="969" customFormat="false" ht="15" hidden="false" customHeight="false" outlineLevel="0" collapsed="false">
      <c r="A969" s="22"/>
      <c r="B969" s="23"/>
      <c r="C969" s="23"/>
      <c r="D969" s="23"/>
      <c r="E969" s="24"/>
      <c r="F969" s="23"/>
      <c r="G969" s="23"/>
      <c r="H969" s="21" t="str">
        <f aca="false">IF(A969="","",DATE(YEAR(A969),MONTH(A969),1))</f>
        <v/>
      </c>
    </row>
    <row r="970" customFormat="false" ht="15" hidden="false" customHeight="false" outlineLevel="0" collapsed="false">
      <c r="A970" s="22"/>
      <c r="B970" s="23"/>
      <c r="C970" s="23"/>
      <c r="D970" s="23"/>
      <c r="E970" s="24"/>
      <c r="F970" s="23"/>
      <c r="G970" s="23"/>
      <c r="H970" s="21" t="str">
        <f aca="false">IF(A970="","",DATE(YEAR(A970),MONTH(A970),1))</f>
        <v/>
      </c>
    </row>
    <row r="971" customFormat="false" ht="15" hidden="false" customHeight="false" outlineLevel="0" collapsed="false">
      <c r="A971" s="22"/>
      <c r="B971" s="23"/>
      <c r="C971" s="23"/>
      <c r="D971" s="23"/>
      <c r="E971" s="24"/>
      <c r="F971" s="23"/>
      <c r="G971" s="23"/>
      <c r="H971" s="21" t="str">
        <f aca="false">IF(A971="","",DATE(YEAR(A971),MONTH(A971),1))</f>
        <v/>
      </c>
    </row>
    <row r="972" customFormat="false" ht="15" hidden="false" customHeight="false" outlineLevel="0" collapsed="false">
      <c r="A972" s="22"/>
      <c r="B972" s="23"/>
      <c r="C972" s="23"/>
      <c r="D972" s="23"/>
      <c r="E972" s="24"/>
      <c r="F972" s="23"/>
      <c r="G972" s="23"/>
      <c r="H972" s="21" t="str">
        <f aca="false">IF(A972="","",DATE(YEAR(A972),MONTH(A972),1))</f>
        <v/>
      </c>
    </row>
    <row r="973" customFormat="false" ht="15" hidden="false" customHeight="false" outlineLevel="0" collapsed="false">
      <c r="A973" s="22"/>
      <c r="B973" s="23"/>
      <c r="C973" s="23"/>
      <c r="D973" s="23"/>
      <c r="E973" s="24"/>
      <c r="F973" s="23"/>
      <c r="G973" s="23"/>
      <c r="H973" s="21" t="str">
        <f aca="false">IF(A973="","",DATE(YEAR(A973),MONTH(A973),1))</f>
        <v/>
      </c>
    </row>
    <row r="974" customFormat="false" ht="15" hidden="false" customHeight="false" outlineLevel="0" collapsed="false">
      <c r="A974" s="22"/>
      <c r="B974" s="23"/>
      <c r="C974" s="23"/>
      <c r="D974" s="23"/>
      <c r="E974" s="24"/>
      <c r="F974" s="23"/>
      <c r="G974" s="23"/>
      <c r="H974" s="21" t="str">
        <f aca="false">IF(A974="","",DATE(YEAR(A974),MONTH(A974),1))</f>
        <v/>
      </c>
    </row>
    <row r="975" customFormat="false" ht="15" hidden="false" customHeight="false" outlineLevel="0" collapsed="false">
      <c r="A975" s="22"/>
      <c r="B975" s="23"/>
      <c r="C975" s="23"/>
      <c r="D975" s="23"/>
      <c r="E975" s="24"/>
      <c r="F975" s="23"/>
      <c r="G975" s="23"/>
      <c r="H975" s="21" t="str">
        <f aca="false">IF(A975="","",DATE(YEAR(A975),MONTH(A975),1))</f>
        <v/>
      </c>
    </row>
    <row r="976" customFormat="false" ht="15" hidden="false" customHeight="false" outlineLevel="0" collapsed="false">
      <c r="A976" s="22"/>
      <c r="B976" s="23"/>
      <c r="C976" s="23"/>
      <c r="D976" s="23"/>
      <c r="E976" s="24"/>
      <c r="F976" s="23"/>
      <c r="G976" s="23"/>
      <c r="H976" s="21" t="str">
        <f aca="false">IF(A976="","",DATE(YEAR(A976),MONTH(A976),1))</f>
        <v/>
      </c>
    </row>
    <row r="977" customFormat="false" ht="15" hidden="false" customHeight="false" outlineLevel="0" collapsed="false">
      <c r="A977" s="22"/>
      <c r="B977" s="23"/>
      <c r="C977" s="23"/>
      <c r="D977" s="23"/>
      <c r="E977" s="24"/>
      <c r="F977" s="23"/>
      <c r="G977" s="23"/>
      <c r="H977" s="21" t="str">
        <f aca="false">IF(A977="","",DATE(YEAR(A977),MONTH(A977),1))</f>
        <v/>
      </c>
    </row>
    <row r="978" customFormat="false" ht="15" hidden="false" customHeight="false" outlineLevel="0" collapsed="false">
      <c r="A978" s="22"/>
      <c r="B978" s="23"/>
      <c r="C978" s="23"/>
      <c r="D978" s="23"/>
      <c r="E978" s="24"/>
      <c r="F978" s="23"/>
      <c r="G978" s="23"/>
      <c r="H978" s="21" t="str">
        <f aca="false">IF(A978="","",DATE(YEAR(A978),MONTH(A978),1))</f>
        <v/>
      </c>
    </row>
    <row r="979" customFormat="false" ht="15" hidden="false" customHeight="false" outlineLevel="0" collapsed="false">
      <c r="A979" s="22"/>
      <c r="B979" s="23"/>
      <c r="C979" s="23"/>
      <c r="D979" s="23"/>
      <c r="E979" s="24"/>
      <c r="F979" s="23"/>
      <c r="G979" s="23"/>
      <c r="H979" s="21" t="str">
        <f aca="false">IF(A979="","",DATE(YEAR(A979),MONTH(A979),1))</f>
        <v/>
      </c>
    </row>
    <row r="980" customFormat="false" ht="15" hidden="false" customHeight="false" outlineLevel="0" collapsed="false">
      <c r="A980" s="22"/>
      <c r="B980" s="23"/>
      <c r="C980" s="23"/>
      <c r="D980" s="23"/>
      <c r="E980" s="24"/>
      <c r="F980" s="23"/>
      <c r="G980" s="23"/>
      <c r="H980" s="21" t="str">
        <f aca="false">IF(A980="","",DATE(YEAR(A980),MONTH(A980),1))</f>
        <v/>
      </c>
    </row>
    <row r="981" customFormat="false" ht="15" hidden="false" customHeight="false" outlineLevel="0" collapsed="false">
      <c r="A981" s="22"/>
      <c r="B981" s="23"/>
      <c r="C981" s="23"/>
      <c r="D981" s="23"/>
      <c r="E981" s="24"/>
      <c r="F981" s="23"/>
      <c r="G981" s="23"/>
      <c r="H981" s="21" t="str">
        <f aca="false">IF(A981="","",DATE(YEAR(A981),MONTH(A981),1))</f>
        <v/>
      </c>
    </row>
    <row r="982" customFormat="false" ht="15" hidden="false" customHeight="false" outlineLevel="0" collapsed="false">
      <c r="A982" s="22"/>
      <c r="B982" s="23"/>
      <c r="C982" s="23"/>
      <c r="D982" s="23"/>
      <c r="E982" s="24"/>
      <c r="F982" s="23"/>
      <c r="G982" s="23"/>
      <c r="H982" s="21" t="str">
        <f aca="false">IF(A982="","",DATE(YEAR(A982),MONTH(A982),1))</f>
        <v/>
      </c>
    </row>
    <row r="983" customFormat="false" ht="15" hidden="false" customHeight="false" outlineLevel="0" collapsed="false">
      <c r="A983" s="22"/>
      <c r="B983" s="23"/>
      <c r="C983" s="23"/>
      <c r="D983" s="23"/>
      <c r="E983" s="24"/>
      <c r="F983" s="23"/>
      <c r="G983" s="23"/>
      <c r="H983" s="21" t="str">
        <f aca="false">IF(A983="","",DATE(YEAR(A983),MONTH(A983),1))</f>
        <v/>
      </c>
    </row>
    <row r="984" customFormat="false" ht="15" hidden="false" customHeight="false" outlineLevel="0" collapsed="false">
      <c r="A984" s="22"/>
      <c r="B984" s="23"/>
      <c r="C984" s="23"/>
      <c r="D984" s="23"/>
      <c r="E984" s="24"/>
      <c r="F984" s="23"/>
      <c r="G984" s="23"/>
      <c r="H984" s="21" t="str">
        <f aca="false">IF(A984="","",DATE(YEAR(A984),MONTH(A984),1))</f>
        <v/>
      </c>
    </row>
    <row r="985" customFormat="false" ht="15" hidden="false" customHeight="false" outlineLevel="0" collapsed="false">
      <c r="A985" s="22"/>
      <c r="B985" s="23"/>
      <c r="C985" s="23"/>
      <c r="D985" s="23"/>
      <c r="E985" s="24"/>
      <c r="F985" s="23"/>
      <c r="G985" s="23"/>
      <c r="H985" s="21" t="str">
        <f aca="false">IF(A985="","",DATE(YEAR(A985),MONTH(A985),1))</f>
        <v/>
      </c>
    </row>
    <row r="986" customFormat="false" ht="15" hidden="false" customHeight="false" outlineLevel="0" collapsed="false">
      <c r="A986" s="22"/>
      <c r="B986" s="23"/>
      <c r="C986" s="23"/>
      <c r="D986" s="23"/>
      <c r="E986" s="24"/>
      <c r="F986" s="23"/>
      <c r="G986" s="23"/>
      <c r="H986" s="21" t="str">
        <f aca="false">IF(A986="","",DATE(YEAR(A986),MONTH(A986),1))</f>
        <v/>
      </c>
    </row>
    <row r="987" customFormat="false" ht="15" hidden="false" customHeight="false" outlineLevel="0" collapsed="false">
      <c r="A987" s="22"/>
      <c r="B987" s="23"/>
      <c r="C987" s="23"/>
      <c r="D987" s="23"/>
      <c r="E987" s="24"/>
      <c r="F987" s="23"/>
      <c r="G987" s="23"/>
      <c r="H987" s="21" t="str">
        <f aca="false">IF(A987="","",DATE(YEAR(A987),MONTH(A987),1))</f>
        <v/>
      </c>
    </row>
    <row r="988" customFormat="false" ht="15" hidden="false" customHeight="false" outlineLevel="0" collapsed="false">
      <c r="A988" s="22"/>
      <c r="B988" s="23"/>
      <c r="C988" s="23"/>
      <c r="D988" s="23"/>
      <c r="E988" s="24"/>
      <c r="F988" s="23"/>
      <c r="G988" s="23"/>
      <c r="H988" s="21" t="str">
        <f aca="false">IF(A988="","",DATE(YEAR(A988),MONTH(A988),1))</f>
        <v/>
      </c>
    </row>
    <row r="989" customFormat="false" ht="15" hidden="false" customHeight="false" outlineLevel="0" collapsed="false">
      <c r="A989" s="22"/>
      <c r="B989" s="23"/>
      <c r="C989" s="23"/>
      <c r="D989" s="23"/>
      <c r="E989" s="24"/>
      <c r="F989" s="23"/>
      <c r="G989" s="23"/>
      <c r="H989" s="21" t="str">
        <f aca="false">IF(A989="","",DATE(YEAR(A989),MONTH(A989),1))</f>
        <v/>
      </c>
    </row>
    <row r="990" customFormat="false" ht="15" hidden="false" customHeight="false" outlineLevel="0" collapsed="false">
      <c r="A990" s="22"/>
      <c r="B990" s="23"/>
      <c r="C990" s="23"/>
      <c r="D990" s="23"/>
      <c r="E990" s="24"/>
      <c r="F990" s="23"/>
      <c r="G990" s="23"/>
      <c r="H990" s="21" t="str">
        <f aca="false">IF(A990="","",DATE(YEAR(A990),MONTH(A990),1))</f>
        <v/>
      </c>
    </row>
    <row r="991" customFormat="false" ht="15" hidden="false" customHeight="false" outlineLevel="0" collapsed="false">
      <c r="A991" s="22"/>
      <c r="B991" s="23"/>
      <c r="C991" s="23"/>
      <c r="D991" s="23"/>
      <c r="E991" s="24"/>
      <c r="F991" s="23"/>
      <c r="G991" s="23"/>
      <c r="H991" s="21" t="str">
        <f aca="false">IF(A991="","",DATE(YEAR(A991),MONTH(A991),1))</f>
        <v/>
      </c>
    </row>
    <row r="992" customFormat="false" ht="15" hidden="false" customHeight="false" outlineLevel="0" collapsed="false">
      <c r="A992" s="22"/>
      <c r="B992" s="23"/>
      <c r="C992" s="23"/>
      <c r="D992" s="23"/>
      <c r="E992" s="24"/>
      <c r="F992" s="23"/>
      <c r="G992" s="23"/>
      <c r="H992" s="21" t="str">
        <f aca="false">IF(A992="","",DATE(YEAR(A992),MONTH(A992),1))</f>
        <v/>
      </c>
    </row>
    <row r="993" customFormat="false" ht="15" hidden="false" customHeight="false" outlineLevel="0" collapsed="false">
      <c r="A993" s="22"/>
      <c r="B993" s="23"/>
      <c r="C993" s="23"/>
      <c r="D993" s="23"/>
      <c r="E993" s="24"/>
      <c r="F993" s="23"/>
      <c r="G993" s="23"/>
      <c r="H993" s="21" t="str">
        <f aca="false">IF(A993="","",DATE(YEAR(A993),MONTH(A993),1))</f>
        <v/>
      </c>
    </row>
    <row r="994" customFormat="false" ht="15" hidden="false" customHeight="false" outlineLevel="0" collapsed="false">
      <c r="A994" s="22"/>
      <c r="B994" s="23"/>
      <c r="C994" s="23"/>
      <c r="D994" s="23"/>
      <c r="E994" s="24"/>
      <c r="F994" s="23"/>
      <c r="G994" s="23"/>
      <c r="H994" s="21" t="str">
        <f aca="false">IF(A994="","",DATE(YEAR(A994),MONTH(A994),1))</f>
        <v/>
      </c>
    </row>
    <row r="995" customFormat="false" ht="15" hidden="false" customHeight="false" outlineLevel="0" collapsed="false">
      <c r="A995" s="22"/>
      <c r="B995" s="23"/>
      <c r="C995" s="23"/>
      <c r="D995" s="23"/>
      <c r="E995" s="24"/>
      <c r="F995" s="23"/>
      <c r="G995" s="23"/>
      <c r="H995" s="21" t="str">
        <f aca="false">IF(A995="","",DATE(YEAR(A995),MONTH(A995),1))</f>
        <v/>
      </c>
    </row>
    <row r="996" customFormat="false" ht="15" hidden="false" customHeight="false" outlineLevel="0" collapsed="false">
      <c r="A996" s="22"/>
      <c r="B996" s="23"/>
      <c r="C996" s="23"/>
      <c r="D996" s="23"/>
      <c r="E996" s="24"/>
      <c r="F996" s="23"/>
      <c r="G996" s="23"/>
      <c r="H996" s="21" t="str">
        <f aca="false">IF(A996="","",DATE(YEAR(A996),MONTH(A996),1))</f>
        <v/>
      </c>
    </row>
    <row r="997" customFormat="false" ht="15" hidden="false" customHeight="false" outlineLevel="0" collapsed="false">
      <c r="A997" s="22"/>
      <c r="B997" s="23"/>
      <c r="C997" s="23"/>
      <c r="D997" s="23"/>
      <c r="E997" s="24"/>
      <c r="F997" s="23"/>
      <c r="G997" s="23"/>
      <c r="H997" s="21" t="str">
        <f aca="false">IF(A997="","",DATE(YEAR(A997),MONTH(A997),1))</f>
        <v/>
      </c>
    </row>
    <row r="998" customFormat="false" ht="15" hidden="false" customHeight="false" outlineLevel="0" collapsed="false">
      <c r="A998" s="22"/>
      <c r="B998" s="23"/>
      <c r="C998" s="23"/>
      <c r="D998" s="23"/>
      <c r="E998" s="24"/>
      <c r="F998" s="23"/>
      <c r="G998" s="23"/>
      <c r="H998" s="21" t="str">
        <f aca="false">IF(A998="","",DATE(YEAR(A998),MONTH(A998),1))</f>
        <v/>
      </c>
    </row>
    <row r="999" customFormat="false" ht="15" hidden="false" customHeight="false" outlineLevel="0" collapsed="false">
      <c r="A999" s="22"/>
      <c r="B999" s="23"/>
      <c r="C999" s="23"/>
      <c r="D999" s="23"/>
      <c r="E999" s="24"/>
      <c r="F999" s="23"/>
      <c r="G999" s="23"/>
      <c r="H999" s="21" t="str">
        <f aca="false">IF(A999="","",DATE(YEAR(A999),MONTH(A999),1))</f>
        <v/>
      </c>
    </row>
    <row r="1000" customFormat="false" ht="15" hidden="false" customHeight="false" outlineLevel="0" collapsed="false">
      <c r="A1000" s="22"/>
      <c r="B1000" s="23"/>
      <c r="C1000" s="23"/>
      <c r="D1000" s="23"/>
      <c r="E1000" s="24"/>
      <c r="F1000" s="23"/>
      <c r="G1000" s="23"/>
      <c r="H1000" s="21" t="str">
        <f aca="false">IF(A1000="","",DATE(YEAR(A1000),MONTH(A1000),1))</f>
        <v/>
      </c>
    </row>
    <row r="1001" customFormat="false" ht="15" hidden="false" customHeight="false" outlineLevel="0" collapsed="false">
      <c r="A1001" s="22"/>
      <c r="B1001" s="23"/>
      <c r="C1001" s="23"/>
      <c r="D1001" s="23"/>
      <c r="E1001" s="24"/>
      <c r="F1001" s="23"/>
      <c r="G1001" s="23"/>
      <c r="H1001" s="21" t="str">
        <f aca="false">IF(A1001="","",DATE(YEAR(A1001),MONTH(A1001),1))</f>
        <v/>
      </c>
    </row>
    <row r="1002" customFormat="false" ht="15" hidden="false" customHeight="false" outlineLevel="0" collapsed="false">
      <c r="A1002" s="22"/>
      <c r="B1002" s="23"/>
      <c r="C1002" s="23"/>
      <c r="D1002" s="23"/>
      <c r="E1002" s="24"/>
      <c r="F1002" s="23"/>
      <c r="G1002" s="23"/>
      <c r="H1002" s="21" t="str">
        <f aca="false">IF(A1002="","",DATE(YEAR(A1002),MONTH(A1002),1))</f>
        <v/>
      </c>
    </row>
    <row r="1003" customFormat="false" ht="15" hidden="false" customHeight="false" outlineLevel="0" collapsed="false">
      <c r="A1003" s="22"/>
      <c r="B1003" s="23"/>
      <c r="C1003" s="23"/>
      <c r="D1003" s="23"/>
      <c r="E1003" s="24"/>
      <c r="F1003" s="23"/>
      <c r="G1003" s="23"/>
      <c r="H1003" s="21" t="str">
        <f aca="false">IF(A1003="","",DATE(YEAR(A1003),MONTH(A1003),1))</f>
        <v/>
      </c>
    </row>
    <row r="1004" customFormat="false" ht="15" hidden="false" customHeight="false" outlineLevel="0" collapsed="false">
      <c r="A1004" s="22"/>
      <c r="B1004" s="23"/>
      <c r="C1004" s="23"/>
      <c r="D1004" s="23"/>
      <c r="E1004" s="24"/>
      <c r="F1004" s="23"/>
      <c r="G1004" s="23"/>
      <c r="H1004" s="21" t="str">
        <f aca="false">IF(A1004="","",DATE(YEAR(A1004),MONTH(A1004),1))</f>
        <v/>
      </c>
    </row>
  </sheetData>
  <autoFilter ref="A4:H1004"/>
  <dataValidations count="3">
    <dataValidation allowBlank="true" errorStyle="stop" operator="between" showDropDown="false" showErrorMessage="false" showInputMessage="false" sqref="D5:D1004" type="list">
      <formula1>Lists!$F$5:$F$40</formula1>
      <formula2>0</formula2>
    </dataValidation>
    <dataValidation allowBlank="true" errorStyle="stop" operator="between" showDropDown="false" showErrorMessage="false" showInputMessage="false" sqref="F5:F1004" type="list">
      <formula1>Lists!$G$5:$G$40</formula1>
      <formula2>0</formula2>
    </dataValidation>
    <dataValidation allowBlank="true" error="Enter hours between 0 and 12." errorStyle="stop" operator="between" showDropDown="false" showErrorMessage="true" showInputMessage="false" sqref="E5:E1004" type="decimal">
      <formula1>0</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FA9"/>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5" min="4" style="0" width="13"/>
    <col collapsed="false" customWidth="true" hidden="false" outlineLevel="0" max="7" min="6" style="0" width="16"/>
    <col collapsed="false" customWidth="true" hidden="false" outlineLevel="0" max="8" min="8" style="0" width="12"/>
    <col collapsed="false" customWidth="true" hidden="false" outlineLevel="0" max="10" min="9" style="0" width="11"/>
  </cols>
  <sheetData>
    <row r="1" customFormat="false" ht="17.35" hidden="false" customHeight="false" outlineLevel="0" collapsed="false">
      <c r="A1" s="1" t="s">
        <v>74</v>
      </c>
    </row>
    <row r="2" customFormat="false" ht="15" hidden="false" customHeight="false" outlineLevel="0" collapsed="false">
      <c r="A2" s="2" t="s">
        <v>75</v>
      </c>
    </row>
    <row r="4" customFormat="false" ht="33.75" hidden="false" customHeight="true" outlineLevel="0" collapsed="false">
      <c r="A4" s="8" t="s">
        <v>70</v>
      </c>
      <c r="B4" s="8" t="s">
        <v>76</v>
      </c>
      <c r="C4" s="8" t="s">
        <v>77</v>
      </c>
      <c r="D4" s="8" t="s">
        <v>78</v>
      </c>
      <c r="E4" s="8" t="s">
        <v>79</v>
      </c>
      <c r="F4" s="8" t="s">
        <v>38</v>
      </c>
      <c r="G4" s="8" t="s">
        <v>46</v>
      </c>
      <c r="H4" s="8" t="s">
        <v>80</v>
      </c>
      <c r="I4" s="8" t="s">
        <v>49</v>
      </c>
      <c r="J4" s="8" t="s">
        <v>81</v>
      </c>
    </row>
    <row r="5" customFormat="false" ht="15" hidden="false" customHeight="false" outlineLevel="0" collapsed="false">
      <c r="A5" s="25" t="n">
        <v>46296</v>
      </c>
      <c r="B5" s="26" t="n">
        <f aca="false">COUNTIFS(Disputes!$B$5:$B$1004,"&gt;="&amp;$A5,Disputes!$B$5:$B$1004,"&lt;"&amp;DATE(YEAR($A5),MONTH($A5)+1,1),Disputes!$A$5:$A$1004,"&lt;&gt;EXAMPLE*")</f>
        <v>0</v>
      </c>
      <c r="C5" s="26" t="n">
        <f aca="false">COUNTIFS(Disputes!$O$5:$O$1004,"&gt;="&amp;$A5,Disputes!$O$5:$O$1004,"&lt;"&amp;DATE(YEAR($A5),MONTH($A5)+1,1),Disputes!$A$5:$A$1004,"&lt;&gt;EXAMPLE*")</f>
        <v>0</v>
      </c>
      <c r="D5" s="26" t="n">
        <f aca="false">COUNTIFS(Disputes!$O$5:$O$1004,"&gt;="&amp;$A5,Disputes!$O$5:$O$1004,"&lt;"&amp;DATE(YEAR($A5),MONTH($A5)+1,1),Disputes!$P$5:$P$1004,"Maintained",Disputes!$A$5:$A$1004,"&lt;&gt;EXAMPLE*")</f>
        <v>0</v>
      </c>
      <c r="E5" s="27" t="str">
        <f aca="false">IF(C5=0,"-",D5/C5)</f>
        <v>-</v>
      </c>
      <c r="F5" s="28" t="n">
        <f aca="false">SUMIFS(Disputes!$I$5:$I$1004,Disputes!$B$5:$B$1004,"&gt;="&amp;$A5,Disputes!$B$5:$B$1004,"&lt;"&amp;DATE(YEAR($A5),MONTH($A5)+1,1),Disputes!$A$5:$A$1004,"&lt;&gt;EXAMPLE*")</f>
        <v>0</v>
      </c>
      <c r="G5" s="28" t="n">
        <f aca="false">SUMIFS(Disputes!$Q$5:$Q$1004,Disputes!$O$5:$O$1004,"&gt;="&amp;$A5,Disputes!$O$5:$O$1004,"&lt;"&amp;DATE(YEAR($A5),MONTH($A5)+1,1),Disputes!$A$5:$A$1004,"&lt;&gt;EXAMPLE*")</f>
        <v>0</v>
      </c>
      <c r="H5" s="26" t="n">
        <f aca="false">COUNTIFS(Disputes!$B$5:$B$1004,"&lt;"&amp;DATE(YEAR($A5),MONTH($A5)+1,1),Disputes!$A$5:$A$1004,"&lt;&gt;EXAMPLE*")-COUNTIFS(Disputes!$O$5:$O$1004,"&lt;"&amp;DATE(YEAR($A5),MONTH($A5)+1,1),Disputes!$A$5:$A$1004,"&lt;&gt;EXAMPLE*")</f>
        <v>0</v>
      </c>
      <c r="I5" s="29" t="n">
        <f aca="false">SUMIFS('Time Log'!$E$5:$E$1004,'Time Log'!$A$5:$A$1004,"&gt;="&amp;$A5,'Time Log'!$A$5:$A$1004,"&lt;"&amp;DATE(YEAR($A5),MONTH($A5)+1,1),'Time Log'!$C$5:$C$1004,"&lt;&gt;EXAMPLE*")</f>
        <v>0</v>
      </c>
      <c r="J5" s="29" t="n">
        <f aca="false">SUMIFS('Time Log'!$E$5:$E$1004,'Time Log'!$A$5:$A$1004,"&gt;="&amp;$A5,'Time Log'!$A$5:$A$1004,"&lt;"&amp;DATE(YEAR($A5),MONTH($A5)+1,1),'Time Log'!$C$5:$C$1004,"&lt;&gt;EXAMPLE*",'Time Log'!$F$5:$F$1004,"Yes")</f>
        <v>0</v>
      </c>
    </row>
    <row r="6" customFormat="false" ht="15" hidden="false" customHeight="false" outlineLevel="0" collapsed="false">
      <c r="A6" s="25" t="n">
        <v>46327</v>
      </c>
      <c r="B6" s="26" t="n">
        <f aca="false">COUNTIFS(Disputes!$B$5:$B$1004,"&gt;="&amp;$A6,Disputes!$B$5:$B$1004,"&lt;"&amp;DATE(YEAR($A6),MONTH($A6)+1,1),Disputes!$A$5:$A$1004,"&lt;&gt;EXAMPLE*")</f>
        <v>0</v>
      </c>
      <c r="C6" s="26" t="n">
        <f aca="false">COUNTIFS(Disputes!$O$5:$O$1004,"&gt;="&amp;$A6,Disputes!$O$5:$O$1004,"&lt;"&amp;DATE(YEAR($A6),MONTH($A6)+1,1),Disputes!$A$5:$A$1004,"&lt;&gt;EXAMPLE*")</f>
        <v>0</v>
      </c>
      <c r="D6" s="26" t="n">
        <f aca="false">COUNTIFS(Disputes!$O$5:$O$1004,"&gt;="&amp;$A6,Disputes!$O$5:$O$1004,"&lt;"&amp;DATE(YEAR($A6),MONTH($A6)+1,1),Disputes!$P$5:$P$1004,"Maintained",Disputes!$A$5:$A$1004,"&lt;&gt;EXAMPLE*")</f>
        <v>0</v>
      </c>
      <c r="E6" s="27" t="str">
        <f aca="false">IF(C6=0,"-",D6/C6)</f>
        <v>-</v>
      </c>
      <c r="F6" s="28" t="n">
        <f aca="false">SUMIFS(Disputes!$I$5:$I$1004,Disputes!$B$5:$B$1004,"&gt;="&amp;$A6,Disputes!$B$5:$B$1004,"&lt;"&amp;DATE(YEAR($A6),MONTH($A6)+1,1),Disputes!$A$5:$A$1004,"&lt;&gt;EXAMPLE*")</f>
        <v>0</v>
      </c>
      <c r="G6" s="28" t="n">
        <f aca="false">SUMIFS(Disputes!$Q$5:$Q$1004,Disputes!$O$5:$O$1004,"&gt;="&amp;$A6,Disputes!$O$5:$O$1004,"&lt;"&amp;DATE(YEAR($A6),MONTH($A6)+1,1),Disputes!$A$5:$A$1004,"&lt;&gt;EXAMPLE*")</f>
        <v>0</v>
      </c>
      <c r="H6" s="26" t="n">
        <f aca="false">COUNTIFS(Disputes!$B$5:$B$1004,"&lt;"&amp;DATE(YEAR($A6),MONTH($A6)+1,1),Disputes!$A$5:$A$1004,"&lt;&gt;EXAMPLE*")-COUNTIFS(Disputes!$O$5:$O$1004,"&lt;"&amp;DATE(YEAR($A6),MONTH($A6)+1,1),Disputes!$A$5:$A$1004,"&lt;&gt;EXAMPLE*")</f>
        <v>0</v>
      </c>
      <c r="I6" s="29" t="n">
        <f aca="false">SUMIFS('Time Log'!$E$5:$E$1004,'Time Log'!$A$5:$A$1004,"&gt;="&amp;$A6,'Time Log'!$A$5:$A$1004,"&lt;"&amp;DATE(YEAR($A6),MONTH($A6)+1,1),'Time Log'!$C$5:$C$1004,"&lt;&gt;EXAMPLE*")</f>
        <v>0</v>
      </c>
      <c r="J6" s="29" t="n">
        <f aca="false">SUMIFS('Time Log'!$E$5:$E$1004,'Time Log'!$A$5:$A$1004,"&gt;="&amp;$A6,'Time Log'!$A$5:$A$1004,"&lt;"&amp;DATE(YEAR($A6),MONTH($A6)+1,1),'Time Log'!$C$5:$C$1004,"&lt;&gt;EXAMPLE*",'Time Log'!$F$5:$F$1004,"Yes")</f>
        <v>0</v>
      </c>
    </row>
    <row r="7" customFormat="false" ht="15" hidden="false" customHeight="false" outlineLevel="0" collapsed="false">
      <c r="A7" s="25" t="n">
        <v>46357</v>
      </c>
      <c r="B7" s="26" t="n">
        <f aca="false">COUNTIFS(Disputes!$B$5:$B$1004,"&gt;="&amp;$A7,Disputes!$B$5:$B$1004,"&lt;"&amp;DATE(YEAR($A7),MONTH($A7)+1,1),Disputes!$A$5:$A$1004,"&lt;&gt;EXAMPLE*")</f>
        <v>0</v>
      </c>
      <c r="C7" s="26" t="n">
        <f aca="false">COUNTIFS(Disputes!$O$5:$O$1004,"&gt;="&amp;$A7,Disputes!$O$5:$O$1004,"&lt;"&amp;DATE(YEAR($A7),MONTH($A7)+1,1),Disputes!$A$5:$A$1004,"&lt;&gt;EXAMPLE*")</f>
        <v>0</v>
      </c>
      <c r="D7" s="26" t="n">
        <f aca="false">COUNTIFS(Disputes!$O$5:$O$1004,"&gt;="&amp;$A7,Disputes!$O$5:$O$1004,"&lt;"&amp;DATE(YEAR($A7),MONTH($A7)+1,1),Disputes!$P$5:$P$1004,"Maintained",Disputes!$A$5:$A$1004,"&lt;&gt;EXAMPLE*")</f>
        <v>0</v>
      </c>
      <c r="E7" s="27" t="str">
        <f aca="false">IF(C7=0,"-",D7/C7)</f>
        <v>-</v>
      </c>
      <c r="F7" s="28" t="n">
        <f aca="false">SUMIFS(Disputes!$I$5:$I$1004,Disputes!$B$5:$B$1004,"&gt;="&amp;$A7,Disputes!$B$5:$B$1004,"&lt;"&amp;DATE(YEAR($A7),MONTH($A7)+1,1),Disputes!$A$5:$A$1004,"&lt;&gt;EXAMPLE*")</f>
        <v>0</v>
      </c>
      <c r="G7" s="28" t="n">
        <f aca="false">SUMIFS(Disputes!$Q$5:$Q$1004,Disputes!$O$5:$O$1004,"&gt;="&amp;$A7,Disputes!$O$5:$O$1004,"&lt;"&amp;DATE(YEAR($A7),MONTH($A7)+1,1),Disputes!$A$5:$A$1004,"&lt;&gt;EXAMPLE*")</f>
        <v>0</v>
      </c>
      <c r="H7" s="26" t="n">
        <f aca="false">COUNTIFS(Disputes!$B$5:$B$1004,"&lt;"&amp;DATE(YEAR($A7),MONTH($A7)+1,1),Disputes!$A$5:$A$1004,"&lt;&gt;EXAMPLE*")-COUNTIFS(Disputes!$O$5:$O$1004,"&lt;"&amp;DATE(YEAR($A7),MONTH($A7)+1,1),Disputes!$A$5:$A$1004,"&lt;&gt;EXAMPLE*")</f>
        <v>0</v>
      </c>
      <c r="I7" s="29" t="n">
        <f aca="false">SUMIFS('Time Log'!$E$5:$E$1004,'Time Log'!$A$5:$A$1004,"&gt;="&amp;$A7,'Time Log'!$A$5:$A$1004,"&lt;"&amp;DATE(YEAR($A7),MONTH($A7)+1,1),'Time Log'!$C$5:$C$1004,"&lt;&gt;EXAMPLE*")</f>
        <v>0</v>
      </c>
      <c r="J7" s="29" t="n">
        <f aca="false">SUMIFS('Time Log'!$E$5:$E$1004,'Time Log'!$A$5:$A$1004,"&gt;="&amp;$A7,'Time Log'!$A$5:$A$1004,"&lt;"&amp;DATE(YEAR($A7),MONTH($A7)+1,1),'Time Log'!$C$5:$C$1004,"&lt;&gt;EXAMPLE*",'Time Log'!$F$5:$F$1004,"Yes")</f>
        <v>0</v>
      </c>
    </row>
    <row r="8" customFormat="false" ht="15" hidden="false" customHeight="false" outlineLevel="0" collapsed="false">
      <c r="A8" s="25" t="n">
        <v>46388</v>
      </c>
      <c r="B8" s="26" t="n">
        <f aca="false">COUNTIFS(Disputes!$B$5:$B$1004,"&gt;="&amp;$A8,Disputes!$B$5:$B$1004,"&lt;"&amp;DATE(YEAR($A8),MONTH($A8)+1,1),Disputes!$A$5:$A$1004,"&lt;&gt;EXAMPLE*")</f>
        <v>0</v>
      </c>
      <c r="C8" s="26" t="n">
        <f aca="false">COUNTIFS(Disputes!$O$5:$O$1004,"&gt;="&amp;$A8,Disputes!$O$5:$O$1004,"&lt;"&amp;DATE(YEAR($A8),MONTH($A8)+1,1),Disputes!$A$5:$A$1004,"&lt;&gt;EXAMPLE*")</f>
        <v>0</v>
      </c>
      <c r="D8" s="26" t="n">
        <f aca="false">COUNTIFS(Disputes!$O$5:$O$1004,"&gt;="&amp;$A8,Disputes!$O$5:$O$1004,"&lt;"&amp;DATE(YEAR($A8),MONTH($A8)+1,1),Disputes!$P$5:$P$1004,"Maintained",Disputes!$A$5:$A$1004,"&lt;&gt;EXAMPLE*")</f>
        <v>0</v>
      </c>
      <c r="E8" s="27" t="str">
        <f aca="false">IF(C8=0,"-",D8/C8)</f>
        <v>-</v>
      </c>
      <c r="F8" s="28" t="n">
        <f aca="false">SUMIFS(Disputes!$I$5:$I$1004,Disputes!$B$5:$B$1004,"&gt;="&amp;$A8,Disputes!$B$5:$B$1004,"&lt;"&amp;DATE(YEAR($A8),MONTH($A8)+1,1),Disputes!$A$5:$A$1004,"&lt;&gt;EXAMPLE*")</f>
        <v>0</v>
      </c>
      <c r="G8" s="28" t="n">
        <f aca="false">SUMIFS(Disputes!$Q$5:$Q$1004,Disputes!$O$5:$O$1004,"&gt;="&amp;$A8,Disputes!$O$5:$O$1004,"&lt;"&amp;DATE(YEAR($A8),MONTH($A8)+1,1),Disputes!$A$5:$A$1004,"&lt;&gt;EXAMPLE*")</f>
        <v>0</v>
      </c>
      <c r="H8" s="26" t="n">
        <f aca="false">COUNTIFS(Disputes!$B$5:$B$1004,"&lt;"&amp;DATE(YEAR($A8),MONTH($A8)+1,1),Disputes!$A$5:$A$1004,"&lt;&gt;EXAMPLE*")-COUNTIFS(Disputes!$O$5:$O$1004,"&lt;"&amp;DATE(YEAR($A8),MONTH($A8)+1,1),Disputes!$A$5:$A$1004,"&lt;&gt;EXAMPLE*")</f>
        <v>0</v>
      </c>
      <c r="I8" s="29" t="n">
        <f aca="false">SUMIFS('Time Log'!$E$5:$E$1004,'Time Log'!$A$5:$A$1004,"&gt;="&amp;$A8,'Time Log'!$A$5:$A$1004,"&lt;"&amp;DATE(YEAR($A8),MONTH($A8)+1,1),'Time Log'!$C$5:$C$1004,"&lt;&gt;EXAMPLE*")</f>
        <v>0</v>
      </c>
      <c r="J8" s="29" t="n">
        <f aca="false">SUMIFS('Time Log'!$E$5:$E$1004,'Time Log'!$A$5:$A$1004,"&gt;="&amp;$A8,'Time Log'!$A$5:$A$1004,"&lt;"&amp;DATE(YEAR($A8),MONTH($A8)+1,1),'Time Log'!$C$5:$C$1004,"&lt;&gt;EXAMPLE*",'Time Log'!$F$5:$F$1004,"Yes")</f>
        <v>0</v>
      </c>
    </row>
    <row r="9" customFormat="false" ht="15" hidden="false" customHeight="false" outlineLevel="0" collapsed="false">
      <c r="A9" s="25" t="n">
        <v>46419</v>
      </c>
      <c r="B9" s="26" t="n">
        <f aca="false">COUNTIFS(Disputes!$B$5:$B$1004,"&gt;="&amp;$A9,Disputes!$B$5:$B$1004,"&lt;"&amp;DATE(YEAR($A9),MONTH($A9)+1,1),Disputes!$A$5:$A$1004,"&lt;&gt;EXAMPLE*")</f>
        <v>0</v>
      </c>
      <c r="C9" s="26" t="n">
        <f aca="false">COUNTIFS(Disputes!$O$5:$O$1004,"&gt;="&amp;$A9,Disputes!$O$5:$O$1004,"&lt;"&amp;DATE(YEAR($A9),MONTH($A9)+1,1),Disputes!$A$5:$A$1004,"&lt;&gt;EXAMPLE*")</f>
        <v>0</v>
      </c>
      <c r="D9" s="26" t="n">
        <f aca="false">COUNTIFS(Disputes!$O$5:$O$1004,"&gt;="&amp;$A9,Disputes!$O$5:$O$1004,"&lt;"&amp;DATE(YEAR($A9),MONTH($A9)+1,1),Disputes!$P$5:$P$1004,"Maintained",Disputes!$A$5:$A$1004,"&lt;&gt;EXAMPLE*")</f>
        <v>0</v>
      </c>
      <c r="E9" s="27" t="str">
        <f aca="false">IF(C9=0,"-",D9/C9)</f>
        <v>-</v>
      </c>
      <c r="F9" s="28" t="n">
        <f aca="false">SUMIFS(Disputes!$I$5:$I$1004,Disputes!$B$5:$B$1004,"&gt;="&amp;$A9,Disputes!$B$5:$B$1004,"&lt;"&amp;DATE(YEAR($A9),MONTH($A9)+1,1),Disputes!$A$5:$A$1004,"&lt;&gt;EXAMPLE*")</f>
        <v>0</v>
      </c>
      <c r="G9" s="28" t="n">
        <f aca="false">SUMIFS(Disputes!$Q$5:$Q$1004,Disputes!$O$5:$O$1004,"&gt;="&amp;$A9,Disputes!$O$5:$O$1004,"&lt;"&amp;DATE(YEAR($A9),MONTH($A9)+1,1),Disputes!$A$5:$A$1004,"&lt;&gt;EXAMPLE*")</f>
        <v>0</v>
      </c>
      <c r="H9" s="26" t="n">
        <f aca="false">COUNTIFS(Disputes!$B$5:$B$1004,"&lt;"&amp;DATE(YEAR($A9),MONTH($A9)+1,1),Disputes!$A$5:$A$1004,"&lt;&gt;EXAMPLE*")-COUNTIFS(Disputes!$O$5:$O$1004,"&lt;"&amp;DATE(YEAR($A9),MONTH($A9)+1,1),Disputes!$A$5:$A$1004,"&lt;&gt;EXAMPLE*")</f>
        <v>0</v>
      </c>
      <c r="I9" s="29" t="n">
        <f aca="false">SUMIFS('Time Log'!$E$5:$E$1004,'Time Log'!$A$5:$A$1004,"&gt;="&amp;$A9,'Time Log'!$A$5:$A$1004,"&lt;"&amp;DATE(YEAR($A9),MONTH($A9)+1,1),'Time Log'!$C$5:$C$1004,"&lt;&gt;EXAMPLE*")</f>
        <v>0</v>
      </c>
      <c r="J9" s="29" t="n">
        <f aca="false">SUMIFS('Time Log'!$E$5:$E$1004,'Time Log'!$A$5:$A$1004,"&gt;="&amp;$A9,'Time Log'!$A$5:$A$1004,"&lt;"&amp;DATE(YEAR($A9),MONTH($A9)+1,1),'Time Log'!$C$5:$C$1004,"&lt;&gt;EXAMPLE*",'Time Log'!$F$5:$F$1004,"Yes")</f>
        <v>0</v>
      </c>
    </row>
    <row r="10" customFormat="false" ht="15" hidden="false" customHeight="false" outlineLevel="0" collapsed="false">
      <c r="A10" s="25" t="n">
        <v>46447</v>
      </c>
      <c r="B10" s="26" t="n">
        <f aca="false">COUNTIFS(Disputes!$B$5:$B$1004,"&gt;="&amp;$A10,Disputes!$B$5:$B$1004,"&lt;"&amp;DATE(YEAR($A10),MONTH($A10)+1,1),Disputes!$A$5:$A$1004,"&lt;&gt;EXAMPLE*")</f>
        <v>0</v>
      </c>
      <c r="C10" s="26" t="n">
        <f aca="false">COUNTIFS(Disputes!$O$5:$O$1004,"&gt;="&amp;$A10,Disputes!$O$5:$O$1004,"&lt;"&amp;DATE(YEAR($A10),MONTH($A10)+1,1),Disputes!$A$5:$A$1004,"&lt;&gt;EXAMPLE*")</f>
        <v>0</v>
      </c>
      <c r="D10" s="26" t="n">
        <f aca="false">COUNTIFS(Disputes!$O$5:$O$1004,"&gt;="&amp;$A10,Disputes!$O$5:$O$1004,"&lt;"&amp;DATE(YEAR($A10),MONTH($A10)+1,1),Disputes!$P$5:$P$1004,"Maintained",Disputes!$A$5:$A$1004,"&lt;&gt;EXAMPLE*")</f>
        <v>0</v>
      </c>
      <c r="E10" s="27" t="str">
        <f aca="false">IF(C10=0,"-",D10/C10)</f>
        <v>-</v>
      </c>
      <c r="F10" s="28" t="n">
        <f aca="false">SUMIFS(Disputes!$I$5:$I$1004,Disputes!$B$5:$B$1004,"&gt;="&amp;$A10,Disputes!$B$5:$B$1004,"&lt;"&amp;DATE(YEAR($A10),MONTH($A10)+1,1),Disputes!$A$5:$A$1004,"&lt;&gt;EXAMPLE*")</f>
        <v>0</v>
      </c>
      <c r="G10" s="28" t="n">
        <f aca="false">SUMIFS(Disputes!$Q$5:$Q$1004,Disputes!$O$5:$O$1004,"&gt;="&amp;$A10,Disputes!$O$5:$O$1004,"&lt;"&amp;DATE(YEAR($A10),MONTH($A10)+1,1),Disputes!$A$5:$A$1004,"&lt;&gt;EXAMPLE*")</f>
        <v>0</v>
      </c>
      <c r="H10" s="26" t="n">
        <f aca="false">COUNTIFS(Disputes!$B$5:$B$1004,"&lt;"&amp;DATE(YEAR($A10),MONTH($A10)+1,1),Disputes!$A$5:$A$1004,"&lt;&gt;EXAMPLE*")-COUNTIFS(Disputes!$O$5:$O$1004,"&lt;"&amp;DATE(YEAR($A10),MONTH($A10)+1,1),Disputes!$A$5:$A$1004,"&lt;&gt;EXAMPLE*")</f>
        <v>0</v>
      </c>
      <c r="I10" s="29" t="n">
        <f aca="false">SUMIFS('Time Log'!$E$5:$E$1004,'Time Log'!$A$5:$A$1004,"&gt;="&amp;$A10,'Time Log'!$A$5:$A$1004,"&lt;"&amp;DATE(YEAR($A10),MONTH($A10)+1,1),'Time Log'!$C$5:$C$1004,"&lt;&gt;EXAMPLE*")</f>
        <v>0</v>
      </c>
      <c r="J10" s="29" t="n">
        <f aca="false">SUMIFS('Time Log'!$E$5:$E$1004,'Time Log'!$A$5:$A$1004,"&gt;="&amp;$A10,'Time Log'!$A$5:$A$1004,"&lt;"&amp;DATE(YEAR($A10),MONTH($A10)+1,1),'Time Log'!$C$5:$C$1004,"&lt;&gt;EXAMPLE*",'Time Log'!$F$5:$F$1004,"Yes")</f>
        <v>0</v>
      </c>
    </row>
    <row r="11" customFormat="false" ht="15" hidden="false" customHeight="false" outlineLevel="0" collapsed="false">
      <c r="A11" s="25" t="n">
        <v>46478</v>
      </c>
      <c r="B11" s="26" t="n">
        <f aca="false">COUNTIFS(Disputes!$B$5:$B$1004,"&gt;="&amp;$A11,Disputes!$B$5:$B$1004,"&lt;"&amp;DATE(YEAR($A11),MONTH($A11)+1,1),Disputes!$A$5:$A$1004,"&lt;&gt;EXAMPLE*")</f>
        <v>0</v>
      </c>
      <c r="C11" s="26" t="n">
        <f aca="false">COUNTIFS(Disputes!$O$5:$O$1004,"&gt;="&amp;$A11,Disputes!$O$5:$O$1004,"&lt;"&amp;DATE(YEAR($A11),MONTH($A11)+1,1),Disputes!$A$5:$A$1004,"&lt;&gt;EXAMPLE*")</f>
        <v>0</v>
      </c>
      <c r="D11" s="26" t="n">
        <f aca="false">COUNTIFS(Disputes!$O$5:$O$1004,"&gt;="&amp;$A11,Disputes!$O$5:$O$1004,"&lt;"&amp;DATE(YEAR($A11),MONTH($A11)+1,1),Disputes!$P$5:$P$1004,"Maintained",Disputes!$A$5:$A$1004,"&lt;&gt;EXAMPLE*")</f>
        <v>0</v>
      </c>
      <c r="E11" s="27" t="str">
        <f aca="false">IF(C11=0,"-",D11/C11)</f>
        <v>-</v>
      </c>
      <c r="F11" s="28" t="n">
        <f aca="false">SUMIFS(Disputes!$I$5:$I$1004,Disputes!$B$5:$B$1004,"&gt;="&amp;$A11,Disputes!$B$5:$B$1004,"&lt;"&amp;DATE(YEAR($A11),MONTH($A11)+1,1),Disputes!$A$5:$A$1004,"&lt;&gt;EXAMPLE*")</f>
        <v>0</v>
      </c>
      <c r="G11" s="28" t="n">
        <f aca="false">SUMIFS(Disputes!$Q$5:$Q$1004,Disputes!$O$5:$O$1004,"&gt;="&amp;$A11,Disputes!$O$5:$O$1004,"&lt;"&amp;DATE(YEAR($A11),MONTH($A11)+1,1),Disputes!$A$5:$A$1004,"&lt;&gt;EXAMPLE*")</f>
        <v>0</v>
      </c>
      <c r="H11" s="26" t="n">
        <f aca="false">COUNTIFS(Disputes!$B$5:$B$1004,"&lt;"&amp;DATE(YEAR($A11),MONTH($A11)+1,1),Disputes!$A$5:$A$1004,"&lt;&gt;EXAMPLE*")-COUNTIFS(Disputes!$O$5:$O$1004,"&lt;"&amp;DATE(YEAR($A11),MONTH($A11)+1,1),Disputes!$A$5:$A$1004,"&lt;&gt;EXAMPLE*")</f>
        <v>0</v>
      </c>
      <c r="I11" s="29" t="n">
        <f aca="false">SUMIFS('Time Log'!$E$5:$E$1004,'Time Log'!$A$5:$A$1004,"&gt;="&amp;$A11,'Time Log'!$A$5:$A$1004,"&lt;"&amp;DATE(YEAR($A11),MONTH($A11)+1,1),'Time Log'!$C$5:$C$1004,"&lt;&gt;EXAMPLE*")</f>
        <v>0</v>
      </c>
      <c r="J11" s="29" t="n">
        <f aca="false">SUMIFS('Time Log'!$E$5:$E$1004,'Time Log'!$A$5:$A$1004,"&gt;="&amp;$A11,'Time Log'!$A$5:$A$1004,"&lt;"&amp;DATE(YEAR($A11),MONTH($A11)+1,1),'Time Log'!$C$5:$C$1004,"&lt;&gt;EXAMPLE*",'Time Log'!$F$5:$F$1004,"Yes")</f>
        <v>0</v>
      </c>
    </row>
    <row r="12" customFormat="false" ht="15" hidden="false" customHeight="false" outlineLevel="0" collapsed="false">
      <c r="A12" s="25" t="n">
        <v>46508</v>
      </c>
      <c r="B12" s="26" t="n">
        <f aca="false">COUNTIFS(Disputes!$B$5:$B$1004,"&gt;="&amp;$A12,Disputes!$B$5:$B$1004,"&lt;"&amp;DATE(YEAR($A12),MONTH($A12)+1,1),Disputes!$A$5:$A$1004,"&lt;&gt;EXAMPLE*")</f>
        <v>0</v>
      </c>
      <c r="C12" s="26" t="n">
        <f aca="false">COUNTIFS(Disputes!$O$5:$O$1004,"&gt;="&amp;$A12,Disputes!$O$5:$O$1004,"&lt;"&amp;DATE(YEAR($A12),MONTH($A12)+1,1),Disputes!$A$5:$A$1004,"&lt;&gt;EXAMPLE*")</f>
        <v>0</v>
      </c>
      <c r="D12" s="26" t="n">
        <f aca="false">COUNTIFS(Disputes!$O$5:$O$1004,"&gt;="&amp;$A12,Disputes!$O$5:$O$1004,"&lt;"&amp;DATE(YEAR($A12),MONTH($A12)+1,1),Disputes!$P$5:$P$1004,"Maintained",Disputes!$A$5:$A$1004,"&lt;&gt;EXAMPLE*")</f>
        <v>0</v>
      </c>
      <c r="E12" s="27" t="str">
        <f aca="false">IF(C12=0,"-",D12/C12)</f>
        <v>-</v>
      </c>
      <c r="F12" s="28" t="n">
        <f aca="false">SUMIFS(Disputes!$I$5:$I$1004,Disputes!$B$5:$B$1004,"&gt;="&amp;$A12,Disputes!$B$5:$B$1004,"&lt;"&amp;DATE(YEAR($A12),MONTH($A12)+1,1),Disputes!$A$5:$A$1004,"&lt;&gt;EXAMPLE*")</f>
        <v>0</v>
      </c>
      <c r="G12" s="28" t="n">
        <f aca="false">SUMIFS(Disputes!$Q$5:$Q$1004,Disputes!$O$5:$O$1004,"&gt;="&amp;$A12,Disputes!$O$5:$O$1004,"&lt;"&amp;DATE(YEAR($A12),MONTH($A12)+1,1),Disputes!$A$5:$A$1004,"&lt;&gt;EXAMPLE*")</f>
        <v>0</v>
      </c>
      <c r="H12" s="26" t="n">
        <f aca="false">COUNTIFS(Disputes!$B$5:$B$1004,"&lt;"&amp;DATE(YEAR($A12),MONTH($A12)+1,1),Disputes!$A$5:$A$1004,"&lt;&gt;EXAMPLE*")-COUNTIFS(Disputes!$O$5:$O$1004,"&lt;"&amp;DATE(YEAR($A12),MONTH($A12)+1,1),Disputes!$A$5:$A$1004,"&lt;&gt;EXAMPLE*")</f>
        <v>0</v>
      </c>
      <c r="I12" s="29" t="n">
        <f aca="false">SUMIFS('Time Log'!$E$5:$E$1004,'Time Log'!$A$5:$A$1004,"&gt;="&amp;$A12,'Time Log'!$A$5:$A$1004,"&lt;"&amp;DATE(YEAR($A12),MONTH($A12)+1,1),'Time Log'!$C$5:$C$1004,"&lt;&gt;EXAMPLE*")</f>
        <v>0</v>
      </c>
      <c r="J12" s="29" t="n">
        <f aca="false">SUMIFS('Time Log'!$E$5:$E$1004,'Time Log'!$A$5:$A$1004,"&gt;="&amp;$A12,'Time Log'!$A$5:$A$1004,"&lt;"&amp;DATE(YEAR($A12),MONTH($A12)+1,1),'Time Log'!$C$5:$C$1004,"&lt;&gt;EXAMPLE*",'Time Log'!$F$5:$F$1004,"Yes")</f>
        <v>0</v>
      </c>
    </row>
    <row r="13" customFormat="false" ht="15" hidden="false" customHeight="false" outlineLevel="0" collapsed="false">
      <c r="A13" s="25" t="n">
        <v>46539</v>
      </c>
      <c r="B13" s="26" t="n">
        <f aca="false">COUNTIFS(Disputes!$B$5:$B$1004,"&gt;="&amp;$A13,Disputes!$B$5:$B$1004,"&lt;"&amp;DATE(YEAR($A13),MONTH($A13)+1,1),Disputes!$A$5:$A$1004,"&lt;&gt;EXAMPLE*")</f>
        <v>0</v>
      </c>
      <c r="C13" s="26" t="n">
        <f aca="false">COUNTIFS(Disputes!$O$5:$O$1004,"&gt;="&amp;$A13,Disputes!$O$5:$O$1004,"&lt;"&amp;DATE(YEAR($A13),MONTH($A13)+1,1),Disputes!$A$5:$A$1004,"&lt;&gt;EXAMPLE*")</f>
        <v>0</v>
      </c>
      <c r="D13" s="26" t="n">
        <f aca="false">COUNTIFS(Disputes!$O$5:$O$1004,"&gt;="&amp;$A13,Disputes!$O$5:$O$1004,"&lt;"&amp;DATE(YEAR($A13),MONTH($A13)+1,1),Disputes!$P$5:$P$1004,"Maintained",Disputes!$A$5:$A$1004,"&lt;&gt;EXAMPLE*")</f>
        <v>0</v>
      </c>
      <c r="E13" s="27" t="str">
        <f aca="false">IF(C13=0,"-",D13/C13)</f>
        <v>-</v>
      </c>
      <c r="F13" s="28" t="n">
        <f aca="false">SUMIFS(Disputes!$I$5:$I$1004,Disputes!$B$5:$B$1004,"&gt;="&amp;$A13,Disputes!$B$5:$B$1004,"&lt;"&amp;DATE(YEAR($A13),MONTH($A13)+1,1),Disputes!$A$5:$A$1004,"&lt;&gt;EXAMPLE*")</f>
        <v>0</v>
      </c>
      <c r="G13" s="28" t="n">
        <f aca="false">SUMIFS(Disputes!$Q$5:$Q$1004,Disputes!$O$5:$O$1004,"&gt;="&amp;$A13,Disputes!$O$5:$O$1004,"&lt;"&amp;DATE(YEAR($A13),MONTH($A13)+1,1),Disputes!$A$5:$A$1004,"&lt;&gt;EXAMPLE*")</f>
        <v>0</v>
      </c>
      <c r="H13" s="26" t="n">
        <f aca="false">COUNTIFS(Disputes!$B$5:$B$1004,"&lt;"&amp;DATE(YEAR($A13),MONTH($A13)+1,1),Disputes!$A$5:$A$1004,"&lt;&gt;EXAMPLE*")-COUNTIFS(Disputes!$O$5:$O$1004,"&lt;"&amp;DATE(YEAR($A13),MONTH($A13)+1,1),Disputes!$A$5:$A$1004,"&lt;&gt;EXAMPLE*")</f>
        <v>0</v>
      </c>
      <c r="I13" s="29" t="n">
        <f aca="false">SUMIFS('Time Log'!$E$5:$E$1004,'Time Log'!$A$5:$A$1004,"&gt;="&amp;$A13,'Time Log'!$A$5:$A$1004,"&lt;"&amp;DATE(YEAR($A13),MONTH($A13)+1,1),'Time Log'!$C$5:$C$1004,"&lt;&gt;EXAMPLE*")</f>
        <v>0</v>
      </c>
      <c r="J13" s="29" t="n">
        <f aca="false">SUMIFS('Time Log'!$E$5:$E$1004,'Time Log'!$A$5:$A$1004,"&gt;="&amp;$A13,'Time Log'!$A$5:$A$1004,"&lt;"&amp;DATE(YEAR($A13),MONTH($A13)+1,1),'Time Log'!$C$5:$C$1004,"&lt;&gt;EXAMPLE*",'Time Log'!$F$5:$F$1004,"Yes")</f>
        <v>0</v>
      </c>
    </row>
    <row r="14" customFormat="false" ht="15" hidden="false" customHeight="false" outlineLevel="0" collapsed="false">
      <c r="A14" s="25" t="n">
        <v>46569</v>
      </c>
      <c r="B14" s="26" t="n">
        <f aca="false">COUNTIFS(Disputes!$B$5:$B$1004,"&gt;="&amp;$A14,Disputes!$B$5:$B$1004,"&lt;"&amp;DATE(YEAR($A14),MONTH($A14)+1,1),Disputes!$A$5:$A$1004,"&lt;&gt;EXAMPLE*")</f>
        <v>0</v>
      </c>
      <c r="C14" s="26" t="n">
        <f aca="false">COUNTIFS(Disputes!$O$5:$O$1004,"&gt;="&amp;$A14,Disputes!$O$5:$O$1004,"&lt;"&amp;DATE(YEAR($A14),MONTH($A14)+1,1),Disputes!$A$5:$A$1004,"&lt;&gt;EXAMPLE*")</f>
        <v>0</v>
      </c>
      <c r="D14" s="26" t="n">
        <f aca="false">COUNTIFS(Disputes!$O$5:$O$1004,"&gt;="&amp;$A14,Disputes!$O$5:$O$1004,"&lt;"&amp;DATE(YEAR($A14),MONTH($A14)+1,1),Disputes!$P$5:$P$1004,"Maintained",Disputes!$A$5:$A$1004,"&lt;&gt;EXAMPLE*")</f>
        <v>0</v>
      </c>
      <c r="E14" s="27" t="str">
        <f aca="false">IF(C14=0,"-",D14/C14)</f>
        <v>-</v>
      </c>
      <c r="F14" s="28" t="n">
        <f aca="false">SUMIFS(Disputes!$I$5:$I$1004,Disputes!$B$5:$B$1004,"&gt;="&amp;$A14,Disputes!$B$5:$B$1004,"&lt;"&amp;DATE(YEAR($A14),MONTH($A14)+1,1),Disputes!$A$5:$A$1004,"&lt;&gt;EXAMPLE*")</f>
        <v>0</v>
      </c>
      <c r="G14" s="28" t="n">
        <f aca="false">SUMIFS(Disputes!$Q$5:$Q$1004,Disputes!$O$5:$O$1004,"&gt;="&amp;$A14,Disputes!$O$5:$O$1004,"&lt;"&amp;DATE(YEAR($A14),MONTH($A14)+1,1),Disputes!$A$5:$A$1004,"&lt;&gt;EXAMPLE*")</f>
        <v>0</v>
      </c>
      <c r="H14" s="26" t="n">
        <f aca="false">COUNTIFS(Disputes!$B$5:$B$1004,"&lt;"&amp;DATE(YEAR($A14),MONTH($A14)+1,1),Disputes!$A$5:$A$1004,"&lt;&gt;EXAMPLE*")-COUNTIFS(Disputes!$O$5:$O$1004,"&lt;"&amp;DATE(YEAR($A14),MONTH($A14)+1,1),Disputes!$A$5:$A$1004,"&lt;&gt;EXAMPLE*")</f>
        <v>0</v>
      </c>
      <c r="I14" s="29" t="n">
        <f aca="false">SUMIFS('Time Log'!$E$5:$E$1004,'Time Log'!$A$5:$A$1004,"&gt;="&amp;$A14,'Time Log'!$A$5:$A$1004,"&lt;"&amp;DATE(YEAR($A14),MONTH($A14)+1,1),'Time Log'!$C$5:$C$1004,"&lt;&gt;EXAMPLE*")</f>
        <v>0</v>
      </c>
      <c r="J14" s="29" t="n">
        <f aca="false">SUMIFS('Time Log'!$E$5:$E$1004,'Time Log'!$A$5:$A$1004,"&gt;="&amp;$A14,'Time Log'!$A$5:$A$1004,"&lt;"&amp;DATE(YEAR($A14),MONTH($A14)+1,1),'Time Log'!$C$5:$C$1004,"&lt;&gt;EXAMPLE*",'Time Log'!$F$5:$F$1004,"Yes")</f>
        <v>0</v>
      </c>
    </row>
    <row r="15" customFormat="false" ht="15" hidden="false" customHeight="false" outlineLevel="0" collapsed="false">
      <c r="A15" s="25" t="n">
        <v>46600</v>
      </c>
      <c r="B15" s="26" t="n">
        <f aca="false">COUNTIFS(Disputes!$B$5:$B$1004,"&gt;="&amp;$A15,Disputes!$B$5:$B$1004,"&lt;"&amp;DATE(YEAR($A15),MONTH($A15)+1,1),Disputes!$A$5:$A$1004,"&lt;&gt;EXAMPLE*")</f>
        <v>0</v>
      </c>
      <c r="C15" s="26" t="n">
        <f aca="false">COUNTIFS(Disputes!$O$5:$O$1004,"&gt;="&amp;$A15,Disputes!$O$5:$O$1004,"&lt;"&amp;DATE(YEAR($A15),MONTH($A15)+1,1),Disputes!$A$5:$A$1004,"&lt;&gt;EXAMPLE*")</f>
        <v>0</v>
      </c>
      <c r="D15" s="26" t="n">
        <f aca="false">COUNTIFS(Disputes!$O$5:$O$1004,"&gt;="&amp;$A15,Disputes!$O$5:$O$1004,"&lt;"&amp;DATE(YEAR($A15),MONTH($A15)+1,1),Disputes!$P$5:$P$1004,"Maintained",Disputes!$A$5:$A$1004,"&lt;&gt;EXAMPLE*")</f>
        <v>0</v>
      </c>
      <c r="E15" s="27" t="str">
        <f aca="false">IF(C15=0,"-",D15/C15)</f>
        <v>-</v>
      </c>
      <c r="F15" s="28" t="n">
        <f aca="false">SUMIFS(Disputes!$I$5:$I$1004,Disputes!$B$5:$B$1004,"&gt;="&amp;$A15,Disputes!$B$5:$B$1004,"&lt;"&amp;DATE(YEAR($A15),MONTH($A15)+1,1),Disputes!$A$5:$A$1004,"&lt;&gt;EXAMPLE*")</f>
        <v>0</v>
      </c>
      <c r="G15" s="28" t="n">
        <f aca="false">SUMIFS(Disputes!$Q$5:$Q$1004,Disputes!$O$5:$O$1004,"&gt;="&amp;$A15,Disputes!$O$5:$O$1004,"&lt;"&amp;DATE(YEAR($A15),MONTH($A15)+1,1),Disputes!$A$5:$A$1004,"&lt;&gt;EXAMPLE*")</f>
        <v>0</v>
      </c>
      <c r="H15" s="26" t="n">
        <f aca="false">COUNTIFS(Disputes!$B$5:$B$1004,"&lt;"&amp;DATE(YEAR($A15),MONTH($A15)+1,1),Disputes!$A$5:$A$1004,"&lt;&gt;EXAMPLE*")-COUNTIFS(Disputes!$O$5:$O$1004,"&lt;"&amp;DATE(YEAR($A15),MONTH($A15)+1,1),Disputes!$A$5:$A$1004,"&lt;&gt;EXAMPLE*")</f>
        <v>0</v>
      </c>
      <c r="I15" s="29" t="n">
        <f aca="false">SUMIFS('Time Log'!$E$5:$E$1004,'Time Log'!$A$5:$A$1004,"&gt;="&amp;$A15,'Time Log'!$A$5:$A$1004,"&lt;"&amp;DATE(YEAR($A15),MONTH($A15)+1,1),'Time Log'!$C$5:$C$1004,"&lt;&gt;EXAMPLE*")</f>
        <v>0</v>
      </c>
      <c r="J15" s="29" t="n">
        <f aca="false">SUMIFS('Time Log'!$E$5:$E$1004,'Time Log'!$A$5:$A$1004,"&gt;="&amp;$A15,'Time Log'!$A$5:$A$1004,"&lt;"&amp;DATE(YEAR($A15),MONTH($A15)+1,1),'Time Log'!$C$5:$C$1004,"&lt;&gt;EXAMPLE*",'Time Log'!$F$5:$F$1004,"Yes")</f>
        <v>0</v>
      </c>
    </row>
    <row r="16" customFormat="false" ht="15" hidden="false" customHeight="false" outlineLevel="0" collapsed="false">
      <c r="A16" s="25" t="n">
        <v>46631</v>
      </c>
      <c r="B16" s="26" t="n">
        <f aca="false">COUNTIFS(Disputes!$B$5:$B$1004,"&gt;="&amp;$A16,Disputes!$B$5:$B$1004,"&lt;"&amp;DATE(YEAR($A16),MONTH($A16)+1,1),Disputes!$A$5:$A$1004,"&lt;&gt;EXAMPLE*")</f>
        <v>0</v>
      </c>
      <c r="C16" s="26" t="n">
        <f aca="false">COUNTIFS(Disputes!$O$5:$O$1004,"&gt;="&amp;$A16,Disputes!$O$5:$O$1004,"&lt;"&amp;DATE(YEAR($A16),MONTH($A16)+1,1),Disputes!$A$5:$A$1004,"&lt;&gt;EXAMPLE*")</f>
        <v>0</v>
      </c>
      <c r="D16" s="26" t="n">
        <f aca="false">COUNTIFS(Disputes!$O$5:$O$1004,"&gt;="&amp;$A16,Disputes!$O$5:$O$1004,"&lt;"&amp;DATE(YEAR($A16),MONTH($A16)+1,1),Disputes!$P$5:$P$1004,"Maintained",Disputes!$A$5:$A$1004,"&lt;&gt;EXAMPLE*")</f>
        <v>0</v>
      </c>
      <c r="E16" s="27" t="str">
        <f aca="false">IF(C16=0,"-",D16/C16)</f>
        <v>-</v>
      </c>
      <c r="F16" s="28" t="n">
        <f aca="false">SUMIFS(Disputes!$I$5:$I$1004,Disputes!$B$5:$B$1004,"&gt;="&amp;$A16,Disputes!$B$5:$B$1004,"&lt;"&amp;DATE(YEAR($A16),MONTH($A16)+1,1),Disputes!$A$5:$A$1004,"&lt;&gt;EXAMPLE*")</f>
        <v>0</v>
      </c>
      <c r="G16" s="28" t="n">
        <f aca="false">SUMIFS(Disputes!$Q$5:$Q$1004,Disputes!$O$5:$O$1004,"&gt;="&amp;$A16,Disputes!$O$5:$O$1004,"&lt;"&amp;DATE(YEAR($A16),MONTH($A16)+1,1),Disputes!$A$5:$A$1004,"&lt;&gt;EXAMPLE*")</f>
        <v>0</v>
      </c>
      <c r="H16" s="26" t="n">
        <f aca="false">COUNTIFS(Disputes!$B$5:$B$1004,"&lt;"&amp;DATE(YEAR($A16),MONTH($A16)+1,1),Disputes!$A$5:$A$1004,"&lt;&gt;EXAMPLE*")-COUNTIFS(Disputes!$O$5:$O$1004,"&lt;"&amp;DATE(YEAR($A16),MONTH($A16)+1,1),Disputes!$A$5:$A$1004,"&lt;&gt;EXAMPLE*")</f>
        <v>0</v>
      </c>
      <c r="I16" s="29" t="n">
        <f aca="false">SUMIFS('Time Log'!$E$5:$E$1004,'Time Log'!$A$5:$A$1004,"&gt;="&amp;$A16,'Time Log'!$A$5:$A$1004,"&lt;"&amp;DATE(YEAR($A16),MONTH($A16)+1,1),'Time Log'!$C$5:$C$1004,"&lt;&gt;EXAMPLE*")</f>
        <v>0</v>
      </c>
      <c r="J16" s="29" t="n">
        <f aca="false">SUMIFS('Time Log'!$E$5:$E$1004,'Time Log'!$A$5:$A$1004,"&gt;="&amp;$A16,'Time Log'!$A$5:$A$1004,"&lt;"&amp;DATE(YEAR($A16),MONTH($A16)+1,1),'Time Log'!$C$5:$C$1004,"&lt;&gt;EXAMPLE*",'Time Log'!$F$5:$F$1004,"Yes")</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FA9"/>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30"/>
  </cols>
  <sheetData>
    <row r="1" customFormat="false" ht="17.35" hidden="false" customHeight="false" outlineLevel="0" collapsed="false">
      <c r="A1" s="1" t="s">
        <v>82</v>
      </c>
    </row>
    <row r="2" customFormat="false" ht="15" hidden="false" customHeight="false" outlineLevel="0" collapsed="false">
      <c r="A2" s="2" t="s">
        <v>83</v>
      </c>
    </row>
    <row r="4" customFormat="false" ht="15" hidden="false" customHeight="false" outlineLevel="0" collapsed="false">
      <c r="A4" s="30" t="s">
        <v>34</v>
      </c>
      <c r="B4" s="30" t="s">
        <v>33</v>
      </c>
      <c r="C4" s="30" t="s">
        <v>37</v>
      </c>
      <c r="D4" s="30" t="s">
        <v>43</v>
      </c>
      <c r="E4" s="30" t="s">
        <v>45</v>
      </c>
      <c r="F4" s="30" t="s">
        <v>66</v>
      </c>
      <c r="G4" s="30" t="s">
        <v>84</v>
      </c>
    </row>
    <row r="5" customFormat="false" ht="15" hidden="false" customHeight="false" outlineLevel="0" collapsed="false">
      <c r="A5" s="31" t="s">
        <v>53</v>
      </c>
      <c r="B5" s="31" t="s">
        <v>52</v>
      </c>
      <c r="C5" s="31" t="s">
        <v>56</v>
      </c>
      <c r="D5" s="31" t="s">
        <v>85</v>
      </c>
      <c r="E5" s="31" t="s">
        <v>61</v>
      </c>
      <c r="F5" s="31" t="s">
        <v>86</v>
      </c>
      <c r="G5" s="31" t="s">
        <v>72</v>
      </c>
    </row>
    <row r="6" customFormat="false" ht="15" hidden="false" customHeight="false" outlineLevel="0" collapsed="false">
      <c r="A6" s="31" t="s">
        <v>87</v>
      </c>
      <c r="B6" s="31" t="s">
        <v>88</v>
      </c>
      <c r="C6" s="31" t="s">
        <v>89</v>
      </c>
      <c r="D6" s="31" t="s">
        <v>90</v>
      </c>
      <c r="E6" s="31" t="s">
        <v>91</v>
      </c>
      <c r="F6" s="31" t="s">
        <v>71</v>
      </c>
      <c r="G6" s="31" t="s">
        <v>92</v>
      </c>
    </row>
    <row r="7" customFormat="false" ht="15" hidden="false" customHeight="false" outlineLevel="0" collapsed="false">
      <c r="A7" s="31" t="s">
        <v>93</v>
      </c>
      <c r="B7" s="31" t="s">
        <v>94</v>
      </c>
      <c r="C7" s="31" t="s">
        <v>95</v>
      </c>
      <c r="D7" s="31" t="s">
        <v>60</v>
      </c>
      <c r="E7" s="31" t="s">
        <v>96</v>
      </c>
      <c r="F7" s="31" t="s">
        <v>97</v>
      </c>
    </row>
    <row r="8" customFormat="false" ht="15" hidden="false" customHeight="false" outlineLevel="0" collapsed="false">
      <c r="C8" s="31" t="s">
        <v>98</v>
      </c>
      <c r="E8" s="31" t="s">
        <v>99</v>
      </c>
      <c r="F8" s="31" t="s">
        <v>100</v>
      </c>
    </row>
    <row r="9" customFormat="false" ht="15" hidden="false" customHeight="false" outlineLevel="0" collapsed="false">
      <c r="C9" s="31" t="s">
        <v>101</v>
      </c>
      <c r="F9" s="31" t="s">
        <v>102</v>
      </c>
    </row>
    <row r="10" customFormat="false" ht="15" hidden="false" customHeight="false" outlineLevel="0" collapsed="false">
      <c r="C10" s="31" t="s">
        <v>103</v>
      </c>
      <c r="F10" s="31" t="s">
        <v>94</v>
      </c>
    </row>
    <row r="11" customFormat="false" ht="15" hidden="false" customHeight="false" outlineLevel="0" collapsed="false">
      <c r="C11" s="31"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2026-10-28T08:32:16Z</dcterms:created>
  <dc:creator>openpyxl</dc:creator>
  <dc:description/>
  <dc:language>en-US</dc:language>
  <cp:lastModifiedBy/>
  <dcterms:modified xsi:type="dcterms:W3CDTF">2026-10-28T08:32:17Z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