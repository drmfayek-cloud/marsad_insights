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Summary" sheetId="2" state="visible" r:id="rId4"/>
    <sheet name="Batches" sheetId="3" state="visible" r:id="rId5"/>
    <sheet name="Disputes" sheetId="4" state="visible" r:id="rId6"/>
    <sheet name="Actions" sheetId="5" state="visible" r:id="rId7"/>
    <sheet name="Rejection codes" sheetId="6" state="visible" r:id="rId8"/>
    <sheet name="Lists" sheetId="7" state="visible" r:id="rId9"/>
  </sheets>
  <definedNames>
    <definedName function="false" hidden="true" localSheetId="4" name="_xlnm._FilterDatabase" vbProcedure="false">Actions!$A$4:$J$1004</definedName>
    <definedName function="false" hidden="true" localSheetId="3" name="_xlnm._FilterDatabase" vbProcedure="false">Disputes!$A$4:$AM$1004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<sst xmlns="http://schemas.openxmlformats.org/spreadsheetml/2006/main" count="320" uniqueCount="250">
  <si>
    <t xml:space="preserve">Hospital Disputes Tracker v1.0 (F3) - 28 October 2026</t>
  </si>
  <si>
    <t xml:space="preserve">Prepared by KPMG for the CNHI audit project. Blank template.</t>
  </si>
  <si>
    <t xml:space="preserve">Purpose</t>
  </si>
  <si>
    <t xml:space="preserve">One place to register every hospital objection, record KPMG's position and the actions taken, and feed the dashboard (Hospital disputes page and EX-07, EX-08). Effort hours are visible to CNHI (Decision D-15).</t>
  </si>
  <si>
    <t xml:space="preserve">How it fits</t>
  </si>
  <si>
    <t xml:space="preserve">Batches: one row per objection file a hospital sends (dates entered once). Disputes: one row per disputed claim or approval, linked to its batch. Actions: every action and its hours, linked to a dispute or a batch. Summary: totals, calculated.</t>
  </si>
  <si>
    <t xml:space="preserve">1. New batch</t>
  </si>
  <si>
    <t xml:space="preserve">Add a row in Batches: hospital, TPA, pathway, claims period, file name and the date it was received.</t>
  </si>
  <si>
    <t xml:space="preserve">2. Register disputes</t>
  </si>
  <si>
    <t xml:space="preserve">Add one row per disputed claim in Disputes with the batch ID, references, rejection codes, the TPA or CNHI position and the hospital's argument in one line each, the claimed amount and the approved amount from NPHIES. The amount disputed is calculated (claimed minus approved).</t>
  </si>
  <si>
    <t xml:space="preserve">3. Review</t>
  </si>
  <si>
    <t xml:space="preserve">Record the KPMG position (Not accepted, Partially accepted, Accepted, Withdrawn by hospital), the recommended action, the FWA indicator and the comment. For partial acceptance enter the value to pay; the value maintained is calculated.</t>
  </si>
  <si>
    <t xml:space="preserve">4. Dates</t>
  </si>
  <si>
    <t xml:space="preserve">The received date and the KPMG opinion date come from the batch. Enter a date on the dispute row only when it differs. Yellow cells are missing dates or amounts that the dashboard needs.</t>
  </si>
  <si>
    <t xml:space="preserve">5. Actions and hours</t>
  </si>
  <si>
    <t xml:space="preserve">Log each action with its hours in Actions, from 1 October 2026. Hours reconstructed for past days: set 'Estimated?' to Yes.</t>
  </si>
  <si>
    <t xml:space="preserve">6. CNHI decision</t>
  </si>
  <si>
    <t xml:space="preserve">When CNHI decides, enter the sent date, the decision and its date, and set the status to Closed.</t>
  </si>
  <si>
    <t xml:space="preserve">Dashboard mapping</t>
  </si>
  <si>
    <t xml:space="preserve">Closed in a month = KPMG opinion issued in that month. Outcome: Not accepted = rejection maintained; Partially accepted = partially maintained; Accepted = reversed. Value disputed = claimed minus approved.</t>
  </si>
  <si>
    <t xml:space="preserve">Data protection</t>
  </si>
  <si>
    <t xml:space="preserve">No patient names, national IDs or file numbers. The dashboard hashes the references and drops all free-text columns (comments, arguments, notes) at upload.</t>
  </si>
  <si>
    <t xml:space="preserve">دليل مختصر</t>
  </si>
  <si>
    <t xml:space="preserve">سجل كل ملف اعتراض يرد من المستشفى في ورقة الدفعات، وأدخل تاريخ الاستلام مرة واحدة.</t>
  </si>
  <si>
    <t xml:space="preserve">سجل كل مطالبة معترض عليها في ورقة الاعتراضات مع رقم الدفعة والمراجع ورموز الرفض والمبلغ المطالب به والمعتمد.</t>
  </si>
  <si>
    <t xml:space="preserve">سجل موقف كي بي إم جي والإجراء الموصى به ومؤشر الاحتيال والهدر، والقيمة المستحقة الدفع عند القبول الجزئي.</t>
  </si>
  <si>
    <t xml:space="preserve">سجل كل إجراء وساعات العمل عليه في ورقة الإجراءات بدءا من 1 أكتوبر 2026.</t>
  </si>
  <si>
    <t xml:space="preserve">لا تدخل اسم المريض أو رقم الهوية أو الرقم الطبي.</t>
  </si>
  <si>
    <t xml:space="preserve">Hospital disputes - summary</t>
  </si>
  <si>
    <t xml:space="preserve">Calculated from the Disputes and Actions sheets. Feeds the dashboard page 'Hospital disputes' (EX-07, EX-08, HD-01 to HD-07).</t>
  </si>
  <si>
    <t xml:space="preserve">Headline</t>
  </si>
  <si>
    <t xml:space="preserve">Value</t>
  </si>
  <si>
    <t xml:space="preserve">Disputes registered</t>
  </si>
  <si>
    <t xml:space="preserve">KPMG opinions issued</t>
  </si>
  <si>
    <t xml:space="preserve">Pending KPMG review</t>
  </si>
  <si>
    <t xml:space="preserve">Rejection maintained in full (Not accepted)</t>
  </si>
  <si>
    <t xml:space="preserve">Position maintained rate (full)</t>
  </si>
  <si>
    <t xml:space="preserve">Claimed value of disputed claims (SAR)</t>
  </si>
  <si>
    <t xml:space="preserve">Amount disputed (SAR) - where approved amount entered</t>
  </si>
  <si>
    <t xml:space="preserve">Value maintained (SAR)</t>
  </si>
  <si>
    <t xml:space="preserve">Disputes still missing the approved amount</t>
  </si>
  <si>
    <t xml:space="preserve">Disputes with an FWA indicator</t>
  </si>
  <si>
    <t xml:space="preserve">Hours logged</t>
  </si>
  <si>
    <t xml:space="preserve">Median days from receipt to opinion</t>
  </si>
  <si>
    <t xml:space="preserve">By hospital</t>
  </si>
  <si>
    <t xml:space="preserve">Disputes</t>
  </si>
  <si>
    <t xml:space="preserve">Not accepted</t>
  </si>
  <si>
    <t xml:space="preserve">Partially accepted</t>
  </si>
  <si>
    <t xml:space="preserve">Accepted</t>
  </si>
  <si>
    <t xml:space="preserve">Pending</t>
  </si>
  <si>
    <t xml:space="preserve">Claimed (SAR)</t>
  </si>
  <si>
    <t xml:space="preserve">FWA flags</t>
  </si>
  <si>
    <t xml:space="preserve">Hours</t>
  </si>
  <si>
    <t xml:space="preserve">Al-Ahly Hospital</t>
  </si>
  <si>
    <t xml:space="preserve">Al Khafji Ahli Hospital</t>
  </si>
  <si>
    <t xml:space="preserve">Dr. Fares Al-Haddaj Hospital</t>
  </si>
  <si>
    <t xml:space="preserve">Almodawat Hospital</t>
  </si>
  <si>
    <t xml:space="preserve">Total</t>
  </si>
  <si>
    <t xml:space="preserve">By dispute theme</t>
  </si>
  <si>
    <t xml:space="preserve">Share</t>
  </si>
  <si>
    <t xml:space="preserve">Level of care (ICU/PICU)</t>
  </si>
  <si>
    <t xml:space="preserve">Length of stay</t>
  </si>
  <si>
    <t xml:space="preserve">Pre-authorization missing or expired</t>
  </si>
  <si>
    <t xml:space="preserve">Coding or billing</t>
  </si>
  <si>
    <t xml:space="preserve">Long-term care / ventilation</t>
  </si>
  <si>
    <t xml:space="preserve">Medical necessity</t>
  </si>
  <si>
    <t xml:space="preserve">Pricing or tariff</t>
  </si>
  <si>
    <t xml:space="preserve">Documentation</t>
  </si>
  <si>
    <t xml:space="preserve">Other</t>
  </si>
  <si>
    <t xml:space="preserve">By FWA indicator</t>
  </si>
  <si>
    <t xml:space="preserve">None</t>
  </si>
  <si>
    <t xml:space="preserve">Waste (overpayment risk)</t>
  </si>
  <si>
    <t xml:space="preserve">Potential abuse</t>
  </si>
  <si>
    <t xml:space="preserve">Suspected abuse</t>
  </si>
  <si>
    <t xml:space="preserve">Suspected fraud</t>
  </si>
  <si>
    <t xml:space="preserve">By recommended action</t>
  </si>
  <si>
    <t xml:space="preserve">Uphold rejection</t>
  </si>
  <si>
    <t xml:space="preserve">Partial payment</t>
  </si>
  <si>
    <t xml:space="preserve">Overturn - pay in full</t>
  </si>
  <si>
    <t xml:space="preserve">Reprice (correct code or tariff)</t>
  </si>
  <si>
    <t xml:space="preserve">Reprocess with correct code</t>
  </si>
  <si>
    <t xml:space="preserve">Request documents</t>
  </si>
  <si>
    <t xml:space="preserve">Refer for FWA investigation</t>
  </si>
  <si>
    <t xml:space="preserve">By month (KPMG opinion date)</t>
  </si>
  <si>
    <t xml:space="preserve">Opinions</t>
  </si>
  <si>
    <t xml:space="preserve">Maintained</t>
  </si>
  <si>
    <t xml:space="preserve">Partially</t>
  </si>
  <si>
    <t xml:space="preserve">Reversed</t>
  </si>
  <si>
    <t xml:space="preserve">Batches: one row per objection file received from a hospital</t>
  </si>
  <si>
    <t xml:space="preserve">Enter the dates once per batch; every dispute in the batch takes them unless its own row overrides them. Yellow = to confirm.</t>
  </si>
  <si>
    <t xml:space="preserve">Batch ID</t>
  </si>
  <si>
    <t xml:space="preserve">Hospital</t>
  </si>
  <si>
    <t xml:space="preserve">TPA</t>
  </si>
  <si>
    <t xml:space="preserve">Pathway</t>
  </si>
  <si>
    <t xml:space="preserve">Claims period</t>
  </si>
  <si>
    <t xml:space="preserve">Source file</t>
  </si>
  <si>
    <t xml:space="preserve">Received date</t>
  </si>
  <si>
    <t xml:space="preserve">KPMG opinion date</t>
  </si>
  <si>
    <t xml:space="preserve">Sent to CNHI date</t>
  </si>
  <si>
    <t xml:space="preserve">Opinions issued</t>
  </si>
  <si>
    <t xml:space="preserve">Notes</t>
  </si>
  <si>
    <t xml:space="preserve">Hospital disputes register: one row per disputed claim or approval</t>
  </si>
  <si>
    <t xml:space="preserve">Navy headers: you enter or correct. Grey headers: calculated, do not type over. Row 3 gives the Arabic label of each column.</t>
  </si>
  <si>
    <t xml:space="preserve">رقم الاعتراض</t>
  </si>
  <si>
    <t xml:space="preserve">رقم الدفعة</t>
  </si>
  <si>
    <t xml:space="preserve">المستشفى</t>
  </si>
  <si>
    <t xml:space="preserve">شركة إدارة المطالبات</t>
  </si>
  <si>
    <t xml:space="preserve">المسار</t>
  </si>
  <si>
    <t xml:space="preserve">الجولة</t>
  </si>
  <si>
    <t xml:space="preserve">رقم GSS</t>
  </si>
  <si>
    <t xml:space="preserve">مرجع المطالبة</t>
  </si>
  <si>
    <t xml:space="preserve">رقم المطالبة</t>
  </si>
  <si>
    <t xml:space="preserve">شهر الفوترة</t>
  </si>
  <si>
    <t xml:space="preserve">تاريخ الخدمة</t>
  </si>
  <si>
    <t xml:space="preserve">رموز الرفض</t>
  </si>
  <si>
    <t xml:space="preserve">موقف الشركة أو المركز</t>
  </si>
  <si>
    <t xml:space="preserve">حجة المستشفى</t>
  </si>
  <si>
    <t xml:space="preserve">موضوع الاعتراض</t>
  </si>
  <si>
    <t xml:space="preserve">المبلغ المطالب به</t>
  </si>
  <si>
    <t xml:space="preserve">المبلغ المعتمد</t>
  </si>
  <si>
    <t xml:space="preserve">المبلغ محل الاعتراض</t>
  </si>
  <si>
    <t xml:space="preserve">تاريخ الاستلام (إن اختلف)</t>
  </si>
  <si>
    <t xml:space="preserve">تاريخ الاستلام</t>
  </si>
  <si>
    <t xml:space="preserve">المراجع</t>
  </si>
  <si>
    <t xml:space="preserve">تاريخ الرأي (إن اختلف)</t>
  </si>
  <si>
    <t xml:space="preserve">تاريخ رأي كي بي إم جي</t>
  </si>
  <si>
    <t xml:space="preserve">موقف كي بي إم جي</t>
  </si>
  <si>
    <t xml:space="preserve">الإجراء الموصى به</t>
  </si>
  <si>
    <t xml:space="preserve">القيمة المستحقة الدفع (للقبول الجزئي)</t>
  </si>
  <si>
    <t xml:space="preserve">القيمة المحافظ عليها</t>
  </si>
  <si>
    <t xml:space="preserve">مؤشر الاحتيال والهدر</t>
  </si>
  <si>
    <t xml:space="preserve">ملخص رأي كي بي إم جي</t>
  </si>
  <si>
    <t xml:space="preserve">رأي كي بي إم جي كاملا</t>
  </si>
  <si>
    <t xml:space="preserve">الحالة</t>
  </si>
  <si>
    <t xml:space="preserve">تاريخ الإرسال للمركز</t>
  </si>
  <si>
    <t xml:space="preserve">قرار المركز النهائي</t>
  </si>
  <si>
    <t xml:space="preserve">تاريخ قرار المركز</t>
  </si>
  <si>
    <t xml:space="preserve">النتيجة</t>
  </si>
  <si>
    <t xml:space="preserve">تاريخ الإغلاق</t>
  </si>
  <si>
    <t xml:space="preserve">أيام حتى الرأي</t>
  </si>
  <si>
    <t xml:space="preserve">الساعات المسجلة</t>
  </si>
  <si>
    <t xml:space="preserve">المصدر والملاحظات</t>
  </si>
  <si>
    <t xml:space="preserve">Dispute ID</t>
  </si>
  <si>
    <t xml:space="preserve">Round</t>
  </si>
  <si>
    <t xml:space="preserve">GSS ID</t>
  </si>
  <si>
    <t xml:space="preserve">Claim or bundle reference</t>
  </si>
  <si>
    <t xml:space="preserve">Claim no.</t>
  </si>
  <si>
    <t xml:space="preserve">Billing month</t>
  </si>
  <si>
    <t xml:space="preserve">Service or admission date</t>
  </si>
  <si>
    <t xml:space="preserve">Rejection code(s)</t>
  </si>
  <si>
    <t xml:space="preserve">TPA or CNHI position (summary)</t>
  </si>
  <si>
    <t xml:space="preserve">Hospital argument (summary)</t>
  </si>
  <si>
    <t xml:space="preserve">Dispute theme</t>
  </si>
  <si>
    <t xml:space="preserve">Claimed amount (SAR)</t>
  </si>
  <si>
    <t xml:space="preserve">Approved amount (SAR)</t>
  </si>
  <si>
    <t xml:space="preserve">Amount disputed (SAR)</t>
  </si>
  <si>
    <t xml:space="preserve">Received date (if different from batch)</t>
  </si>
  <si>
    <t xml:space="preserve">KPMG reviewer</t>
  </si>
  <si>
    <t xml:space="preserve">KPMG opinion date (if different from batch)</t>
  </si>
  <si>
    <t xml:space="preserve">KPMG position</t>
  </si>
  <si>
    <t xml:space="preserve">Recommended action</t>
  </si>
  <si>
    <t xml:space="preserve">Value to pay (SAR) - partial only</t>
  </si>
  <si>
    <t xml:space="preserve">FWA indicator</t>
  </si>
  <si>
    <t xml:space="preserve">KPMG comment (summary)</t>
  </si>
  <si>
    <t xml:space="preserve">KPMG comment (full)</t>
  </si>
  <si>
    <t xml:space="preserve">Status</t>
  </si>
  <si>
    <t xml:space="preserve">CNHI final decision</t>
  </si>
  <si>
    <t xml:space="preserve">CNHI decision date</t>
  </si>
  <si>
    <t xml:space="preserve">Outcome</t>
  </si>
  <si>
    <t xml:space="preserve">Closure date</t>
  </si>
  <si>
    <t xml:space="preserve">Days to opinion</t>
  </si>
  <si>
    <t xml:space="preserve">Source and notes</t>
  </si>
  <si>
    <t xml:space="preserve">Actions and time log: one row per action taken on a dispute or batch</t>
  </si>
  <si>
    <t xml:space="preserve">Log every action with its hours from 1 October 2026. Use a Batch ID or 'General' when the work covers several disputes. Row 5 is an example.</t>
  </si>
  <si>
    <t xml:space="preserve">Action ID</t>
  </si>
  <si>
    <t xml:space="preserve">Date</t>
  </si>
  <si>
    <t xml:space="preserve">Action type</t>
  </si>
  <si>
    <t xml:space="preserve">Team member</t>
  </si>
  <si>
    <t xml:space="preserve">Estimated? (backfilled)</t>
  </si>
  <si>
    <t xml:space="preserve">Note</t>
  </si>
  <si>
    <t xml:space="preserve">Month</t>
  </si>
  <si>
    <t xml:space="preserve">A-EXAMPLE</t>
  </si>
  <si>
    <t xml:space="preserve">EXAMPLE</t>
  </si>
  <si>
    <t xml:space="preserve">Clinical review</t>
  </si>
  <si>
    <t xml:space="preserve">Reviewer 1</t>
  </si>
  <si>
    <t xml:space="preserve">No</t>
  </si>
  <si>
    <t xml:space="preserve">Example row: replace with your first action</t>
  </si>
  <si>
    <t xml:space="preserve">NPHIES rejection codes seen in the disputes</t>
  </si>
  <si>
    <t xml:space="preserve">Descriptions as they appear in the claim responses. Add new codes as they appear.</t>
  </si>
  <si>
    <t xml:space="preserve">Code</t>
  </si>
  <si>
    <t xml:space="preserve">Description</t>
  </si>
  <si>
    <t xml:space="preserve">Code group</t>
  </si>
  <si>
    <t xml:space="preserve">Disputes citing it</t>
  </si>
  <si>
    <t xml:space="preserve">AD-3-3</t>
  </si>
  <si>
    <t xml:space="preserve">Room services and food are included in room and board expenses</t>
  </si>
  <si>
    <t xml:space="preserve">Administrative</t>
  </si>
  <si>
    <t xml:space="preserve">BE-1-2</t>
  </si>
  <si>
    <t xml:space="preserve">Service was not performed</t>
  </si>
  <si>
    <t xml:space="preserve">Billing and authorization</t>
  </si>
  <si>
    <t xml:space="preserve">BE-1-3</t>
  </si>
  <si>
    <t xml:space="preserve">Submission not compliant with contractual agreement between provider &amp; payer</t>
  </si>
  <si>
    <t xml:space="preserve">BE-1-4</t>
  </si>
  <si>
    <t xml:space="preserve">Preauthorization is required and was not obtained</t>
  </si>
  <si>
    <t xml:space="preserve">BE-1-6</t>
  </si>
  <si>
    <t xml:space="preserve">Calculation discrepancy</t>
  </si>
  <si>
    <t xml:space="preserve">BE-1-7</t>
  </si>
  <si>
    <t xml:space="preserve">Incorrect billing regime</t>
  </si>
  <si>
    <t xml:space="preserve">CV-4-9</t>
  </si>
  <si>
    <t xml:space="preserve">Service/procedure/device/medication was included within another service/procedure</t>
  </si>
  <si>
    <t xml:space="preserve">Coding and bundling</t>
  </si>
  <si>
    <t xml:space="preserve">MN-1-1</t>
  </si>
  <si>
    <t xml:space="preserve">Service is not clinically justified based on clinical practice guideline, without additional supporting diagnosis</t>
  </si>
  <si>
    <t xml:space="preserve">SE-1-7</t>
  </si>
  <si>
    <t xml:space="preserve">Type of diagnosis is inadequate or missing</t>
  </si>
  <si>
    <t xml:space="preserve">Supporting documentation</t>
  </si>
  <si>
    <t xml:space="preserve">SE-1-8</t>
  </si>
  <si>
    <t xml:space="preserve">Treatment plan is inadequate or missing</t>
  </si>
  <si>
    <t xml:space="preserve">Lists</t>
  </si>
  <si>
    <t xml:space="preserve">Add items at the bottom of a list with no gaps; drop-downs read these lists.</t>
  </si>
  <si>
    <t xml:space="preserve">Theme</t>
  </si>
  <si>
    <t xml:space="preserve">Action</t>
  </si>
  <si>
    <t xml:space="preserve">FWA</t>
  </si>
  <si>
    <t xml:space="preserve">CNHI decision</t>
  </si>
  <si>
    <t xml:space="preserve">Yes/No</t>
  </si>
  <si>
    <t xml:space="preserve">GlobeMed Saudi</t>
  </si>
  <si>
    <t xml:space="preserve">Claim</t>
  </si>
  <si>
    <t xml:space="preserve">1st objection</t>
  </si>
  <si>
    <t xml:space="preserve">Received</t>
  </si>
  <si>
    <t xml:space="preserve">Agreed with KPMG</t>
  </si>
  <si>
    <t xml:space="preserve">Batch received</t>
  </si>
  <si>
    <t xml:space="preserve">NextCare</t>
  </si>
  <si>
    <t xml:space="preserve">Pre-authorization</t>
  </si>
  <si>
    <t xml:space="preserve">2nd objection</t>
  </si>
  <si>
    <t xml:space="preserve">Partially agreed</t>
  </si>
  <si>
    <t xml:space="preserve">Case triage</t>
  </si>
  <si>
    <t xml:space="preserve">Yes</t>
  </si>
  <si>
    <t xml:space="preserve">CNHI (direct)</t>
  </si>
  <si>
    <t xml:space="preserve">GSS</t>
  </si>
  <si>
    <t xml:space="preserve">3rd objection</t>
  </si>
  <si>
    <t xml:space="preserve">Documents requested</t>
  </si>
  <si>
    <t xml:space="preserve">Disagreed</t>
  </si>
  <si>
    <t xml:space="preserve">Withdrawn by hospital</t>
  </si>
  <si>
    <t xml:space="preserve">KPMG opinion issued</t>
  </si>
  <si>
    <t xml:space="preserve">Sent to CNHI</t>
  </si>
  <si>
    <t xml:space="preserve">Response drafted</t>
  </si>
  <si>
    <t xml:space="preserve">Closed - CNHI decision recorded</t>
  </si>
  <si>
    <t xml:space="preserve">Internal QA</t>
  </si>
  <si>
    <t xml:space="preserve">Opinion issued to CNHI</t>
  </si>
  <si>
    <t xml:space="preserve">Meeting with hospital, TPA or CNHI</t>
  </si>
  <si>
    <t xml:space="preserve">CNHI decision recorded</t>
  </si>
</sst>
</file>

<file path=xl/styles.xml><?xml version="1.0" encoding="utf-8"?>
<styleSheet xmlns="http://schemas.openxmlformats.org/spreadsheetml/2006/main">
  <numFmts count="8">
    <numFmt numFmtId="164" formatCode="General"/>
    <numFmt numFmtId="165" formatCode="0"/>
    <numFmt numFmtId="166" formatCode="0%"/>
    <numFmt numFmtId="167" formatCode="#,##0"/>
    <numFmt numFmtId="168" formatCode="0.0"/>
    <numFmt numFmtId="169" formatCode="mmm\-yyyy"/>
    <numFmt numFmtId="170" formatCode="dd\-mmm\-yyyy"/>
    <numFmt numFmtId="171" formatCode="#,##0.00;\(#,##0.00\);\-"/>
  </numFmts>
  <fonts count="15">
    <font>
      <sz val="11"/>
      <color theme="1"/>
      <name val="Calibri"/>
      <family val="2"/>
      <charset val="1"/>
    </font>
    <font>
      <sz val="10"/>
      <name val="Arial"/>
      <family val="0"/>
    </font>
    <font>
      <sz val="10"/>
      <name val="Arial"/>
      <family val="0"/>
    </font>
    <font>
      <sz val="10"/>
      <name val="Arial"/>
      <family val="0"/>
    </font>
    <font>
      <b val="true"/>
      <sz val="15"/>
      <color rgb="FF0B4F6C"/>
      <name val="Arial"/>
      <family val="0"/>
      <charset val="1"/>
    </font>
    <font>
      <i val="true"/>
      <sz val="9"/>
      <color rgb="FF4A5568"/>
      <name val="Arial"/>
      <family val="0"/>
      <charset val="1"/>
    </font>
    <font>
      <b val="true"/>
      <sz val="10"/>
      <name val="Arial"/>
      <family val="0"/>
      <charset val="1"/>
    </font>
    <font>
      <sz val="10"/>
      <name val="Arial"/>
      <family val="0"/>
      <charset val="1"/>
    </font>
    <font>
      <b val="true"/>
      <sz val="11"/>
      <color rgb="FF0B4F6C"/>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sz val="9"/>
      <color rgb="FF4A5568"/>
      <name val="Arial"/>
      <family val="0"/>
      <charset val="1"/>
    </font>
    <font>
      <i val="true"/>
      <sz val="10"/>
      <color rgb="FF808080"/>
      <name val="Arial"/>
      <family val="0"/>
      <charset val="1"/>
    </font>
  </fonts>
  <fills count="5">
    <fill>
      <patternFill patternType="none"/>
    </fill>
    <fill>
      <patternFill patternType="gray125"/>
    </fill>
    <fill>
      <patternFill patternType="solid">
        <fgColor rgb="FF0B4F6C"/>
        <bgColor rgb="FF333399"/>
      </patternFill>
    </fill>
    <fill>
      <patternFill patternType="solid">
        <fgColor rgb="FF0F8B8D"/>
        <bgColor rgb="FF008080"/>
      </patternFill>
    </fill>
    <fill>
      <patternFill patternType="solid">
        <fgColor rgb="FF7F8FA9"/>
        <bgColor rgb="FF808080"/>
      </patternFill>
    </fill>
  </fills>
  <borders count="2">
    <border diagonalUp="false" diagonalDown="false">
      <left/>
      <right/>
      <top/>
      <bottom/>
      <diagonal/>
    </border>
    <border diagonalUp="false" diagonalDown="false">
      <left style="thin">
        <color rgb="FFD5DCE6"/>
      </left>
      <right style="thin">
        <color rgb="FFD5DCE6"/>
      </right>
      <top style="thin">
        <color rgb="FFD5DCE6"/>
      </top>
      <bottom style="thin">
        <color rgb="FFD5DC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true" indent="0" shrinkToFit="false" readingOrder="2"/>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top" textRotation="0" wrapText="true" indent="0" shrinkToFit="false" readingOrder="2"/>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70" fontId="12"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71" fontId="12" fillId="0" borderId="1" xfId="0" applyFont="true" applyBorder="true" applyAlignment="true" applyProtection="false">
      <alignment horizontal="general" vertical="top" textRotation="0" wrapText="false" indent="0" shrinkToFit="false"/>
      <protection locked="true" hidden="false"/>
    </xf>
    <xf numFmtId="171" fontId="10" fillId="0" borderId="1" xfId="0" applyFont="true" applyBorder="true" applyAlignment="true" applyProtection="false">
      <alignment horizontal="general" vertical="top" textRotation="0" wrapText="false" indent="0" shrinkToFit="false"/>
      <protection locked="true" hidden="false"/>
    </xf>
    <xf numFmtId="170"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0B4F6C"/>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7F8FA9"/>
          <bgColor rgb="FF000000"/>
        </patternFill>
      </fill>
    </dxf>
    <dxf>
      <fill>
        <patternFill patternType="solid">
          <fgColor rgb="FF000000"/>
          <bgColor rgb="FF000000"/>
        </patternFill>
      </fill>
    </dxf>
    <dxf>
      <fill>
        <patternFill>
          <bgColor rgb="FFD9F3E1"/>
        </patternFill>
      </fill>
    </dxf>
    <dxf>
      <fill>
        <patternFill>
          <bgColor rgb="FFFFEDCF"/>
        </patternFill>
      </fill>
    </dxf>
    <dxf>
      <fill>
        <patternFill>
          <bgColor rgb="FFFFE1D6"/>
        </patternFill>
      </fill>
    </dxf>
    <dxf>
      <fill>
        <patternFill>
          <bgColor rgb="FFE3E5FF"/>
        </patternFill>
      </fill>
    </dxf>
    <dxf>
      <fill>
        <patternFill>
          <bgColor rgb="FFF9C6D9"/>
        </patternFill>
      </fill>
    </dxf>
    <dxf>
      <fill>
        <patternFill>
          <bgColor rgb="FFFFD4C4"/>
        </patternFill>
      </fill>
    </dxf>
    <dxf>
      <fill>
        <patternFill>
          <bgColor rgb="FFFFF6D6"/>
        </patternFill>
      </fill>
    </dxf>
    <dxf>
      <fill>
        <patternFill>
          <bgColor rgb="FFFFE08A"/>
        </patternFill>
      </fill>
    </dxf>
    <dxf>
      <fill>
        <patternFill>
          <bgColor rgb="FFFFF8DC"/>
        </patternFill>
      </fill>
    </dxf>
    <dxf>
      <fill>
        <patternFill patternType="solid">
          <fgColor rgb="FF8080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8B8D"/>
      <rgbColor rgb="FFF9C6D9"/>
      <rgbColor rgb="FF808080"/>
      <rgbColor rgb="FF9999FF"/>
      <rgbColor rgb="FF993366"/>
      <rgbColor rgb="FFFFF8DC"/>
      <rgbColor rgb="FFE3E5FF"/>
      <rgbColor rgb="FF660066"/>
      <rgbColor rgb="FFFF8080"/>
      <rgbColor rgb="FF0066CC"/>
      <rgbColor rgb="FFD5DCE6"/>
      <rgbColor rgb="FF000080"/>
      <rgbColor rgb="FFFF00FF"/>
      <rgbColor rgb="FFFFFF00"/>
      <rgbColor rgb="FF00FFFF"/>
      <rgbColor rgb="FF800080"/>
      <rgbColor rgb="FF800000"/>
      <rgbColor rgb="FF008080"/>
      <rgbColor rgb="FF0000FF"/>
      <rgbColor rgb="FF00CCFF"/>
      <rgbColor rgb="FFFFEDCF"/>
      <rgbColor rgb="FFD9F3E1"/>
      <rgbColor rgb="FFFFF6D6"/>
      <rgbColor rgb="FF99CCFF"/>
      <rgbColor rgb="FFFFE1D6"/>
      <rgbColor rgb="FFCC99FF"/>
      <rgbColor rgb="FFFFD4C4"/>
      <rgbColor rgb="FF3366FF"/>
      <rgbColor rgb="FF33CCCC"/>
      <rgbColor rgb="FF99CC00"/>
      <rgbColor rgb="FFFFE08A"/>
      <rgbColor rgb="FFFF9900"/>
      <rgbColor rgb="FFFF6600"/>
      <rgbColor rgb="FF4A5568"/>
      <rgbColor rgb="FF7F8FA9"/>
      <rgbColor rgb="FF0B4F6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4F6C"/>
    <pageSetUpPr fitToPage="false"/>
  </sheetPr>
  <dimension ref="A1: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8.5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4" t="s">
        <v>3</v>
      </c>
    </row>
    <row r="5" customFormat="false" ht="45" hidden="false" customHeight="true" outlineLevel="0" collapsed="false">
      <c r="A5" s="3" t="s">
        <v>4</v>
      </c>
      <c r="B5" s="4" t="s">
        <v>5</v>
      </c>
    </row>
    <row r="6" customFormat="false" ht="15" hidden="false" customHeight="true" outlineLevel="0" collapsed="false">
      <c r="A6" s="3" t="s">
        <v>6</v>
      </c>
      <c r="B6" s="4" t="s">
        <v>7</v>
      </c>
    </row>
    <row r="7" customFormat="false" ht="45" hidden="false" customHeight="true" outlineLevel="0" collapsed="false">
      <c r="A7" s="3" t="s">
        <v>8</v>
      </c>
      <c r="B7" s="4" t="s">
        <v>9</v>
      </c>
    </row>
    <row r="8" customFormat="false" ht="45" hidden="false" customHeight="true" outlineLevel="0" collapsed="false">
      <c r="A8" s="3" t="s">
        <v>10</v>
      </c>
      <c r="B8" s="4" t="s">
        <v>11</v>
      </c>
    </row>
    <row r="9" customFormat="false" ht="30" hidden="false" customHeight="true" outlineLevel="0" collapsed="false">
      <c r="A9" s="3" t="s">
        <v>12</v>
      </c>
      <c r="B9" s="4" t="s">
        <v>13</v>
      </c>
    </row>
    <row r="10" customFormat="false" ht="30" hidden="false" customHeight="true" outlineLevel="0" collapsed="false">
      <c r="A10" s="3" t="s">
        <v>14</v>
      </c>
      <c r="B10" s="4" t="s">
        <v>15</v>
      </c>
    </row>
    <row r="11" customFormat="false" ht="15" hidden="false" customHeight="true" outlineLevel="0" collapsed="false">
      <c r="A11" s="3" t="s">
        <v>16</v>
      </c>
      <c r="B11" s="4" t="s">
        <v>17</v>
      </c>
    </row>
    <row r="12" customFormat="false" ht="30" hidden="false" customHeight="true" outlineLevel="0" collapsed="false">
      <c r="A12" s="3" t="s">
        <v>18</v>
      </c>
      <c r="B12" s="4" t="s">
        <v>19</v>
      </c>
    </row>
    <row r="13" customFormat="false" ht="30" hidden="false" customHeight="true" outlineLevel="0" collapsed="false">
      <c r="A13" s="3" t="s">
        <v>20</v>
      </c>
      <c r="B13" s="4" t="s">
        <v>21</v>
      </c>
    </row>
    <row r="15" customFormat="false" ht="15" hidden="false" customHeight="false" outlineLevel="0" collapsed="false">
      <c r="A15" s="5" t="s">
        <v>22</v>
      </c>
    </row>
    <row r="16" customFormat="false" ht="15" hidden="false" customHeight="false" outlineLevel="0" collapsed="false">
      <c r="B16" s="6" t="s">
        <v>23</v>
      </c>
    </row>
    <row r="17" customFormat="false" ht="15" hidden="false" customHeight="false" outlineLevel="0" collapsed="false">
      <c r="B17" s="6" t="s">
        <v>24</v>
      </c>
    </row>
    <row r="18" customFormat="false" ht="15" hidden="false" customHeight="false" outlineLevel="0" collapsed="false">
      <c r="B18" s="6" t="s">
        <v>25</v>
      </c>
    </row>
    <row r="19" customFormat="false" ht="15" hidden="false" customHeight="false" outlineLevel="0" collapsed="false">
      <c r="B19" s="6" t="s">
        <v>26</v>
      </c>
    </row>
    <row r="20" customFormat="false" ht="15" hidden="false" customHeight="false" outlineLevel="0" collapsed="false">
      <c r="B20" s="6"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4F6C"/>
    <pageSetUpPr fitToPage="false"/>
  </sheetPr>
  <dimension ref="A1:J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3"/>
    <col collapsed="false" customWidth="true" hidden="false" outlineLevel="0" max="9" min="7" style="0" width="16"/>
    <col collapsed="false" customWidth="true" hidden="false" outlineLevel="0" max="10" min="10" style="0" width="12"/>
  </cols>
  <sheetData>
    <row r="1" customFormat="false" ht="18.55" hidden="false" customHeight="false" outlineLevel="0" collapsed="false">
      <c r="A1" s="1" t="s">
        <v>28</v>
      </c>
    </row>
    <row r="2" customFormat="false" ht="15" hidden="false" customHeight="false" outlineLevel="0" collapsed="false">
      <c r="A2" s="2" t="s">
        <v>29</v>
      </c>
    </row>
    <row r="4" customFormat="false" ht="15" hidden="false" customHeight="false" outlineLevel="0" collapsed="false">
      <c r="A4" s="7" t="s">
        <v>30</v>
      </c>
      <c r="B4" s="7" t="s">
        <v>31</v>
      </c>
    </row>
    <row r="5" customFormat="false" ht="15" hidden="false" customHeight="false" outlineLevel="0" collapsed="false">
      <c r="A5" s="8" t="s">
        <v>32</v>
      </c>
      <c r="B5" s="9" t="n">
        <f aca="false">COUNTA(Disputes!$A$5:$A$1004)</f>
        <v>0</v>
      </c>
    </row>
    <row r="6" customFormat="false" ht="15" hidden="false" customHeight="false" outlineLevel="0" collapsed="false">
      <c r="A6" s="8" t="s">
        <v>33</v>
      </c>
      <c r="B6" s="9" t="n">
        <f aca="false">COUNTIF(Disputes!$AI$5:$AI$1004,"?*")</f>
        <v>0</v>
      </c>
    </row>
    <row r="7" customFormat="false" ht="15" hidden="false" customHeight="false" outlineLevel="0" collapsed="false">
      <c r="A7" s="8" t="s">
        <v>34</v>
      </c>
      <c r="B7" s="9" t="n">
        <f aca="false">COUNTIF(Disputes!$X$5:$X$1004,"Pending")</f>
        <v>0</v>
      </c>
    </row>
    <row r="8" customFormat="false" ht="15" hidden="false" customHeight="false" outlineLevel="0" collapsed="false">
      <c r="A8" s="8" t="s">
        <v>35</v>
      </c>
      <c r="B8" s="9" t="n">
        <f aca="false">COUNTIF(Disputes!$X$5:$X$1004,"Not accepted")</f>
        <v>0</v>
      </c>
    </row>
    <row r="9" customFormat="false" ht="15" hidden="false" customHeight="false" outlineLevel="0" collapsed="false">
      <c r="A9" s="8" t="s">
        <v>36</v>
      </c>
      <c r="B9" s="10" t="str">
        <f aca="false">IF(B6=0,"-",B8/B6)</f>
        <v>-</v>
      </c>
    </row>
    <row r="10" customFormat="false" ht="15" hidden="false" customHeight="false" outlineLevel="0" collapsed="false">
      <c r="A10" s="8" t="s">
        <v>37</v>
      </c>
      <c r="B10" s="11" t="n">
        <f aca="false">SUM(Disputes!$P$5:$P$1004)</f>
        <v>0</v>
      </c>
    </row>
    <row r="11" customFormat="false" ht="15" hidden="false" customHeight="false" outlineLevel="0" collapsed="false">
      <c r="A11" s="8" t="s">
        <v>38</v>
      </c>
      <c r="B11" s="11" t="n">
        <f aca="false">SUM(Disputes!$R$5:$R$1004)</f>
        <v>0</v>
      </c>
    </row>
    <row r="12" customFormat="false" ht="15" hidden="false" customHeight="false" outlineLevel="0" collapsed="false">
      <c r="A12" s="8" t="s">
        <v>39</v>
      </c>
      <c r="B12" s="11" t="n">
        <f aca="false">SUM(Disputes!$AA$5:$AA$1004)</f>
        <v>0</v>
      </c>
    </row>
    <row r="13" customFormat="false" ht="15" hidden="false" customHeight="false" outlineLevel="0" collapsed="false">
      <c r="A13" s="8" t="s">
        <v>40</v>
      </c>
      <c r="B13" s="9" t="n">
        <f aca="false">COUNTIFS(Disputes!$A$5:$A$1004,"?*",Disputes!$Q$5:$Q$1004,"",Disputes!$X$5:$X$1004,"&lt;&gt;Pending")</f>
        <v>0</v>
      </c>
    </row>
    <row r="14" customFormat="false" ht="15" hidden="false" customHeight="false" outlineLevel="0" collapsed="false">
      <c r="A14" s="8" t="s">
        <v>41</v>
      </c>
      <c r="B14" s="9" t="n">
        <f aca="false">COUNTA(Disputes!$AB$5:$AB$1004)-COUNTIF(Disputes!$AB$5:$AB$1004,"None")</f>
        <v>0</v>
      </c>
    </row>
    <row r="15" customFormat="false" ht="15" hidden="false" customHeight="false" outlineLevel="0" collapsed="false">
      <c r="A15" s="8" t="s">
        <v>42</v>
      </c>
      <c r="B15" s="12" t="n">
        <f aca="false">SUM(Actions!$F$5:$F$1004)-SUMIF(Actions!$C$5:$C$1004,"EXAMPLE",Actions!$F$5:$F$1004)</f>
        <v>0</v>
      </c>
    </row>
    <row r="16" customFormat="false" ht="15" hidden="false" customHeight="false" outlineLevel="0" collapsed="false">
      <c r="A16" s="8" t="s">
        <v>43</v>
      </c>
      <c r="B16" s="9" t="str">
        <f aca="false">IFERROR(MEDIAN(Disputes!$AK$5:$AK$1004),"-")</f>
        <v>-</v>
      </c>
    </row>
    <row r="19" customFormat="false" ht="15" hidden="false" customHeight="false" outlineLevel="0" collapsed="false">
      <c r="A19" s="13" t="s">
        <v>44</v>
      </c>
      <c r="B19" s="13" t="s">
        <v>45</v>
      </c>
      <c r="C19" s="13" t="s">
        <v>46</v>
      </c>
      <c r="D19" s="13" t="s">
        <v>47</v>
      </c>
      <c r="E19" s="13" t="s">
        <v>48</v>
      </c>
      <c r="F19" s="13" t="s">
        <v>49</v>
      </c>
      <c r="G19" s="13" t="s">
        <v>50</v>
      </c>
      <c r="H19" s="13" t="s">
        <v>39</v>
      </c>
      <c r="I19" s="13" t="s">
        <v>51</v>
      </c>
      <c r="J19" s="13" t="s">
        <v>52</v>
      </c>
    </row>
    <row r="20" customFormat="false" ht="15" hidden="false" customHeight="false" outlineLevel="0" collapsed="false">
      <c r="A20" s="8" t="s">
        <v>53</v>
      </c>
      <c r="B20" s="9" t="n">
        <f aca="false">COUNTIFS(Disputes!$C$5:$C$1004,$A20)</f>
        <v>0</v>
      </c>
      <c r="C20" s="9" t="n">
        <f aca="false">COUNTIFS(Disputes!$C$5:$C$1004,$A20,Disputes!$X$5:$X$1004,"Not accepted")</f>
        <v>0</v>
      </c>
      <c r="D20" s="9" t="n">
        <f aca="false">COUNTIFS(Disputes!$C$5:$C$1004,$A20,Disputes!$X$5:$X$1004,"Partially accepted")</f>
        <v>0</v>
      </c>
      <c r="E20" s="9" t="n">
        <f aca="false">COUNTIFS(Disputes!$C$5:$C$1004,$A20,Disputes!$X$5:$X$1004,"Accepted")</f>
        <v>0</v>
      </c>
      <c r="F20" s="9" t="n">
        <f aca="false">COUNTIFS(Disputes!$C$5:$C$1004,$A20,Disputes!$X$5:$X$1004,"Pending")</f>
        <v>0</v>
      </c>
      <c r="G20" s="11" t="n">
        <f aca="false">SUMIFS(Disputes!$P$5:$P$1004,Disputes!$C$5:$C$1004,$A20)</f>
        <v>0</v>
      </c>
      <c r="H20" s="11" t="n">
        <f aca="false">SUMIFS(Disputes!$AA$5:$AA$1004,Disputes!$C$5:$C$1004,$A20)</f>
        <v>0</v>
      </c>
      <c r="I20" s="9" t="n">
        <f aca="false">COUNTIFS(Disputes!$C$5:$C$1004,$A20,Disputes!$AB$5:$AB$1004,"&lt;&gt;None",Disputes!$AB$5:$AB$1004,"&lt;&gt;")</f>
        <v>0</v>
      </c>
      <c r="J20" s="12" t="n">
        <f aca="false">SUMIF(Actions!$I$5:$I$1004,$A20,Actions!$F$5:$F$1004)</f>
        <v>0</v>
      </c>
    </row>
    <row r="21" customFormat="false" ht="15" hidden="false" customHeight="false" outlineLevel="0" collapsed="false">
      <c r="A21" s="8" t="s">
        <v>54</v>
      </c>
      <c r="B21" s="9" t="n">
        <f aca="false">COUNTIFS(Disputes!$C$5:$C$1004,$A21)</f>
        <v>0</v>
      </c>
      <c r="C21" s="9" t="n">
        <f aca="false">COUNTIFS(Disputes!$C$5:$C$1004,$A21,Disputes!$X$5:$X$1004,"Not accepted")</f>
        <v>0</v>
      </c>
      <c r="D21" s="9" t="n">
        <f aca="false">COUNTIFS(Disputes!$C$5:$C$1004,$A21,Disputes!$X$5:$X$1004,"Partially accepted")</f>
        <v>0</v>
      </c>
      <c r="E21" s="9" t="n">
        <f aca="false">COUNTIFS(Disputes!$C$5:$C$1004,$A21,Disputes!$X$5:$X$1004,"Accepted")</f>
        <v>0</v>
      </c>
      <c r="F21" s="9" t="n">
        <f aca="false">COUNTIFS(Disputes!$C$5:$C$1004,$A21,Disputes!$X$5:$X$1004,"Pending")</f>
        <v>0</v>
      </c>
      <c r="G21" s="11" t="n">
        <f aca="false">SUMIFS(Disputes!$P$5:$P$1004,Disputes!$C$5:$C$1004,$A21)</f>
        <v>0</v>
      </c>
      <c r="H21" s="11" t="n">
        <f aca="false">SUMIFS(Disputes!$AA$5:$AA$1004,Disputes!$C$5:$C$1004,$A21)</f>
        <v>0</v>
      </c>
      <c r="I21" s="9" t="n">
        <f aca="false">COUNTIFS(Disputes!$C$5:$C$1004,$A21,Disputes!$AB$5:$AB$1004,"&lt;&gt;None",Disputes!$AB$5:$AB$1004,"&lt;&gt;")</f>
        <v>0</v>
      </c>
      <c r="J21" s="12" t="n">
        <f aca="false">SUMIF(Actions!$I$5:$I$1004,$A21,Actions!$F$5:$F$1004)</f>
        <v>0</v>
      </c>
    </row>
    <row r="22" customFormat="false" ht="15" hidden="false" customHeight="false" outlineLevel="0" collapsed="false">
      <c r="A22" s="8" t="s">
        <v>55</v>
      </c>
      <c r="B22" s="9" t="n">
        <f aca="false">COUNTIFS(Disputes!$C$5:$C$1004,$A22)</f>
        <v>0</v>
      </c>
      <c r="C22" s="9" t="n">
        <f aca="false">COUNTIFS(Disputes!$C$5:$C$1004,$A22,Disputes!$X$5:$X$1004,"Not accepted")</f>
        <v>0</v>
      </c>
      <c r="D22" s="9" t="n">
        <f aca="false">COUNTIFS(Disputes!$C$5:$C$1004,$A22,Disputes!$X$5:$X$1004,"Partially accepted")</f>
        <v>0</v>
      </c>
      <c r="E22" s="9" t="n">
        <f aca="false">COUNTIFS(Disputes!$C$5:$C$1004,$A22,Disputes!$X$5:$X$1004,"Accepted")</f>
        <v>0</v>
      </c>
      <c r="F22" s="9" t="n">
        <f aca="false">COUNTIFS(Disputes!$C$5:$C$1004,$A22,Disputes!$X$5:$X$1004,"Pending")</f>
        <v>0</v>
      </c>
      <c r="G22" s="11" t="n">
        <f aca="false">SUMIFS(Disputes!$P$5:$P$1004,Disputes!$C$5:$C$1004,$A22)</f>
        <v>0</v>
      </c>
      <c r="H22" s="11" t="n">
        <f aca="false">SUMIFS(Disputes!$AA$5:$AA$1004,Disputes!$C$5:$C$1004,$A22)</f>
        <v>0</v>
      </c>
      <c r="I22" s="9" t="n">
        <f aca="false">COUNTIFS(Disputes!$C$5:$C$1004,$A22,Disputes!$AB$5:$AB$1004,"&lt;&gt;None",Disputes!$AB$5:$AB$1004,"&lt;&gt;")</f>
        <v>0</v>
      </c>
      <c r="J22" s="12" t="n">
        <f aca="false">SUMIF(Actions!$I$5:$I$1004,$A22,Actions!$F$5:$F$1004)</f>
        <v>0</v>
      </c>
    </row>
    <row r="23" customFormat="false" ht="15" hidden="false" customHeight="false" outlineLevel="0" collapsed="false">
      <c r="A23" s="8" t="s">
        <v>56</v>
      </c>
      <c r="B23" s="9" t="n">
        <f aca="false">COUNTIFS(Disputes!$C$5:$C$1004,$A23)</f>
        <v>0</v>
      </c>
      <c r="C23" s="9" t="n">
        <f aca="false">COUNTIFS(Disputes!$C$5:$C$1004,$A23,Disputes!$X$5:$X$1004,"Not accepted")</f>
        <v>0</v>
      </c>
      <c r="D23" s="9" t="n">
        <f aca="false">COUNTIFS(Disputes!$C$5:$C$1004,$A23,Disputes!$X$5:$X$1004,"Partially accepted")</f>
        <v>0</v>
      </c>
      <c r="E23" s="9" t="n">
        <f aca="false">COUNTIFS(Disputes!$C$5:$C$1004,$A23,Disputes!$X$5:$X$1004,"Accepted")</f>
        <v>0</v>
      </c>
      <c r="F23" s="9" t="n">
        <f aca="false">COUNTIFS(Disputes!$C$5:$C$1004,$A23,Disputes!$X$5:$X$1004,"Pending")</f>
        <v>0</v>
      </c>
      <c r="G23" s="11" t="n">
        <f aca="false">SUMIFS(Disputes!$P$5:$P$1004,Disputes!$C$5:$C$1004,$A23)</f>
        <v>0</v>
      </c>
      <c r="H23" s="11" t="n">
        <f aca="false">SUMIFS(Disputes!$AA$5:$AA$1004,Disputes!$C$5:$C$1004,$A23)</f>
        <v>0</v>
      </c>
      <c r="I23" s="9" t="n">
        <f aca="false">COUNTIFS(Disputes!$C$5:$C$1004,$A23,Disputes!$AB$5:$AB$1004,"&lt;&gt;None",Disputes!$AB$5:$AB$1004,"&lt;&gt;")</f>
        <v>0</v>
      </c>
      <c r="J23" s="12" t="n">
        <f aca="false">SUMIF(Actions!$I$5:$I$1004,$A23,Actions!$F$5:$F$1004)</f>
        <v>0</v>
      </c>
    </row>
    <row r="24" customFormat="false" ht="15" hidden="false" customHeight="false" outlineLevel="0" collapsed="false">
      <c r="A24" s="14" t="s">
        <v>57</v>
      </c>
      <c r="B24" s="15" t="n">
        <f aca="false">SUM(B20:B23)</f>
        <v>0</v>
      </c>
      <c r="C24" s="15" t="n">
        <f aca="false">SUM(C20:C23)</f>
        <v>0</v>
      </c>
      <c r="D24" s="15" t="n">
        <f aca="false">SUM(D20:D23)</f>
        <v>0</v>
      </c>
      <c r="E24" s="15" t="n">
        <f aca="false">SUM(E20:E23)</f>
        <v>0</v>
      </c>
      <c r="F24" s="15" t="n">
        <f aca="false">SUM(F20:F23)</f>
        <v>0</v>
      </c>
      <c r="G24" s="16" t="n">
        <f aca="false">SUM(G20:G23)</f>
        <v>0</v>
      </c>
      <c r="H24" s="16" t="n">
        <f aca="false">SUM(H20:H23)</f>
        <v>0</v>
      </c>
      <c r="I24" s="15" t="n">
        <f aca="false">SUM(I20:I23)</f>
        <v>0</v>
      </c>
      <c r="J24" s="15" t="n">
        <f aca="false">SUM(J20:J23)</f>
        <v>0</v>
      </c>
    </row>
    <row r="27" customFormat="false" ht="15" hidden="false" customHeight="false" outlineLevel="0" collapsed="false">
      <c r="A27" s="13" t="s">
        <v>58</v>
      </c>
      <c r="B27" s="13" t="s">
        <v>45</v>
      </c>
      <c r="C27" s="13" t="s">
        <v>46</v>
      </c>
      <c r="D27" s="13" t="s">
        <v>47</v>
      </c>
      <c r="E27" s="13" t="s">
        <v>48</v>
      </c>
      <c r="F27" s="13" t="s">
        <v>59</v>
      </c>
    </row>
    <row r="28" customFormat="false" ht="15" hidden="false" customHeight="false" outlineLevel="0" collapsed="false">
      <c r="A28" s="8" t="s">
        <v>60</v>
      </c>
      <c r="B28" s="9" t="n">
        <f aca="false">COUNTIFS(Disputes!$O$5:$O$1004,$A28)</f>
        <v>0</v>
      </c>
      <c r="C28" s="9" t="n">
        <f aca="false">COUNTIFS(Disputes!$O$5:$O$1004,$A28,Disputes!$X$5:$X$1004,"Not accepted")</f>
        <v>0</v>
      </c>
      <c r="D28" s="9" t="n">
        <f aca="false">COUNTIFS(Disputes!$O$5:$O$1004,$A28,Disputes!$X$5:$X$1004,"Partially accepted")</f>
        <v>0</v>
      </c>
      <c r="E28" s="9" t="n">
        <f aca="false">COUNTIFS(Disputes!$O$5:$O$1004,$A28,Disputes!$X$5:$X$1004,"Accepted")</f>
        <v>0</v>
      </c>
      <c r="F28" s="10" t="n">
        <f aca="false">IF($B$5=0,0,B28/$B$5)</f>
        <v>0</v>
      </c>
    </row>
    <row r="29" customFormat="false" ht="15" hidden="false" customHeight="false" outlineLevel="0" collapsed="false">
      <c r="A29" s="8" t="s">
        <v>61</v>
      </c>
      <c r="B29" s="9" t="n">
        <f aca="false">COUNTIFS(Disputes!$O$5:$O$1004,$A29)</f>
        <v>0</v>
      </c>
      <c r="C29" s="9" t="n">
        <f aca="false">COUNTIFS(Disputes!$O$5:$O$1004,$A29,Disputes!$X$5:$X$1004,"Not accepted")</f>
        <v>0</v>
      </c>
      <c r="D29" s="9" t="n">
        <f aca="false">COUNTIFS(Disputes!$O$5:$O$1004,$A29,Disputes!$X$5:$X$1004,"Partially accepted")</f>
        <v>0</v>
      </c>
      <c r="E29" s="9" t="n">
        <f aca="false">COUNTIFS(Disputes!$O$5:$O$1004,$A29,Disputes!$X$5:$X$1004,"Accepted")</f>
        <v>0</v>
      </c>
      <c r="F29" s="10" t="n">
        <f aca="false">IF($B$5=0,0,B29/$B$5)</f>
        <v>0</v>
      </c>
    </row>
    <row r="30" customFormat="false" ht="15" hidden="false" customHeight="false" outlineLevel="0" collapsed="false">
      <c r="A30" s="8" t="s">
        <v>62</v>
      </c>
      <c r="B30" s="9" t="n">
        <f aca="false">COUNTIFS(Disputes!$O$5:$O$1004,$A30)</f>
        <v>0</v>
      </c>
      <c r="C30" s="9" t="n">
        <f aca="false">COUNTIFS(Disputes!$O$5:$O$1004,$A30,Disputes!$X$5:$X$1004,"Not accepted")</f>
        <v>0</v>
      </c>
      <c r="D30" s="9" t="n">
        <f aca="false">COUNTIFS(Disputes!$O$5:$O$1004,$A30,Disputes!$X$5:$X$1004,"Partially accepted")</f>
        <v>0</v>
      </c>
      <c r="E30" s="9" t="n">
        <f aca="false">COUNTIFS(Disputes!$O$5:$O$1004,$A30,Disputes!$X$5:$X$1004,"Accepted")</f>
        <v>0</v>
      </c>
      <c r="F30" s="10" t="n">
        <f aca="false">IF($B$5=0,0,B30/$B$5)</f>
        <v>0</v>
      </c>
    </row>
    <row r="31" customFormat="false" ht="15" hidden="false" customHeight="false" outlineLevel="0" collapsed="false">
      <c r="A31" s="8" t="s">
        <v>63</v>
      </c>
      <c r="B31" s="9" t="n">
        <f aca="false">COUNTIFS(Disputes!$O$5:$O$1004,$A31)</f>
        <v>0</v>
      </c>
      <c r="C31" s="9" t="n">
        <f aca="false">COUNTIFS(Disputes!$O$5:$O$1004,$A31,Disputes!$X$5:$X$1004,"Not accepted")</f>
        <v>0</v>
      </c>
      <c r="D31" s="9" t="n">
        <f aca="false">COUNTIFS(Disputes!$O$5:$O$1004,$A31,Disputes!$X$5:$X$1004,"Partially accepted")</f>
        <v>0</v>
      </c>
      <c r="E31" s="9" t="n">
        <f aca="false">COUNTIFS(Disputes!$O$5:$O$1004,$A31,Disputes!$X$5:$X$1004,"Accepted")</f>
        <v>0</v>
      </c>
      <c r="F31" s="10" t="n">
        <f aca="false">IF($B$5=0,0,B31/$B$5)</f>
        <v>0</v>
      </c>
    </row>
    <row r="32" customFormat="false" ht="15" hidden="false" customHeight="false" outlineLevel="0" collapsed="false">
      <c r="A32" s="8" t="s">
        <v>64</v>
      </c>
      <c r="B32" s="9" t="n">
        <f aca="false">COUNTIFS(Disputes!$O$5:$O$1004,$A32)</f>
        <v>0</v>
      </c>
      <c r="C32" s="9" t="n">
        <f aca="false">COUNTIFS(Disputes!$O$5:$O$1004,$A32,Disputes!$X$5:$X$1004,"Not accepted")</f>
        <v>0</v>
      </c>
      <c r="D32" s="9" t="n">
        <f aca="false">COUNTIFS(Disputes!$O$5:$O$1004,$A32,Disputes!$X$5:$X$1004,"Partially accepted")</f>
        <v>0</v>
      </c>
      <c r="E32" s="9" t="n">
        <f aca="false">COUNTIFS(Disputes!$O$5:$O$1004,$A32,Disputes!$X$5:$X$1004,"Accepted")</f>
        <v>0</v>
      </c>
      <c r="F32" s="10" t="n">
        <f aca="false">IF($B$5=0,0,B32/$B$5)</f>
        <v>0</v>
      </c>
    </row>
    <row r="33" customFormat="false" ht="15" hidden="false" customHeight="false" outlineLevel="0" collapsed="false">
      <c r="A33" s="8" t="s">
        <v>65</v>
      </c>
      <c r="B33" s="9" t="n">
        <f aca="false">COUNTIFS(Disputes!$O$5:$O$1004,$A33)</f>
        <v>0</v>
      </c>
      <c r="C33" s="9" t="n">
        <f aca="false">COUNTIFS(Disputes!$O$5:$O$1004,$A33,Disputes!$X$5:$X$1004,"Not accepted")</f>
        <v>0</v>
      </c>
      <c r="D33" s="9" t="n">
        <f aca="false">COUNTIFS(Disputes!$O$5:$O$1004,$A33,Disputes!$X$5:$X$1004,"Partially accepted")</f>
        <v>0</v>
      </c>
      <c r="E33" s="9" t="n">
        <f aca="false">COUNTIFS(Disputes!$O$5:$O$1004,$A33,Disputes!$X$5:$X$1004,"Accepted")</f>
        <v>0</v>
      </c>
      <c r="F33" s="10" t="n">
        <f aca="false">IF($B$5=0,0,B33/$B$5)</f>
        <v>0</v>
      </c>
    </row>
    <row r="34" customFormat="false" ht="15" hidden="false" customHeight="false" outlineLevel="0" collapsed="false">
      <c r="A34" s="8" t="s">
        <v>66</v>
      </c>
      <c r="B34" s="9" t="n">
        <f aca="false">COUNTIFS(Disputes!$O$5:$O$1004,$A34)</f>
        <v>0</v>
      </c>
      <c r="C34" s="9" t="n">
        <f aca="false">COUNTIFS(Disputes!$O$5:$O$1004,$A34,Disputes!$X$5:$X$1004,"Not accepted")</f>
        <v>0</v>
      </c>
      <c r="D34" s="9" t="n">
        <f aca="false">COUNTIFS(Disputes!$O$5:$O$1004,$A34,Disputes!$X$5:$X$1004,"Partially accepted")</f>
        <v>0</v>
      </c>
      <c r="E34" s="9" t="n">
        <f aca="false">COUNTIFS(Disputes!$O$5:$O$1004,$A34,Disputes!$X$5:$X$1004,"Accepted")</f>
        <v>0</v>
      </c>
      <c r="F34" s="10" t="n">
        <f aca="false">IF($B$5=0,0,B34/$B$5)</f>
        <v>0</v>
      </c>
    </row>
    <row r="35" customFormat="false" ht="15" hidden="false" customHeight="false" outlineLevel="0" collapsed="false">
      <c r="A35" s="8" t="s">
        <v>67</v>
      </c>
      <c r="B35" s="9" t="n">
        <f aca="false">COUNTIFS(Disputes!$O$5:$O$1004,$A35)</f>
        <v>0</v>
      </c>
      <c r="C35" s="9" t="n">
        <f aca="false">COUNTIFS(Disputes!$O$5:$O$1004,$A35,Disputes!$X$5:$X$1004,"Not accepted")</f>
        <v>0</v>
      </c>
      <c r="D35" s="9" t="n">
        <f aca="false">COUNTIFS(Disputes!$O$5:$O$1004,$A35,Disputes!$X$5:$X$1004,"Partially accepted")</f>
        <v>0</v>
      </c>
      <c r="E35" s="9" t="n">
        <f aca="false">COUNTIFS(Disputes!$O$5:$O$1004,$A35,Disputes!$X$5:$X$1004,"Accepted")</f>
        <v>0</v>
      </c>
      <c r="F35" s="10" t="n">
        <f aca="false">IF($B$5=0,0,B35/$B$5)</f>
        <v>0</v>
      </c>
    </row>
    <row r="36" customFormat="false" ht="15" hidden="false" customHeight="false" outlineLevel="0" collapsed="false">
      <c r="A36" s="8" t="s">
        <v>68</v>
      </c>
      <c r="B36" s="9" t="n">
        <f aca="false">COUNTIFS(Disputes!$O$5:$O$1004,$A36)</f>
        <v>0</v>
      </c>
      <c r="C36" s="9" t="n">
        <f aca="false">COUNTIFS(Disputes!$O$5:$O$1004,$A36,Disputes!$X$5:$X$1004,"Not accepted")</f>
        <v>0</v>
      </c>
      <c r="D36" s="9" t="n">
        <f aca="false">COUNTIFS(Disputes!$O$5:$O$1004,$A36,Disputes!$X$5:$X$1004,"Partially accepted")</f>
        <v>0</v>
      </c>
      <c r="E36" s="9" t="n">
        <f aca="false">COUNTIFS(Disputes!$O$5:$O$1004,$A36,Disputes!$X$5:$X$1004,"Accepted")</f>
        <v>0</v>
      </c>
      <c r="F36" s="10" t="n">
        <f aca="false">IF($B$5=0,0,B36/$B$5)</f>
        <v>0</v>
      </c>
    </row>
    <row r="39" customFormat="false" ht="15" hidden="false" customHeight="false" outlineLevel="0" collapsed="false">
      <c r="A39" s="13" t="s">
        <v>69</v>
      </c>
      <c r="B39" s="13" t="s">
        <v>45</v>
      </c>
    </row>
    <row r="40" customFormat="false" ht="15" hidden="false" customHeight="false" outlineLevel="0" collapsed="false">
      <c r="A40" s="8" t="s">
        <v>70</v>
      </c>
      <c r="B40" s="9" t="n">
        <f aca="false">COUNTIF(Disputes!$AB$5:$AB$1004,$A40)</f>
        <v>0</v>
      </c>
    </row>
    <row r="41" customFormat="false" ht="15" hidden="false" customHeight="false" outlineLevel="0" collapsed="false">
      <c r="A41" s="8" t="s">
        <v>71</v>
      </c>
      <c r="B41" s="9" t="n">
        <f aca="false">COUNTIF(Disputes!$AB$5:$AB$1004,$A41)</f>
        <v>0</v>
      </c>
    </row>
    <row r="42" customFormat="false" ht="15" hidden="false" customHeight="false" outlineLevel="0" collapsed="false">
      <c r="A42" s="8" t="s">
        <v>72</v>
      </c>
      <c r="B42" s="9" t="n">
        <f aca="false">COUNTIF(Disputes!$AB$5:$AB$1004,$A42)</f>
        <v>0</v>
      </c>
    </row>
    <row r="43" customFormat="false" ht="15" hidden="false" customHeight="false" outlineLevel="0" collapsed="false">
      <c r="A43" s="8" t="s">
        <v>73</v>
      </c>
      <c r="B43" s="9" t="n">
        <f aca="false">COUNTIF(Disputes!$AB$5:$AB$1004,$A43)</f>
        <v>0</v>
      </c>
    </row>
    <row r="44" customFormat="false" ht="15" hidden="false" customHeight="false" outlineLevel="0" collapsed="false">
      <c r="A44" s="8" t="s">
        <v>74</v>
      </c>
      <c r="B44" s="9" t="n">
        <f aca="false">COUNTIF(Disputes!$AB$5:$AB$1004,$A44)</f>
        <v>0</v>
      </c>
    </row>
    <row r="47" customFormat="false" ht="15" hidden="false" customHeight="false" outlineLevel="0" collapsed="false">
      <c r="A47" s="13" t="s">
        <v>75</v>
      </c>
      <c r="B47" s="13" t="s">
        <v>45</v>
      </c>
    </row>
    <row r="48" customFormat="false" ht="15" hidden="false" customHeight="false" outlineLevel="0" collapsed="false">
      <c r="A48" s="8" t="s">
        <v>76</v>
      </c>
      <c r="B48" s="9" t="n">
        <f aca="false">COUNTIF(Disputes!$Y$5:$Y$1004,$A48)</f>
        <v>0</v>
      </c>
    </row>
    <row r="49" customFormat="false" ht="15" hidden="false" customHeight="false" outlineLevel="0" collapsed="false">
      <c r="A49" s="8" t="s">
        <v>77</v>
      </c>
      <c r="B49" s="9" t="n">
        <f aca="false">COUNTIF(Disputes!$Y$5:$Y$1004,$A49)</f>
        <v>0</v>
      </c>
    </row>
    <row r="50" customFormat="false" ht="15" hidden="false" customHeight="false" outlineLevel="0" collapsed="false">
      <c r="A50" s="8" t="s">
        <v>78</v>
      </c>
      <c r="B50" s="9" t="n">
        <f aca="false">COUNTIF(Disputes!$Y$5:$Y$1004,$A50)</f>
        <v>0</v>
      </c>
    </row>
    <row r="51" customFormat="false" ht="15" hidden="false" customHeight="false" outlineLevel="0" collapsed="false">
      <c r="A51" s="8" t="s">
        <v>79</v>
      </c>
      <c r="B51" s="9" t="n">
        <f aca="false">COUNTIF(Disputes!$Y$5:$Y$1004,$A51)</f>
        <v>0</v>
      </c>
    </row>
    <row r="52" customFormat="false" ht="15" hidden="false" customHeight="false" outlineLevel="0" collapsed="false">
      <c r="A52" s="8" t="s">
        <v>80</v>
      </c>
      <c r="B52" s="9" t="n">
        <f aca="false">COUNTIF(Disputes!$Y$5:$Y$1004,$A52)</f>
        <v>0</v>
      </c>
    </row>
    <row r="53" customFormat="false" ht="15" hidden="false" customHeight="false" outlineLevel="0" collapsed="false">
      <c r="A53" s="8" t="s">
        <v>81</v>
      </c>
      <c r="B53" s="9" t="n">
        <f aca="false">COUNTIF(Disputes!$Y$5:$Y$1004,$A53)</f>
        <v>0</v>
      </c>
    </row>
    <row r="54" customFormat="false" ht="15" hidden="false" customHeight="false" outlineLevel="0" collapsed="false">
      <c r="A54" s="8" t="s">
        <v>82</v>
      </c>
      <c r="B54" s="9" t="n">
        <f aca="false">COUNTIF(Disputes!$Y$5:$Y$1004,$A54)</f>
        <v>0</v>
      </c>
    </row>
    <row r="57" customFormat="false" ht="15" hidden="false" customHeight="false" outlineLevel="0" collapsed="false">
      <c r="A57" s="13" t="s">
        <v>83</v>
      </c>
      <c r="B57" s="13" t="s">
        <v>84</v>
      </c>
      <c r="C57" s="13" t="s">
        <v>85</v>
      </c>
      <c r="D57" s="13" t="s">
        <v>86</v>
      </c>
      <c r="E57" s="13" t="s">
        <v>87</v>
      </c>
      <c r="F57" s="13" t="s">
        <v>42</v>
      </c>
    </row>
    <row r="58" customFormat="false" ht="15" hidden="false" customHeight="false" outlineLevel="0" collapsed="false">
      <c r="A58" s="17" t="n">
        <v>46204</v>
      </c>
      <c r="B58" s="9" t="n">
        <f aca="false">COUNTIFS(Disputes!$AJ$5:$AJ$1004,"&gt;="&amp;$A58,Disputes!$AJ$5:$AJ$1004,"&lt;"&amp;DATE(YEAR($A58),MONTH($A58)+1,1))</f>
        <v>0</v>
      </c>
      <c r="C58" s="9" t="n">
        <f aca="false">COUNTIFS(Disputes!$AJ$5:$AJ$1004,"&gt;="&amp;$A58,Disputes!$AJ$5:$AJ$1004,"&lt;"&amp;DATE(YEAR($A58),MONTH($A58)+1,1),Disputes!$AI$5:$AI$1004,"Maintained")</f>
        <v>0</v>
      </c>
      <c r="D58" s="9" t="n">
        <f aca="false">COUNTIFS(Disputes!$AJ$5:$AJ$1004,"&gt;="&amp;$A58,Disputes!$AJ$5:$AJ$1004,"&lt;"&amp;DATE(YEAR($A58),MONTH($A58)+1,1),Disputes!$AI$5:$AI$1004,"Partially maintained")</f>
        <v>0</v>
      </c>
      <c r="E58" s="9" t="n">
        <f aca="false">COUNTIFS(Disputes!$AJ$5:$AJ$1004,"&gt;="&amp;$A58,Disputes!$AJ$5:$AJ$1004,"&lt;"&amp;DATE(YEAR($A58),MONTH($A58)+1,1),Disputes!$AI$5:$AI$1004,"Reversed")</f>
        <v>0</v>
      </c>
      <c r="F58" s="12" t="n">
        <f aca="false">SUMIFS(Actions!$F$5:$F$1004,Actions!$B$5:$B$1004,"&gt;="&amp;$A58,Actions!$B$5:$B$1004,"&lt;"&amp;DATE(YEAR($A58),MONTH($A58)+1,1),Actions!$C$5:$C$1004,"&lt;&gt;EXAMPLE")</f>
        <v>0</v>
      </c>
    </row>
    <row r="59" customFormat="false" ht="15" hidden="false" customHeight="false" outlineLevel="0" collapsed="false">
      <c r="A59" s="17" t="n">
        <v>46235</v>
      </c>
      <c r="B59" s="9" t="n">
        <f aca="false">COUNTIFS(Disputes!$AJ$5:$AJ$1004,"&gt;="&amp;$A59,Disputes!$AJ$5:$AJ$1004,"&lt;"&amp;DATE(YEAR($A59),MONTH($A59)+1,1))</f>
        <v>0</v>
      </c>
      <c r="C59" s="9" t="n">
        <f aca="false">COUNTIFS(Disputes!$AJ$5:$AJ$1004,"&gt;="&amp;$A59,Disputes!$AJ$5:$AJ$1004,"&lt;"&amp;DATE(YEAR($A59),MONTH($A59)+1,1),Disputes!$AI$5:$AI$1004,"Maintained")</f>
        <v>0</v>
      </c>
      <c r="D59" s="9" t="n">
        <f aca="false">COUNTIFS(Disputes!$AJ$5:$AJ$1004,"&gt;="&amp;$A59,Disputes!$AJ$5:$AJ$1004,"&lt;"&amp;DATE(YEAR($A59),MONTH($A59)+1,1),Disputes!$AI$5:$AI$1004,"Partially maintained")</f>
        <v>0</v>
      </c>
      <c r="E59" s="9" t="n">
        <f aca="false">COUNTIFS(Disputes!$AJ$5:$AJ$1004,"&gt;="&amp;$A59,Disputes!$AJ$5:$AJ$1004,"&lt;"&amp;DATE(YEAR($A59),MONTH($A59)+1,1),Disputes!$AI$5:$AI$1004,"Reversed")</f>
        <v>0</v>
      </c>
      <c r="F59" s="12" t="n">
        <f aca="false">SUMIFS(Actions!$F$5:$F$1004,Actions!$B$5:$B$1004,"&gt;="&amp;$A59,Actions!$B$5:$B$1004,"&lt;"&amp;DATE(YEAR($A59),MONTH($A59)+1,1),Actions!$C$5:$C$1004,"&lt;&gt;EXAMPLE")</f>
        <v>0</v>
      </c>
    </row>
    <row r="60" customFormat="false" ht="15" hidden="false" customHeight="false" outlineLevel="0" collapsed="false">
      <c r="A60" s="17" t="n">
        <v>46266</v>
      </c>
      <c r="B60" s="9" t="n">
        <f aca="false">COUNTIFS(Disputes!$AJ$5:$AJ$1004,"&gt;="&amp;$A60,Disputes!$AJ$5:$AJ$1004,"&lt;"&amp;DATE(YEAR($A60),MONTH($A60)+1,1))</f>
        <v>0</v>
      </c>
      <c r="C60" s="9" t="n">
        <f aca="false">COUNTIFS(Disputes!$AJ$5:$AJ$1004,"&gt;="&amp;$A60,Disputes!$AJ$5:$AJ$1004,"&lt;"&amp;DATE(YEAR($A60),MONTH($A60)+1,1),Disputes!$AI$5:$AI$1004,"Maintained")</f>
        <v>0</v>
      </c>
      <c r="D60" s="9" t="n">
        <f aca="false">COUNTIFS(Disputes!$AJ$5:$AJ$1004,"&gt;="&amp;$A60,Disputes!$AJ$5:$AJ$1004,"&lt;"&amp;DATE(YEAR($A60),MONTH($A60)+1,1),Disputes!$AI$5:$AI$1004,"Partially maintained")</f>
        <v>0</v>
      </c>
      <c r="E60" s="9" t="n">
        <f aca="false">COUNTIFS(Disputes!$AJ$5:$AJ$1004,"&gt;="&amp;$A60,Disputes!$AJ$5:$AJ$1004,"&lt;"&amp;DATE(YEAR($A60),MONTH($A60)+1,1),Disputes!$AI$5:$AI$1004,"Reversed")</f>
        <v>0</v>
      </c>
      <c r="F60" s="12" t="n">
        <f aca="false">SUMIFS(Actions!$F$5:$F$1004,Actions!$B$5:$B$1004,"&gt;="&amp;$A60,Actions!$B$5:$B$1004,"&lt;"&amp;DATE(YEAR($A60),MONTH($A60)+1,1),Actions!$C$5:$C$1004,"&lt;&gt;EXAMPLE")</f>
        <v>0</v>
      </c>
    </row>
    <row r="61" customFormat="false" ht="15" hidden="false" customHeight="false" outlineLevel="0" collapsed="false">
      <c r="A61" s="17" t="n">
        <v>46296</v>
      </c>
      <c r="B61" s="9" t="n">
        <f aca="false">COUNTIFS(Disputes!$AJ$5:$AJ$1004,"&gt;="&amp;$A61,Disputes!$AJ$5:$AJ$1004,"&lt;"&amp;DATE(YEAR($A61),MONTH($A61)+1,1))</f>
        <v>0</v>
      </c>
      <c r="C61" s="9" t="n">
        <f aca="false">COUNTIFS(Disputes!$AJ$5:$AJ$1004,"&gt;="&amp;$A61,Disputes!$AJ$5:$AJ$1004,"&lt;"&amp;DATE(YEAR($A61),MONTH($A61)+1,1),Disputes!$AI$5:$AI$1004,"Maintained")</f>
        <v>0</v>
      </c>
      <c r="D61" s="9" t="n">
        <f aca="false">COUNTIFS(Disputes!$AJ$5:$AJ$1004,"&gt;="&amp;$A61,Disputes!$AJ$5:$AJ$1004,"&lt;"&amp;DATE(YEAR($A61),MONTH($A61)+1,1),Disputes!$AI$5:$AI$1004,"Partially maintained")</f>
        <v>0</v>
      </c>
      <c r="E61" s="9" t="n">
        <f aca="false">COUNTIFS(Disputes!$AJ$5:$AJ$1004,"&gt;="&amp;$A61,Disputes!$AJ$5:$AJ$1004,"&lt;"&amp;DATE(YEAR($A61),MONTH($A61)+1,1),Disputes!$AI$5:$AI$1004,"Reversed")</f>
        <v>0</v>
      </c>
      <c r="F61" s="12" t="n">
        <f aca="false">SUMIFS(Actions!$F$5:$F$1004,Actions!$B$5:$B$1004,"&gt;="&amp;$A61,Actions!$B$5:$B$1004,"&lt;"&amp;DATE(YEAR($A61),MONTH($A61)+1,1),Actions!$C$5:$C$1004,"&lt;&gt;EXAMPLE")</f>
        <v>0</v>
      </c>
    </row>
    <row r="62" customFormat="false" ht="15" hidden="false" customHeight="false" outlineLevel="0" collapsed="false">
      <c r="A62" s="17" t="n">
        <v>46327</v>
      </c>
      <c r="B62" s="9" t="n">
        <f aca="false">COUNTIFS(Disputes!$AJ$5:$AJ$1004,"&gt;="&amp;$A62,Disputes!$AJ$5:$AJ$1004,"&lt;"&amp;DATE(YEAR($A62),MONTH($A62)+1,1))</f>
        <v>0</v>
      </c>
      <c r="C62" s="9" t="n">
        <f aca="false">COUNTIFS(Disputes!$AJ$5:$AJ$1004,"&gt;="&amp;$A62,Disputes!$AJ$5:$AJ$1004,"&lt;"&amp;DATE(YEAR($A62),MONTH($A62)+1,1),Disputes!$AI$5:$AI$1004,"Maintained")</f>
        <v>0</v>
      </c>
      <c r="D62" s="9" t="n">
        <f aca="false">COUNTIFS(Disputes!$AJ$5:$AJ$1004,"&gt;="&amp;$A62,Disputes!$AJ$5:$AJ$1004,"&lt;"&amp;DATE(YEAR($A62),MONTH($A62)+1,1),Disputes!$AI$5:$AI$1004,"Partially maintained")</f>
        <v>0</v>
      </c>
      <c r="E62" s="9" t="n">
        <f aca="false">COUNTIFS(Disputes!$AJ$5:$AJ$1004,"&gt;="&amp;$A62,Disputes!$AJ$5:$AJ$1004,"&lt;"&amp;DATE(YEAR($A62),MONTH($A62)+1,1),Disputes!$AI$5:$AI$1004,"Reversed")</f>
        <v>0</v>
      </c>
      <c r="F62" s="12" t="n">
        <f aca="false">SUMIFS(Actions!$F$5:$F$1004,Actions!$B$5:$B$1004,"&gt;="&amp;$A62,Actions!$B$5:$B$1004,"&lt;"&amp;DATE(YEAR($A62),MONTH($A62)+1,1),Actions!$C$5:$C$1004,"&lt;&gt;EXAMPLE")</f>
        <v>0</v>
      </c>
    </row>
    <row r="63" customFormat="false" ht="15" hidden="false" customHeight="false" outlineLevel="0" collapsed="false">
      <c r="A63" s="17" t="n">
        <v>46357</v>
      </c>
      <c r="B63" s="9" t="n">
        <f aca="false">COUNTIFS(Disputes!$AJ$5:$AJ$1004,"&gt;="&amp;$A63,Disputes!$AJ$5:$AJ$1004,"&lt;"&amp;DATE(YEAR($A63),MONTH($A63)+1,1))</f>
        <v>0</v>
      </c>
      <c r="C63" s="9" t="n">
        <f aca="false">COUNTIFS(Disputes!$AJ$5:$AJ$1004,"&gt;="&amp;$A63,Disputes!$AJ$5:$AJ$1004,"&lt;"&amp;DATE(YEAR($A63),MONTH($A63)+1,1),Disputes!$AI$5:$AI$1004,"Maintained")</f>
        <v>0</v>
      </c>
      <c r="D63" s="9" t="n">
        <f aca="false">COUNTIFS(Disputes!$AJ$5:$AJ$1004,"&gt;="&amp;$A63,Disputes!$AJ$5:$AJ$1004,"&lt;"&amp;DATE(YEAR($A63),MONTH($A63)+1,1),Disputes!$AI$5:$AI$1004,"Partially maintained")</f>
        <v>0</v>
      </c>
      <c r="E63" s="9" t="n">
        <f aca="false">COUNTIFS(Disputes!$AJ$5:$AJ$1004,"&gt;="&amp;$A63,Disputes!$AJ$5:$AJ$1004,"&lt;"&amp;DATE(YEAR($A63),MONTH($A63)+1,1),Disputes!$AI$5:$AI$1004,"Reversed")</f>
        <v>0</v>
      </c>
      <c r="F63" s="12" t="n">
        <f aca="false">SUMIFS(Actions!$F$5:$F$1004,Actions!$B$5:$B$1004,"&gt;="&amp;$A63,Actions!$B$5:$B$1004,"&lt;"&amp;DATE(YEAR($A63),MONTH($A63)+1,1),Actions!$C$5:$C$1004,"&lt;&gt;EXAMPLE")</f>
        <v>0</v>
      </c>
    </row>
    <row r="64" customFormat="false" ht="15" hidden="false" customHeight="false" outlineLevel="0" collapsed="false">
      <c r="A64" s="17" t="n">
        <v>46388</v>
      </c>
      <c r="B64" s="9" t="n">
        <f aca="false">COUNTIFS(Disputes!$AJ$5:$AJ$1004,"&gt;="&amp;$A64,Disputes!$AJ$5:$AJ$1004,"&lt;"&amp;DATE(YEAR($A64),MONTH($A64)+1,1))</f>
        <v>0</v>
      </c>
      <c r="C64" s="9" t="n">
        <f aca="false">COUNTIFS(Disputes!$AJ$5:$AJ$1004,"&gt;="&amp;$A64,Disputes!$AJ$5:$AJ$1004,"&lt;"&amp;DATE(YEAR($A64),MONTH($A64)+1,1),Disputes!$AI$5:$AI$1004,"Maintained")</f>
        <v>0</v>
      </c>
      <c r="D64" s="9" t="n">
        <f aca="false">COUNTIFS(Disputes!$AJ$5:$AJ$1004,"&gt;="&amp;$A64,Disputes!$AJ$5:$AJ$1004,"&lt;"&amp;DATE(YEAR($A64),MONTH($A64)+1,1),Disputes!$AI$5:$AI$1004,"Partially maintained")</f>
        <v>0</v>
      </c>
      <c r="E64" s="9" t="n">
        <f aca="false">COUNTIFS(Disputes!$AJ$5:$AJ$1004,"&gt;="&amp;$A64,Disputes!$AJ$5:$AJ$1004,"&lt;"&amp;DATE(YEAR($A64),MONTH($A64)+1,1),Disputes!$AI$5:$AI$1004,"Reversed")</f>
        <v>0</v>
      </c>
      <c r="F64" s="12" t="n">
        <f aca="false">SUMIFS(Actions!$F$5:$F$1004,Actions!$B$5:$B$1004,"&gt;="&amp;$A64,Actions!$B$5:$B$1004,"&lt;"&amp;DATE(YEAR($A64),MONTH($A64)+1,1),Actions!$C$5:$C$1004,"&lt;&gt;EXAMPLE")</f>
        <v>0</v>
      </c>
    </row>
    <row r="65" customFormat="false" ht="15" hidden="false" customHeight="false" outlineLevel="0" collapsed="false">
      <c r="A65" s="17" t="n">
        <v>46419</v>
      </c>
      <c r="B65" s="9" t="n">
        <f aca="false">COUNTIFS(Disputes!$AJ$5:$AJ$1004,"&gt;="&amp;$A65,Disputes!$AJ$5:$AJ$1004,"&lt;"&amp;DATE(YEAR($A65),MONTH($A65)+1,1))</f>
        <v>0</v>
      </c>
      <c r="C65" s="9" t="n">
        <f aca="false">COUNTIFS(Disputes!$AJ$5:$AJ$1004,"&gt;="&amp;$A65,Disputes!$AJ$5:$AJ$1004,"&lt;"&amp;DATE(YEAR($A65),MONTH($A65)+1,1),Disputes!$AI$5:$AI$1004,"Maintained")</f>
        <v>0</v>
      </c>
      <c r="D65" s="9" t="n">
        <f aca="false">COUNTIFS(Disputes!$AJ$5:$AJ$1004,"&gt;="&amp;$A65,Disputes!$AJ$5:$AJ$1004,"&lt;"&amp;DATE(YEAR($A65),MONTH($A65)+1,1),Disputes!$AI$5:$AI$1004,"Partially maintained")</f>
        <v>0</v>
      </c>
      <c r="E65" s="9" t="n">
        <f aca="false">COUNTIFS(Disputes!$AJ$5:$AJ$1004,"&gt;="&amp;$A65,Disputes!$AJ$5:$AJ$1004,"&lt;"&amp;DATE(YEAR($A65),MONTH($A65)+1,1),Disputes!$AI$5:$AI$1004,"Reversed")</f>
        <v>0</v>
      </c>
      <c r="F65" s="12" t="n">
        <f aca="false">SUMIFS(Actions!$F$5:$F$1004,Actions!$B$5:$B$1004,"&gt;="&amp;$A65,Actions!$B$5:$B$1004,"&lt;"&amp;DATE(YEAR($A65),MONTH($A65)+1,1),Actions!$C$5:$C$1004,"&lt;&gt;EXAMPLE")</f>
        <v>0</v>
      </c>
    </row>
    <row r="66" customFormat="false" ht="15" hidden="false" customHeight="false" outlineLevel="0" collapsed="false">
      <c r="A66" s="17" t="n">
        <v>46447</v>
      </c>
      <c r="B66" s="9" t="n">
        <f aca="false">COUNTIFS(Disputes!$AJ$5:$AJ$1004,"&gt;="&amp;$A66,Disputes!$AJ$5:$AJ$1004,"&lt;"&amp;DATE(YEAR($A66),MONTH($A66)+1,1))</f>
        <v>0</v>
      </c>
      <c r="C66" s="9" t="n">
        <f aca="false">COUNTIFS(Disputes!$AJ$5:$AJ$1004,"&gt;="&amp;$A66,Disputes!$AJ$5:$AJ$1004,"&lt;"&amp;DATE(YEAR($A66),MONTH($A66)+1,1),Disputes!$AI$5:$AI$1004,"Maintained")</f>
        <v>0</v>
      </c>
      <c r="D66" s="9" t="n">
        <f aca="false">COUNTIFS(Disputes!$AJ$5:$AJ$1004,"&gt;="&amp;$A66,Disputes!$AJ$5:$AJ$1004,"&lt;"&amp;DATE(YEAR($A66),MONTH($A66)+1,1),Disputes!$AI$5:$AI$1004,"Partially maintained")</f>
        <v>0</v>
      </c>
      <c r="E66" s="9" t="n">
        <f aca="false">COUNTIFS(Disputes!$AJ$5:$AJ$1004,"&gt;="&amp;$A66,Disputes!$AJ$5:$AJ$1004,"&lt;"&amp;DATE(YEAR($A66),MONTH($A66)+1,1),Disputes!$AI$5:$AI$1004,"Reversed")</f>
        <v>0</v>
      </c>
      <c r="F66" s="12" t="n">
        <f aca="false">SUMIFS(Actions!$F$5:$F$1004,Actions!$B$5:$B$1004,"&gt;="&amp;$A66,Actions!$B$5:$B$1004,"&lt;"&amp;DATE(YEAR($A66),MONTH($A66)+1,1),Actions!$C$5:$C$1004,"&lt;&gt;EXAMPLE")</f>
        <v>0</v>
      </c>
    </row>
    <row r="67" customFormat="false" ht="15" hidden="false" customHeight="false" outlineLevel="0" collapsed="false">
      <c r="A67" s="17" t="n">
        <v>46478</v>
      </c>
      <c r="B67" s="9" t="n">
        <f aca="false">COUNTIFS(Disputes!$AJ$5:$AJ$1004,"&gt;="&amp;$A67,Disputes!$AJ$5:$AJ$1004,"&lt;"&amp;DATE(YEAR($A67),MONTH($A67)+1,1))</f>
        <v>0</v>
      </c>
      <c r="C67" s="9" t="n">
        <f aca="false">COUNTIFS(Disputes!$AJ$5:$AJ$1004,"&gt;="&amp;$A67,Disputes!$AJ$5:$AJ$1004,"&lt;"&amp;DATE(YEAR($A67),MONTH($A67)+1,1),Disputes!$AI$5:$AI$1004,"Maintained")</f>
        <v>0</v>
      </c>
      <c r="D67" s="9" t="n">
        <f aca="false">COUNTIFS(Disputes!$AJ$5:$AJ$1004,"&gt;="&amp;$A67,Disputes!$AJ$5:$AJ$1004,"&lt;"&amp;DATE(YEAR($A67),MONTH($A67)+1,1),Disputes!$AI$5:$AI$1004,"Partially maintained")</f>
        <v>0</v>
      </c>
      <c r="E67" s="9" t="n">
        <f aca="false">COUNTIFS(Disputes!$AJ$5:$AJ$1004,"&gt;="&amp;$A67,Disputes!$AJ$5:$AJ$1004,"&lt;"&amp;DATE(YEAR($A67),MONTH($A67)+1,1),Disputes!$AI$5:$AI$1004,"Reversed")</f>
        <v>0</v>
      </c>
      <c r="F67" s="12" t="n">
        <f aca="false">SUMIFS(Actions!$F$5:$F$1004,Actions!$B$5:$B$1004,"&gt;="&amp;$A67,Actions!$B$5:$B$1004,"&lt;"&amp;DATE(YEAR($A67),MONTH($A67)+1,1),Actions!$C$5:$C$1004,"&lt;&gt;EXAMPLE")</f>
        <v>0</v>
      </c>
    </row>
    <row r="68" customFormat="false" ht="15" hidden="false" customHeight="false" outlineLevel="0" collapsed="false">
      <c r="A68" s="17" t="n">
        <v>46508</v>
      </c>
      <c r="B68" s="9" t="n">
        <f aca="false">COUNTIFS(Disputes!$AJ$5:$AJ$1004,"&gt;="&amp;$A68,Disputes!$AJ$5:$AJ$1004,"&lt;"&amp;DATE(YEAR($A68),MONTH($A68)+1,1))</f>
        <v>0</v>
      </c>
      <c r="C68" s="9" t="n">
        <f aca="false">COUNTIFS(Disputes!$AJ$5:$AJ$1004,"&gt;="&amp;$A68,Disputes!$AJ$5:$AJ$1004,"&lt;"&amp;DATE(YEAR($A68),MONTH($A68)+1,1),Disputes!$AI$5:$AI$1004,"Maintained")</f>
        <v>0</v>
      </c>
      <c r="D68" s="9" t="n">
        <f aca="false">COUNTIFS(Disputes!$AJ$5:$AJ$1004,"&gt;="&amp;$A68,Disputes!$AJ$5:$AJ$1004,"&lt;"&amp;DATE(YEAR($A68),MONTH($A68)+1,1),Disputes!$AI$5:$AI$1004,"Partially maintained")</f>
        <v>0</v>
      </c>
      <c r="E68" s="9" t="n">
        <f aca="false">COUNTIFS(Disputes!$AJ$5:$AJ$1004,"&gt;="&amp;$A68,Disputes!$AJ$5:$AJ$1004,"&lt;"&amp;DATE(YEAR($A68),MONTH($A68)+1,1),Disputes!$AI$5:$AI$1004,"Reversed")</f>
        <v>0</v>
      </c>
      <c r="F68" s="12" t="n">
        <f aca="false">SUMIFS(Actions!$F$5:$F$1004,Actions!$B$5:$B$1004,"&gt;="&amp;$A68,Actions!$B$5:$B$1004,"&lt;"&amp;DATE(YEAR($A68),MONTH($A68)+1,1),Actions!$C$5:$C$1004,"&lt;&gt;EXAMPLE")</f>
        <v>0</v>
      </c>
    </row>
    <row r="69" customFormat="false" ht="15" hidden="false" customHeight="false" outlineLevel="0" collapsed="false">
      <c r="A69" s="17" t="n">
        <v>46539</v>
      </c>
      <c r="B69" s="9" t="n">
        <f aca="false">COUNTIFS(Disputes!$AJ$5:$AJ$1004,"&gt;="&amp;$A69,Disputes!$AJ$5:$AJ$1004,"&lt;"&amp;DATE(YEAR($A69),MONTH($A69)+1,1))</f>
        <v>0</v>
      </c>
      <c r="C69" s="9" t="n">
        <f aca="false">COUNTIFS(Disputes!$AJ$5:$AJ$1004,"&gt;="&amp;$A69,Disputes!$AJ$5:$AJ$1004,"&lt;"&amp;DATE(YEAR($A69),MONTH($A69)+1,1),Disputes!$AI$5:$AI$1004,"Maintained")</f>
        <v>0</v>
      </c>
      <c r="D69" s="9" t="n">
        <f aca="false">COUNTIFS(Disputes!$AJ$5:$AJ$1004,"&gt;="&amp;$A69,Disputes!$AJ$5:$AJ$1004,"&lt;"&amp;DATE(YEAR($A69),MONTH($A69)+1,1),Disputes!$AI$5:$AI$1004,"Partially maintained")</f>
        <v>0</v>
      </c>
      <c r="E69" s="9" t="n">
        <f aca="false">COUNTIFS(Disputes!$AJ$5:$AJ$1004,"&gt;="&amp;$A69,Disputes!$AJ$5:$AJ$1004,"&lt;"&amp;DATE(YEAR($A69),MONTH($A69)+1,1),Disputes!$AI$5:$AI$1004,"Reversed")</f>
        <v>0</v>
      </c>
      <c r="F69" s="12" t="n">
        <f aca="false">SUMIFS(Actions!$F$5:$F$1004,Actions!$B$5:$B$1004,"&gt;="&amp;$A69,Actions!$B$5:$B$1004,"&lt;"&amp;DATE(YEAR($A69),MONTH($A69)+1,1),Actions!$C$5:$C$1004,"&lt;&gt;EXAMPLE")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8B8D"/>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4" min="3" style="0" width="15"/>
    <col collapsed="false" customWidth="true" hidden="false" outlineLevel="0" max="5" min="5" style="0" width="20"/>
    <col collapsed="false" customWidth="true" hidden="false" outlineLevel="0" max="6" min="6" style="0" width="38"/>
    <col collapsed="false" customWidth="true" hidden="false" outlineLevel="0" max="9" min="7" style="0" width="13"/>
    <col collapsed="false" customWidth="true" hidden="false" outlineLevel="0" max="11" min="10" style="0" width="10"/>
    <col collapsed="false" customWidth="true" hidden="false" outlineLevel="0" max="12" min="12" style="0" width="50"/>
  </cols>
  <sheetData>
    <row r="1" customFormat="false" ht="18.55" hidden="false" customHeight="false" outlineLevel="0" collapsed="false">
      <c r="A1" s="1" t="s">
        <v>88</v>
      </c>
    </row>
    <row r="2" customFormat="false" ht="15" hidden="false" customHeight="false" outlineLevel="0" collapsed="false">
      <c r="A2" s="2" t="s">
        <v>89</v>
      </c>
    </row>
    <row r="4" customFormat="false" ht="43.5" hidden="false" customHeight="true" outlineLevel="0" collapsed="false">
      <c r="A4" s="18" t="s">
        <v>90</v>
      </c>
      <c r="B4" s="18" t="s">
        <v>91</v>
      </c>
      <c r="C4" s="18" t="s">
        <v>92</v>
      </c>
      <c r="D4" s="18" t="s">
        <v>93</v>
      </c>
      <c r="E4" s="18" t="s">
        <v>94</v>
      </c>
      <c r="F4" s="18" t="s">
        <v>95</v>
      </c>
      <c r="G4" s="18" t="s">
        <v>96</v>
      </c>
      <c r="H4" s="18" t="s">
        <v>97</v>
      </c>
      <c r="I4" s="18" t="s">
        <v>98</v>
      </c>
      <c r="J4" s="19" t="s">
        <v>45</v>
      </c>
      <c r="K4" s="19" t="s">
        <v>99</v>
      </c>
      <c r="L4" s="18" t="s">
        <v>100</v>
      </c>
    </row>
    <row r="5" customFormat="false" ht="15" hidden="false" customHeight="false" outlineLevel="0" collapsed="false">
      <c r="A5" s="20"/>
      <c r="B5" s="20"/>
      <c r="C5" s="20"/>
      <c r="D5" s="20"/>
      <c r="E5" s="20"/>
      <c r="F5" s="20"/>
      <c r="G5" s="21"/>
      <c r="H5" s="21"/>
      <c r="I5" s="21"/>
      <c r="J5" s="20"/>
      <c r="K5" s="20"/>
      <c r="L5" s="20"/>
    </row>
    <row r="6" customFormat="false" ht="15" hidden="false" customHeight="false" outlineLevel="0" collapsed="false">
      <c r="A6" s="20"/>
      <c r="B6" s="20"/>
      <c r="C6" s="20"/>
      <c r="D6" s="20"/>
      <c r="E6" s="20"/>
      <c r="F6" s="20"/>
      <c r="G6" s="21"/>
      <c r="H6" s="21"/>
      <c r="I6" s="21"/>
      <c r="J6" s="20"/>
      <c r="K6" s="20"/>
      <c r="L6" s="20"/>
    </row>
    <row r="7" customFormat="false" ht="15" hidden="false" customHeight="false" outlineLevel="0" collapsed="false">
      <c r="A7" s="20"/>
      <c r="B7" s="20"/>
      <c r="C7" s="20"/>
      <c r="D7" s="20"/>
      <c r="E7" s="20"/>
      <c r="F7" s="20"/>
      <c r="G7" s="21"/>
      <c r="H7" s="21"/>
      <c r="I7" s="21"/>
      <c r="J7" s="20"/>
      <c r="K7" s="20"/>
      <c r="L7" s="20"/>
    </row>
    <row r="8" customFormat="false" ht="15" hidden="false" customHeight="false" outlineLevel="0" collapsed="false">
      <c r="A8" s="20"/>
      <c r="B8" s="20"/>
      <c r="C8" s="20"/>
      <c r="D8" s="20"/>
      <c r="E8" s="20"/>
      <c r="F8" s="20"/>
      <c r="G8" s="21"/>
      <c r="H8" s="21"/>
      <c r="I8" s="21"/>
      <c r="J8" s="20"/>
      <c r="K8" s="20"/>
      <c r="L8" s="20"/>
    </row>
    <row r="9" customFormat="false" ht="15" hidden="false" customHeight="false" outlineLevel="0" collapsed="false">
      <c r="A9" s="20"/>
      <c r="B9" s="20"/>
      <c r="C9" s="20"/>
      <c r="D9" s="20"/>
      <c r="E9" s="20"/>
      <c r="F9" s="20"/>
      <c r="G9" s="21"/>
      <c r="H9" s="21"/>
      <c r="I9" s="21"/>
      <c r="J9" s="20"/>
      <c r="K9" s="20"/>
      <c r="L9" s="20"/>
    </row>
    <row r="10" customFormat="false" ht="15" hidden="false" customHeight="false" outlineLevel="0" collapsed="false">
      <c r="A10" s="20"/>
      <c r="B10" s="20"/>
      <c r="C10" s="20"/>
      <c r="D10" s="20"/>
      <c r="E10" s="20"/>
      <c r="F10" s="20"/>
      <c r="G10" s="21"/>
      <c r="H10" s="21"/>
      <c r="I10" s="21"/>
      <c r="J10" s="20"/>
      <c r="K10" s="20"/>
      <c r="L10" s="20"/>
    </row>
    <row r="11" customFormat="false" ht="15" hidden="false" customHeight="false" outlineLevel="0" collapsed="false">
      <c r="A11" s="20"/>
      <c r="B11" s="20"/>
      <c r="C11" s="20"/>
      <c r="D11" s="20"/>
      <c r="E11" s="20"/>
      <c r="F11" s="20"/>
      <c r="G11" s="21"/>
      <c r="H11" s="21"/>
      <c r="I11" s="21"/>
      <c r="J11" s="20"/>
      <c r="K11" s="20"/>
      <c r="L11" s="20"/>
    </row>
    <row r="12" customFormat="false" ht="15" hidden="false" customHeight="false" outlineLevel="0" collapsed="false">
      <c r="A12" s="20"/>
      <c r="B12" s="20"/>
      <c r="C12" s="20"/>
      <c r="D12" s="20"/>
      <c r="E12" s="20"/>
      <c r="F12" s="20"/>
      <c r="G12" s="21"/>
      <c r="H12" s="21"/>
      <c r="I12" s="21"/>
      <c r="J12" s="20"/>
      <c r="K12" s="20"/>
      <c r="L12" s="20"/>
    </row>
    <row r="13" customFormat="false" ht="15" hidden="false" customHeight="false" outlineLevel="0" collapsed="false">
      <c r="A13" s="20"/>
      <c r="B13" s="20"/>
      <c r="C13" s="20"/>
      <c r="D13" s="20"/>
      <c r="E13" s="20"/>
      <c r="F13" s="20"/>
      <c r="G13" s="21"/>
      <c r="H13" s="21"/>
      <c r="I13" s="21"/>
      <c r="J13" s="20"/>
      <c r="K13" s="20"/>
      <c r="L13" s="20"/>
    </row>
    <row r="14" customFormat="false" ht="15" hidden="false" customHeight="false" outlineLevel="0" collapsed="false">
      <c r="A14" s="20"/>
      <c r="B14" s="20"/>
      <c r="C14" s="20"/>
      <c r="D14" s="20"/>
      <c r="E14" s="20"/>
      <c r="F14" s="20"/>
      <c r="G14" s="21"/>
      <c r="H14" s="21"/>
      <c r="I14" s="21"/>
      <c r="J14" s="20"/>
      <c r="K14" s="20"/>
      <c r="L14" s="20"/>
    </row>
    <row r="15" customFormat="false" ht="15" hidden="false" customHeight="false" outlineLevel="0" collapsed="false">
      <c r="A15" s="20"/>
      <c r="B15" s="20"/>
      <c r="C15" s="20"/>
      <c r="D15" s="20"/>
      <c r="E15" s="20"/>
      <c r="F15" s="20"/>
      <c r="G15" s="21"/>
      <c r="H15" s="21"/>
      <c r="I15" s="21"/>
      <c r="J15" s="20"/>
      <c r="K15" s="20"/>
      <c r="L15" s="20"/>
    </row>
    <row r="16" customFormat="false" ht="15" hidden="false" customHeight="false" outlineLevel="0" collapsed="false">
      <c r="A16" s="20"/>
      <c r="B16" s="20"/>
      <c r="C16" s="20"/>
      <c r="D16" s="20"/>
      <c r="E16" s="20"/>
      <c r="F16" s="20"/>
      <c r="G16" s="21"/>
      <c r="H16" s="21"/>
      <c r="I16" s="21"/>
      <c r="J16" s="20"/>
      <c r="K16" s="20"/>
      <c r="L16" s="20"/>
    </row>
    <row r="17" customFormat="false" ht="15" hidden="false" customHeight="false" outlineLevel="0" collapsed="false">
      <c r="A17" s="20"/>
      <c r="B17" s="20"/>
      <c r="C17" s="20"/>
      <c r="D17" s="20"/>
      <c r="E17" s="20"/>
      <c r="F17" s="20"/>
      <c r="G17" s="21"/>
      <c r="H17" s="21"/>
      <c r="I17" s="21"/>
      <c r="J17" s="20"/>
      <c r="K17" s="20"/>
      <c r="L17" s="20"/>
    </row>
    <row r="18" customFormat="false" ht="15" hidden="false" customHeight="false" outlineLevel="0" collapsed="false">
      <c r="A18" s="20"/>
      <c r="B18" s="20"/>
      <c r="C18" s="20"/>
      <c r="D18" s="20"/>
      <c r="E18" s="20"/>
      <c r="F18" s="20"/>
      <c r="G18" s="21"/>
      <c r="H18" s="21"/>
      <c r="I18" s="21"/>
      <c r="J18" s="20"/>
      <c r="K18" s="20"/>
      <c r="L18" s="20"/>
    </row>
    <row r="19" customFormat="false" ht="15" hidden="false" customHeight="false" outlineLevel="0" collapsed="false">
      <c r="A19" s="20"/>
      <c r="B19" s="20"/>
      <c r="C19" s="20"/>
      <c r="D19" s="20"/>
      <c r="E19" s="20"/>
      <c r="F19" s="20"/>
      <c r="G19" s="21"/>
      <c r="H19" s="21"/>
      <c r="I19" s="21"/>
      <c r="J19" s="20"/>
      <c r="K19" s="20"/>
      <c r="L19" s="20"/>
    </row>
    <row r="20" customFormat="false" ht="15" hidden="false" customHeight="false" outlineLevel="0" collapsed="false">
      <c r="A20" s="20"/>
      <c r="B20" s="20"/>
      <c r="C20" s="20"/>
      <c r="D20" s="20"/>
      <c r="E20" s="20"/>
      <c r="F20" s="20"/>
      <c r="G20" s="21"/>
      <c r="H20" s="21"/>
      <c r="I20" s="21"/>
      <c r="J20" s="20"/>
      <c r="K20" s="20"/>
      <c r="L20" s="20"/>
    </row>
    <row r="21" customFormat="false" ht="15" hidden="false" customHeight="false" outlineLevel="0" collapsed="false">
      <c r="A21" s="20"/>
      <c r="B21" s="20"/>
      <c r="C21" s="20"/>
      <c r="D21" s="20"/>
      <c r="E21" s="20"/>
      <c r="F21" s="20"/>
      <c r="G21" s="21"/>
      <c r="H21" s="21"/>
      <c r="I21" s="21"/>
      <c r="J21" s="20"/>
      <c r="K21" s="20"/>
      <c r="L21" s="20"/>
    </row>
    <row r="22" customFormat="false" ht="15" hidden="false" customHeight="false" outlineLevel="0" collapsed="false">
      <c r="A22" s="20"/>
      <c r="B22" s="20"/>
      <c r="C22" s="20"/>
      <c r="D22" s="20"/>
      <c r="E22" s="20"/>
      <c r="F22" s="20"/>
      <c r="G22" s="21"/>
      <c r="H22" s="21"/>
      <c r="I22" s="21"/>
      <c r="J22" s="20"/>
      <c r="K22" s="20"/>
      <c r="L22" s="20"/>
    </row>
    <row r="23" customFormat="false" ht="15" hidden="false" customHeight="false" outlineLevel="0" collapsed="false">
      <c r="A23" s="20"/>
      <c r="B23" s="20"/>
      <c r="C23" s="20"/>
      <c r="D23" s="20"/>
      <c r="E23" s="20"/>
      <c r="F23" s="20"/>
      <c r="G23" s="21"/>
      <c r="H23" s="21"/>
      <c r="I23" s="21"/>
      <c r="J23" s="20"/>
      <c r="K23" s="20"/>
      <c r="L23" s="20"/>
    </row>
    <row r="24" customFormat="false" ht="15" hidden="false" customHeight="false" outlineLevel="0" collapsed="false">
      <c r="A24" s="20"/>
      <c r="B24" s="20"/>
      <c r="C24" s="20"/>
      <c r="D24" s="20"/>
      <c r="E24" s="20"/>
      <c r="F24" s="20"/>
      <c r="G24" s="21"/>
      <c r="H24" s="21"/>
      <c r="I24" s="21"/>
      <c r="J24" s="20"/>
      <c r="K24" s="20"/>
      <c r="L24" s="20"/>
    </row>
    <row r="25" customFormat="false" ht="15" hidden="false" customHeight="false" outlineLevel="0" collapsed="false">
      <c r="A25" s="20"/>
      <c r="B25" s="20"/>
      <c r="C25" s="20"/>
      <c r="D25" s="20"/>
      <c r="E25" s="20"/>
      <c r="F25" s="20"/>
      <c r="G25" s="21"/>
      <c r="H25" s="21"/>
      <c r="I25" s="21"/>
      <c r="J25" s="20"/>
      <c r="K25" s="20"/>
      <c r="L25" s="20"/>
    </row>
    <row r="26" customFormat="false" ht="15" hidden="false" customHeight="false" outlineLevel="0" collapsed="false">
      <c r="A26" s="20"/>
      <c r="B26" s="20"/>
      <c r="C26" s="20"/>
      <c r="D26" s="20"/>
      <c r="E26" s="20"/>
      <c r="F26" s="20"/>
      <c r="G26" s="21"/>
      <c r="H26" s="21"/>
      <c r="I26" s="21"/>
      <c r="J26" s="20"/>
      <c r="K26" s="20"/>
      <c r="L26" s="20"/>
    </row>
    <row r="27" customFormat="false" ht="15" hidden="false" customHeight="false" outlineLevel="0" collapsed="false">
      <c r="A27" s="20"/>
      <c r="B27" s="20"/>
      <c r="C27" s="20"/>
      <c r="D27" s="20"/>
      <c r="E27" s="20"/>
      <c r="F27" s="20"/>
      <c r="G27" s="21"/>
      <c r="H27" s="21"/>
      <c r="I27" s="21"/>
      <c r="J27" s="20"/>
      <c r="K27" s="20"/>
      <c r="L27" s="20"/>
    </row>
    <row r="28" customFormat="false" ht="15" hidden="false" customHeight="false" outlineLevel="0" collapsed="false">
      <c r="A28" s="20"/>
      <c r="B28" s="20"/>
      <c r="C28" s="20"/>
      <c r="D28" s="20"/>
      <c r="E28" s="20"/>
      <c r="F28" s="20"/>
      <c r="G28" s="21"/>
      <c r="H28" s="21"/>
      <c r="I28" s="21"/>
      <c r="J28" s="20"/>
      <c r="K28" s="20"/>
      <c r="L28" s="20"/>
    </row>
    <row r="29" customFormat="false" ht="15" hidden="false" customHeight="false" outlineLevel="0" collapsed="false">
      <c r="A29" s="20"/>
      <c r="B29" s="20"/>
      <c r="C29" s="20"/>
      <c r="D29" s="20"/>
      <c r="E29" s="20"/>
      <c r="F29" s="20"/>
      <c r="G29" s="21"/>
      <c r="H29" s="21"/>
      <c r="I29" s="21"/>
      <c r="J29" s="20"/>
      <c r="K29" s="20"/>
      <c r="L29" s="20"/>
    </row>
    <row r="30" customFormat="false" ht="15" hidden="false" customHeight="false" outlineLevel="0" collapsed="false">
      <c r="A30" s="20"/>
      <c r="B30" s="20"/>
      <c r="C30" s="20"/>
      <c r="D30" s="20"/>
      <c r="E30" s="20"/>
      <c r="F30" s="20"/>
      <c r="G30" s="21"/>
      <c r="H30" s="21"/>
      <c r="I30" s="21"/>
      <c r="J30" s="20"/>
      <c r="K30" s="20"/>
      <c r="L30" s="20"/>
    </row>
    <row r="31" customFormat="false" ht="15" hidden="false" customHeight="false" outlineLevel="0" collapsed="false">
      <c r="A31" s="20"/>
      <c r="B31" s="20"/>
      <c r="C31" s="20"/>
      <c r="D31" s="20"/>
      <c r="E31" s="20"/>
      <c r="F31" s="20"/>
      <c r="G31" s="21"/>
      <c r="H31" s="21"/>
      <c r="I31" s="21"/>
      <c r="J31" s="20"/>
      <c r="K31" s="20"/>
      <c r="L31" s="20"/>
    </row>
    <row r="32" customFormat="false" ht="15" hidden="false" customHeight="false" outlineLevel="0" collapsed="false">
      <c r="A32" s="20"/>
      <c r="B32" s="20"/>
      <c r="C32" s="20"/>
      <c r="D32" s="20"/>
      <c r="E32" s="20"/>
      <c r="F32" s="20"/>
      <c r="G32" s="21"/>
      <c r="H32" s="21"/>
      <c r="I32" s="21"/>
      <c r="J32" s="20"/>
      <c r="K32" s="20"/>
      <c r="L32" s="20"/>
    </row>
    <row r="33" customFormat="false" ht="15" hidden="false" customHeight="false" outlineLevel="0" collapsed="false">
      <c r="A33" s="20"/>
      <c r="B33" s="20"/>
      <c r="C33" s="20"/>
      <c r="D33" s="20"/>
      <c r="E33" s="20"/>
      <c r="F33" s="20"/>
      <c r="G33" s="21"/>
      <c r="H33" s="21"/>
      <c r="I33" s="21"/>
      <c r="J33" s="20"/>
      <c r="K33" s="20"/>
      <c r="L33" s="20"/>
    </row>
    <row r="34" customFormat="false" ht="15" hidden="false" customHeight="false" outlineLevel="0" collapsed="false">
      <c r="A34" s="20"/>
      <c r="B34" s="20"/>
      <c r="C34" s="20"/>
      <c r="D34" s="20"/>
      <c r="E34" s="20"/>
      <c r="F34" s="20"/>
      <c r="G34" s="21"/>
      <c r="H34" s="21"/>
      <c r="I34" s="21"/>
      <c r="J34" s="20"/>
      <c r="K34" s="20"/>
      <c r="L34" s="20"/>
    </row>
    <row r="35" customFormat="false" ht="15" hidden="false" customHeight="false" outlineLevel="0" collapsed="false">
      <c r="A35" s="20"/>
      <c r="B35" s="20"/>
      <c r="C35" s="20"/>
      <c r="D35" s="20"/>
      <c r="E35" s="20"/>
      <c r="F35" s="20"/>
      <c r="G35" s="21"/>
      <c r="H35" s="21"/>
      <c r="I35" s="21"/>
      <c r="J35" s="20"/>
      <c r="K35" s="20"/>
      <c r="L35" s="20"/>
    </row>
    <row r="36" customFormat="false" ht="15" hidden="false" customHeight="false" outlineLevel="0" collapsed="false">
      <c r="A36" s="20"/>
      <c r="B36" s="20"/>
      <c r="C36" s="20"/>
      <c r="D36" s="20"/>
      <c r="E36" s="20"/>
      <c r="F36" s="20"/>
      <c r="G36" s="21"/>
      <c r="H36" s="21"/>
      <c r="I36" s="21"/>
      <c r="J36" s="20"/>
      <c r="K36" s="20"/>
      <c r="L36" s="20"/>
    </row>
    <row r="37" customFormat="false" ht="15" hidden="false" customHeight="false" outlineLevel="0" collapsed="false">
      <c r="A37" s="20"/>
      <c r="B37" s="20"/>
      <c r="C37" s="20"/>
      <c r="D37" s="20"/>
      <c r="E37" s="20"/>
      <c r="F37" s="20"/>
      <c r="G37" s="21"/>
      <c r="H37" s="21"/>
      <c r="I37" s="21"/>
      <c r="J37" s="20"/>
      <c r="K37" s="20"/>
      <c r="L37" s="20"/>
    </row>
    <row r="38" customFormat="false" ht="15" hidden="false" customHeight="false" outlineLevel="0" collapsed="false">
      <c r="A38" s="20"/>
      <c r="B38" s="20"/>
      <c r="C38" s="20"/>
      <c r="D38" s="20"/>
      <c r="E38" s="20"/>
      <c r="F38" s="20"/>
      <c r="G38" s="21"/>
      <c r="H38" s="21"/>
      <c r="I38" s="21"/>
      <c r="J38" s="20"/>
      <c r="K38" s="20"/>
      <c r="L38" s="20"/>
    </row>
    <row r="39" customFormat="false" ht="15" hidden="false" customHeight="false" outlineLevel="0" collapsed="false">
      <c r="A39" s="20"/>
      <c r="B39" s="20"/>
      <c r="C39" s="20"/>
      <c r="D39" s="20"/>
      <c r="E39" s="20"/>
      <c r="F39" s="20"/>
      <c r="G39" s="21"/>
      <c r="H39" s="21"/>
      <c r="I39" s="21"/>
      <c r="J39" s="20"/>
      <c r="K39" s="20"/>
      <c r="L39" s="20"/>
    </row>
    <row r="40" customFormat="false" ht="15" hidden="false" customHeight="false" outlineLevel="0" collapsed="false">
      <c r="A40" s="20"/>
      <c r="B40" s="20"/>
      <c r="C40" s="20"/>
      <c r="D40" s="20"/>
      <c r="E40" s="20"/>
      <c r="F40" s="20"/>
      <c r="G40" s="21"/>
      <c r="H40" s="21"/>
      <c r="I40" s="21"/>
      <c r="J40" s="20"/>
      <c r="K40" s="20"/>
      <c r="L40" s="20"/>
    </row>
    <row r="41" customFormat="false" ht="15" hidden="false" customHeight="false" outlineLevel="0" collapsed="false">
      <c r="A41" s="20"/>
      <c r="B41" s="20"/>
      <c r="C41" s="20"/>
      <c r="D41" s="20"/>
      <c r="E41" s="20"/>
      <c r="F41" s="20"/>
      <c r="G41" s="21"/>
      <c r="H41" s="21"/>
      <c r="I41" s="21"/>
      <c r="J41" s="20"/>
      <c r="K41" s="20"/>
      <c r="L41" s="20"/>
    </row>
    <row r="42" customFormat="false" ht="15" hidden="false" customHeight="false" outlineLevel="0" collapsed="false">
      <c r="A42" s="20"/>
      <c r="B42" s="20"/>
      <c r="C42" s="20"/>
      <c r="D42" s="20"/>
      <c r="E42" s="20"/>
      <c r="F42" s="20"/>
      <c r="G42" s="21"/>
      <c r="H42" s="21"/>
      <c r="I42" s="21"/>
      <c r="J42" s="20"/>
      <c r="K42" s="20"/>
      <c r="L42" s="20"/>
    </row>
    <row r="43" customFormat="false" ht="15" hidden="false" customHeight="false" outlineLevel="0" collapsed="false">
      <c r="A43" s="20"/>
      <c r="B43" s="20"/>
      <c r="C43" s="20"/>
      <c r="D43" s="20"/>
      <c r="E43" s="20"/>
      <c r="F43" s="20"/>
      <c r="G43" s="21"/>
      <c r="H43" s="21"/>
      <c r="I43" s="21"/>
      <c r="J43" s="20"/>
      <c r="K43" s="20"/>
      <c r="L43" s="20"/>
    </row>
    <row r="44" customFormat="false" ht="15" hidden="false" customHeight="false" outlineLevel="0" collapsed="false">
      <c r="A44" s="20"/>
      <c r="B44" s="20"/>
      <c r="C44" s="20"/>
      <c r="D44" s="20"/>
      <c r="E44" s="20"/>
      <c r="F44" s="20"/>
      <c r="G44" s="21"/>
      <c r="H44" s="21"/>
      <c r="I44" s="21"/>
      <c r="J44" s="20"/>
      <c r="K44" s="20"/>
      <c r="L44" s="20"/>
    </row>
    <row r="45" customFormat="false" ht="15" hidden="false" customHeight="false" outlineLevel="0" collapsed="false">
      <c r="A45" s="20"/>
      <c r="B45" s="20"/>
      <c r="C45" s="20"/>
      <c r="D45" s="20"/>
      <c r="E45" s="20"/>
      <c r="F45" s="20"/>
      <c r="G45" s="21"/>
      <c r="H45" s="21"/>
      <c r="I45" s="21"/>
      <c r="J45" s="20"/>
      <c r="K45" s="20"/>
      <c r="L45" s="20"/>
    </row>
    <row r="46" customFormat="false" ht="15" hidden="false" customHeight="false" outlineLevel="0" collapsed="false">
      <c r="A46" s="20"/>
      <c r="B46" s="20"/>
      <c r="C46" s="20"/>
      <c r="D46" s="20"/>
      <c r="E46" s="20"/>
      <c r="F46" s="20"/>
      <c r="G46" s="21"/>
      <c r="H46" s="21"/>
      <c r="I46" s="21"/>
      <c r="J46" s="20"/>
      <c r="K46" s="20"/>
      <c r="L46" s="20"/>
    </row>
    <row r="47" customFormat="false" ht="15" hidden="false" customHeight="false" outlineLevel="0" collapsed="false">
      <c r="A47" s="20"/>
      <c r="B47" s="20"/>
      <c r="C47" s="20"/>
      <c r="D47" s="20"/>
      <c r="E47" s="20"/>
      <c r="F47" s="20"/>
      <c r="G47" s="21"/>
      <c r="H47" s="21"/>
      <c r="I47" s="21"/>
      <c r="J47" s="20"/>
      <c r="K47" s="20"/>
      <c r="L47" s="20"/>
    </row>
    <row r="48" customFormat="false" ht="15" hidden="false" customHeight="false" outlineLevel="0" collapsed="false">
      <c r="A48" s="20"/>
      <c r="B48" s="20"/>
      <c r="C48" s="20"/>
      <c r="D48" s="20"/>
      <c r="E48" s="20"/>
      <c r="F48" s="20"/>
      <c r="G48" s="21"/>
      <c r="H48" s="21"/>
      <c r="I48" s="21"/>
      <c r="J48" s="20"/>
      <c r="K48" s="20"/>
      <c r="L48" s="20"/>
    </row>
    <row r="49" customFormat="false" ht="15" hidden="false" customHeight="false" outlineLevel="0" collapsed="false">
      <c r="A49" s="20"/>
      <c r="B49" s="20"/>
      <c r="C49" s="20"/>
      <c r="D49" s="20"/>
      <c r="E49" s="20"/>
      <c r="F49" s="20"/>
      <c r="G49" s="21"/>
      <c r="H49" s="21"/>
      <c r="I49" s="21"/>
      <c r="J49" s="20"/>
      <c r="K49" s="20"/>
      <c r="L49" s="20"/>
    </row>
    <row r="50" customFormat="false" ht="15" hidden="false" customHeight="false" outlineLevel="0" collapsed="false">
      <c r="A50" s="20"/>
      <c r="B50" s="20"/>
      <c r="C50" s="20"/>
      <c r="D50" s="20"/>
      <c r="E50" s="20"/>
      <c r="F50" s="20"/>
      <c r="G50" s="21"/>
      <c r="H50" s="21"/>
      <c r="I50" s="21"/>
      <c r="J50" s="20"/>
      <c r="K50" s="20"/>
      <c r="L50" s="20"/>
    </row>
    <row r="51" customFormat="false" ht="15" hidden="false" customHeight="false" outlineLevel="0" collapsed="false">
      <c r="A51" s="20"/>
      <c r="B51" s="20"/>
      <c r="C51" s="20"/>
      <c r="D51" s="20"/>
      <c r="E51" s="20"/>
      <c r="F51" s="20"/>
      <c r="G51" s="21"/>
      <c r="H51" s="21"/>
      <c r="I51" s="21"/>
      <c r="J51" s="20"/>
      <c r="K51" s="20"/>
      <c r="L51" s="20"/>
    </row>
    <row r="52" customFormat="false" ht="15" hidden="false" customHeight="false" outlineLevel="0" collapsed="false">
      <c r="A52" s="20"/>
      <c r="B52" s="20"/>
      <c r="C52" s="20"/>
      <c r="D52" s="20"/>
      <c r="E52" s="20"/>
      <c r="F52" s="20"/>
      <c r="G52" s="21"/>
      <c r="H52" s="21"/>
      <c r="I52" s="21"/>
      <c r="J52" s="20"/>
      <c r="K52" s="20"/>
      <c r="L52" s="20"/>
    </row>
    <row r="53" customFormat="false" ht="15" hidden="false" customHeight="false" outlineLevel="0" collapsed="false">
      <c r="A53" s="20"/>
      <c r="B53" s="20"/>
      <c r="C53" s="20"/>
      <c r="D53" s="20"/>
      <c r="E53" s="20"/>
      <c r="F53" s="20"/>
      <c r="G53" s="21"/>
      <c r="H53" s="21"/>
      <c r="I53" s="21"/>
      <c r="J53" s="20"/>
      <c r="K53" s="20"/>
      <c r="L53" s="20"/>
    </row>
    <row r="54" customFormat="false" ht="15" hidden="false" customHeight="false" outlineLevel="0" collapsed="false">
      <c r="A54" s="20"/>
      <c r="B54" s="20"/>
      <c r="C54" s="20"/>
      <c r="D54" s="20"/>
      <c r="E54" s="20"/>
      <c r="F54" s="20"/>
      <c r="G54" s="21"/>
      <c r="H54" s="21"/>
      <c r="I54" s="21"/>
      <c r="J54" s="20"/>
      <c r="K54" s="20"/>
      <c r="L54" s="20"/>
    </row>
    <row r="55" customFormat="false" ht="15" hidden="false" customHeight="false" outlineLevel="0" collapsed="false">
      <c r="A55" s="20"/>
      <c r="B55" s="20"/>
      <c r="C55" s="20"/>
      <c r="D55" s="20"/>
      <c r="E55" s="20"/>
      <c r="F55" s="20"/>
      <c r="G55" s="21"/>
      <c r="H55" s="21"/>
      <c r="I55" s="21"/>
      <c r="J55" s="20"/>
      <c r="K55" s="20"/>
      <c r="L55" s="20"/>
    </row>
    <row r="56" customFormat="false" ht="15" hidden="false" customHeight="false" outlineLevel="0" collapsed="false">
      <c r="A56" s="20"/>
      <c r="B56" s="20"/>
      <c r="C56" s="20"/>
      <c r="D56" s="20"/>
      <c r="E56" s="20"/>
      <c r="F56" s="20"/>
      <c r="G56" s="21"/>
      <c r="H56" s="21"/>
      <c r="I56" s="21"/>
      <c r="J56" s="20"/>
      <c r="K56" s="20"/>
      <c r="L56" s="20"/>
    </row>
    <row r="57" customFormat="false" ht="15" hidden="false" customHeight="false" outlineLevel="0" collapsed="false">
      <c r="A57" s="20"/>
      <c r="B57" s="20"/>
      <c r="C57" s="20"/>
      <c r="D57" s="20"/>
      <c r="E57" s="20"/>
      <c r="F57" s="20"/>
      <c r="G57" s="21"/>
      <c r="H57" s="21"/>
      <c r="I57" s="21"/>
      <c r="J57" s="20"/>
      <c r="K57" s="20"/>
      <c r="L57" s="20"/>
    </row>
    <row r="58" customFormat="false" ht="15" hidden="false" customHeight="false" outlineLevel="0" collapsed="false">
      <c r="A58" s="20"/>
      <c r="B58" s="20"/>
      <c r="C58" s="20"/>
      <c r="D58" s="20"/>
      <c r="E58" s="20"/>
      <c r="F58" s="20"/>
      <c r="G58" s="21"/>
      <c r="H58" s="21"/>
      <c r="I58" s="21"/>
      <c r="J58" s="20"/>
      <c r="K58" s="20"/>
      <c r="L58" s="20"/>
    </row>
    <row r="59" customFormat="false" ht="15" hidden="false" customHeight="false" outlineLevel="0" collapsed="false">
      <c r="A59" s="20"/>
      <c r="B59" s="20"/>
      <c r="C59" s="20"/>
      <c r="D59" s="20"/>
      <c r="E59" s="20"/>
      <c r="F59" s="20"/>
      <c r="G59" s="21"/>
      <c r="H59" s="21"/>
      <c r="I59" s="21"/>
      <c r="J59" s="20"/>
      <c r="K59" s="20"/>
      <c r="L59" s="20"/>
    </row>
    <row r="60" customFormat="false" ht="15" hidden="false" customHeight="false" outlineLevel="0" collapsed="false">
      <c r="A60" s="20"/>
      <c r="B60" s="20"/>
      <c r="C60" s="20"/>
      <c r="D60" s="20"/>
      <c r="E60" s="20"/>
      <c r="F60" s="20"/>
      <c r="G60" s="21"/>
      <c r="H60" s="21"/>
      <c r="I60" s="21"/>
      <c r="J60" s="20"/>
      <c r="K60" s="20"/>
      <c r="L60" s="20"/>
    </row>
    <row r="61" customFormat="false" ht="15" hidden="false" customHeight="false" outlineLevel="0" collapsed="false">
      <c r="A61" s="20"/>
      <c r="B61" s="20"/>
      <c r="C61" s="20"/>
      <c r="D61" s="20"/>
      <c r="E61" s="20"/>
      <c r="F61" s="20"/>
      <c r="G61" s="21"/>
      <c r="H61" s="21"/>
      <c r="I61" s="21"/>
      <c r="J61" s="20"/>
      <c r="K61" s="20"/>
      <c r="L61" s="20"/>
    </row>
    <row r="62" customFormat="false" ht="15" hidden="false" customHeight="false" outlineLevel="0" collapsed="false">
      <c r="A62" s="20"/>
      <c r="B62" s="20"/>
      <c r="C62" s="20"/>
      <c r="D62" s="20"/>
      <c r="E62" s="20"/>
      <c r="F62" s="20"/>
      <c r="G62" s="21"/>
      <c r="H62" s="21"/>
      <c r="I62" s="21"/>
      <c r="J62" s="20"/>
      <c r="K62" s="20"/>
      <c r="L62" s="20"/>
    </row>
    <row r="63" customFormat="false" ht="15" hidden="false" customHeight="false" outlineLevel="0" collapsed="false">
      <c r="A63" s="20"/>
      <c r="B63" s="20"/>
      <c r="C63" s="20"/>
      <c r="D63" s="20"/>
      <c r="E63" s="20"/>
      <c r="F63" s="20"/>
      <c r="G63" s="21"/>
      <c r="H63" s="21"/>
      <c r="I63" s="21"/>
      <c r="J63" s="20"/>
      <c r="K63" s="20"/>
      <c r="L63" s="20"/>
    </row>
    <row r="64" customFormat="false" ht="15" hidden="false" customHeight="false" outlineLevel="0" collapsed="false">
      <c r="A64" s="20"/>
      <c r="B64" s="20"/>
      <c r="C64" s="20"/>
      <c r="D64" s="20"/>
      <c r="E64" s="20"/>
      <c r="F64" s="20"/>
      <c r="G64" s="21"/>
      <c r="H64" s="21"/>
      <c r="I64" s="21"/>
      <c r="J64" s="20"/>
      <c r="K64" s="20"/>
      <c r="L64"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8B8D"/>
    <pageSetUpPr fitToPage="false"/>
  </sheetPr>
  <dimension ref="A1:AM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9"/>
    <col collapsed="false" customWidth="true" hidden="false" outlineLevel="0" max="3" min="3" style="0" width="24"/>
    <col collapsed="false" customWidth="true" hidden="false" outlineLevel="0" max="5" min="4" style="0" width="15"/>
    <col collapsed="false" customWidth="true" hidden="false" outlineLevel="0" max="6" min="6" style="0" width="13"/>
    <col collapsed="false" customWidth="true" hidden="false" outlineLevel="0" max="7" min="7" style="0" width="22"/>
    <col collapsed="false" customWidth="true" hidden="false" outlineLevel="0" max="8" min="8" style="0" width="24"/>
    <col collapsed="false" customWidth="true" hidden="false" outlineLevel="0" max="10" min="9" style="0" width="10"/>
    <col collapsed="false" customWidth="true" hidden="false" outlineLevel="0" max="11" min="11" style="0" width="12"/>
    <col collapsed="false" customWidth="true" hidden="false" outlineLevel="0" max="12" min="12" style="0" width="14"/>
    <col collapsed="false" customWidth="true" hidden="false" outlineLevel="0" max="14" min="13" style="0" width="34"/>
    <col collapsed="false" customWidth="true" hidden="false" outlineLevel="0" max="15" min="15" style="0" width="22"/>
    <col collapsed="false" customWidth="true" hidden="false" outlineLevel="0" max="19" min="16" style="0" width="13"/>
    <col collapsed="false" customWidth="true" hidden="false" outlineLevel="0" max="21" min="20" style="0" width="12"/>
    <col collapsed="false" customWidth="true" hidden="false" outlineLevel="0" max="22" min="22" style="0" width="13"/>
    <col collapsed="false" customWidth="true" hidden="false" outlineLevel="0" max="23" min="23" style="0" width="12"/>
    <col collapsed="false" customWidth="true" hidden="false" outlineLevel="0" max="24" min="24" style="0" width="16"/>
    <col collapsed="false" customWidth="true" hidden="false" outlineLevel="0" max="25" min="25" style="0" width="22"/>
    <col collapsed="false" customWidth="true" hidden="false" outlineLevel="0" max="26" min="26" style="0" width="14"/>
    <col collapsed="false" customWidth="true" hidden="false" outlineLevel="0" max="27" min="27" style="0" width="13"/>
    <col collapsed="false" customWidth="true" hidden="false" outlineLevel="0" max="28" min="28" style="0" width="18"/>
    <col collapsed="false" customWidth="true" hidden="false" outlineLevel="0" max="29" min="29" style="0" width="40"/>
    <col collapsed="false" customWidth="true" hidden="false" outlineLevel="0" max="30" min="30" style="0" width="50"/>
    <col collapsed="false" customWidth="true" hidden="false" outlineLevel="0" max="31" min="31" style="0" width="20"/>
    <col collapsed="false" customWidth="true" hidden="false" outlineLevel="0" max="32" min="32" style="0" width="12"/>
    <col collapsed="false" customWidth="true" hidden="false" outlineLevel="0" max="33" min="33" style="0" width="16"/>
    <col collapsed="false" customWidth="true" hidden="false" outlineLevel="0" max="34" min="34" style="0" width="12"/>
    <col collapsed="false" customWidth="true" hidden="false" outlineLevel="0" max="35" min="35" style="0" width="18"/>
    <col collapsed="false" customWidth="true" hidden="false" outlineLevel="0" max="36" min="36" style="0" width="12"/>
    <col collapsed="false" customWidth="true" hidden="false" outlineLevel="0" max="38" min="37" style="0" width="9"/>
    <col collapsed="false" customWidth="true" hidden="false" outlineLevel="0" max="39" min="39" style="0" width="40"/>
  </cols>
  <sheetData>
    <row r="1" customFormat="false" ht="18.55" hidden="false" customHeight="false" outlineLevel="0" collapsed="false">
      <c r="A1" s="1" t="s">
        <v>101</v>
      </c>
    </row>
    <row r="2" customFormat="false" ht="15" hidden="false" customHeight="false" outlineLevel="0" collapsed="false">
      <c r="A2" s="2" t="s">
        <v>102</v>
      </c>
    </row>
    <row r="3" customFormat="false" ht="30" hidden="false" customHeight="true" outlineLevel="0" collapsed="false">
      <c r="A3" s="22" t="s">
        <v>103</v>
      </c>
      <c r="B3" s="22" t="s">
        <v>104</v>
      </c>
      <c r="C3" s="22" t="s">
        <v>105</v>
      </c>
      <c r="D3" s="22" t="s">
        <v>106</v>
      </c>
      <c r="E3" s="22" t="s">
        <v>107</v>
      </c>
      <c r="F3" s="22" t="s">
        <v>108</v>
      </c>
      <c r="G3" s="22" t="s">
        <v>109</v>
      </c>
      <c r="H3" s="22" t="s">
        <v>110</v>
      </c>
      <c r="I3" s="22" t="s">
        <v>111</v>
      </c>
      <c r="J3" s="22" t="s">
        <v>112</v>
      </c>
      <c r="K3" s="22" t="s">
        <v>113</v>
      </c>
      <c r="L3" s="22" t="s">
        <v>114</v>
      </c>
      <c r="M3" s="22" t="s">
        <v>115</v>
      </c>
      <c r="N3" s="22" t="s">
        <v>116</v>
      </c>
      <c r="O3" s="22" t="s">
        <v>117</v>
      </c>
      <c r="P3" s="22" t="s">
        <v>118</v>
      </c>
      <c r="Q3" s="22" t="s">
        <v>119</v>
      </c>
      <c r="R3" s="22" t="s">
        <v>120</v>
      </c>
      <c r="S3" s="22" t="s">
        <v>121</v>
      </c>
      <c r="T3" s="22" t="s">
        <v>122</v>
      </c>
      <c r="U3" s="22" t="s">
        <v>123</v>
      </c>
      <c r="V3" s="22" t="s">
        <v>124</v>
      </c>
      <c r="W3" s="22" t="s">
        <v>125</v>
      </c>
      <c r="X3" s="22" t="s">
        <v>126</v>
      </c>
      <c r="Y3" s="22" t="s">
        <v>127</v>
      </c>
      <c r="Z3" s="22" t="s">
        <v>128</v>
      </c>
      <c r="AA3" s="22" t="s">
        <v>129</v>
      </c>
      <c r="AB3" s="22" t="s">
        <v>130</v>
      </c>
      <c r="AC3" s="22" t="s">
        <v>131</v>
      </c>
      <c r="AD3" s="22" t="s">
        <v>132</v>
      </c>
      <c r="AE3" s="22" t="s">
        <v>133</v>
      </c>
      <c r="AF3" s="22" t="s">
        <v>134</v>
      </c>
      <c r="AG3" s="22" t="s">
        <v>135</v>
      </c>
      <c r="AH3" s="22" t="s">
        <v>136</v>
      </c>
      <c r="AI3" s="22" t="s">
        <v>137</v>
      </c>
      <c r="AJ3" s="22" t="s">
        <v>138</v>
      </c>
      <c r="AK3" s="22" t="s">
        <v>139</v>
      </c>
      <c r="AL3" s="22" t="s">
        <v>140</v>
      </c>
      <c r="AM3" s="22" t="s">
        <v>141</v>
      </c>
    </row>
    <row r="4" customFormat="false" ht="43.5" hidden="false" customHeight="true" outlineLevel="0" collapsed="false">
      <c r="A4" s="18" t="s">
        <v>142</v>
      </c>
      <c r="B4" s="18" t="s">
        <v>90</v>
      </c>
      <c r="C4" s="18" t="s">
        <v>91</v>
      </c>
      <c r="D4" s="18" t="s">
        <v>92</v>
      </c>
      <c r="E4" s="18" t="s">
        <v>93</v>
      </c>
      <c r="F4" s="18" t="s">
        <v>143</v>
      </c>
      <c r="G4" s="18" t="s">
        <v>144</v>
      </c>
      <c r="H4" s="18" t="s">
        <v>145</v>
      </c>
      <c r="I4" s="18" t="s">
        <v>146</v>
      </c>
      <c r="J4" s="18" t="s">
        <v>147</v>
      </c>
      <c r="K4" s="18" t="s">
        <v>148</v>
      </c>
      <c r="L4" s="18" t="s">
        <v>149</v>
      </c>
      <c r="M4" s="18" t="s">
        <v>150</v>
      </c>
      <c r="N4" s="18" t="s">
        <v>151</v>
      </c>
      <c r="O4" s="18" t="s">
        <v>152</v>
      </c>
      <c r="P4" s="18" t="s">
        <v>153</v>
      </c>
      <c r="Q4" s="18" t="s">
        <v>154</v>
      </c>
      <c r="R4" s="19" t="s">
        <v>155</v>
      </c>
      <c r="S4" s="18" t="s">
        <v>156</v>
      </c>
      <c r="T4" s="19" t="s">
        <v>96</v>
      </c>
      <c r="U4" s="18" t="s">
        <v>157</v>
      </c>
      <c r="V4" s="18" t="s">
        <v>158</v>
      </c>
      <c r="W4" s="19" t="s">
        <v>97</v>
      </c>
      <c r="X4" s="18" t="s">
        <v>159</v>
      </c>
      <c r="Y4" s="18" t="s">
        <v>160</v>
      </c>
      <c r="Z4" s="18" t="s">
        <v>161</v>
      </c>
      <c r="AA4" s="19" t="s">
        <v>39</v>
      </c>
      <c r="AB4" s="18" t="s">
        <v>162</v>
      </c>
      <c r="AC4" s="18" t="s">
        <v>163</v>
      </c>
      <c r="AD4" s="18" t="s">
        <v>164</v>
      </c>
      <c r="AE4" s="18" t="s">
        <v>165</v>
      </c>
      <c r="AF4" s="18" t="s">
        <v>98</v>
      </c>
      <c r="AG4" s="18" t="s">
        <v>166</v>
      </c>
      <c r="AH4" s="18" t="s">
        <v>167</v>
      </c>
      <c r="AI4" s="19" t="s">
        <v>168</v>
      </c>
      <c r="AJ4" s="19" t="s">
        <v>169</v>
      </c>
      <c r="AK4" s="19" t="s">
        <v>170</v>
      </c>
      <c r="AL4" s="19" t="s">
        <v>42</v>
      </c>
      <c r="AM4" s="18" t="s">
        <v>171</v>
      </c>
    </row>
    <row r="5" customFormat="false" ht="15" hidden="false" customHeight="false" outlineLevel="0" collapsed="false">
      <c r="A5" s="23"/>
      <c r="B5" s="23"/>
      <c r="C5" s="23"/>
      <c r="D5" s="23"/>
      <c r="E5" s="23"/>
      <c r="F5" s="23"/>
      <c r="G5" s="23"/>
      <c r="H5" s="23"/>
      <c r="I5" s="23"/>
      <c r="J5" s="23"/>
      <c r="K5" s="24"/>
      <c r="L5" s="23"/>
      <c r="M5" s="25"/>
      <c r="N5" s="25"/>
      <c r="O5" s="23"/>
      <c r="P5" s="26"/>
      <c r="Q5" s="26"/>
      <c r="R5" s="27" t="str">
        <f aca="false">IF(AND(ISNUMBER(P5),ISNUMBER(Q5)),P5-Q5,"")</f>
        <v/>
      </c>
      <c r="S5" s="24"/>
      <c r="T5" s="28" t="str">
        <f aca="false">IF(S5&lt;&gt;"",S5,IF(B5="","",IFERROR(IF(INDEX(Batches!$G$5:$G$64,MATCH(B5,Batches!$A$5:$A$64,0))="","",INDEX(Batches!$G$5:$G$64,MATCH(B5,Batches!$A$5:$A$64,0))),"")))</f>
        <v/>
      </c>
      <c r="U5" s="23"/>
      <c r="V5" s="24"/>
      <c r="W5" s="28" t="str">
        <f aca="false">IF(OR(X5="",X5="Pending"),"",IF(V5&lt;&gt;"",V5,IFERROR(IF(INDEX(Batches!$H$5:$H$64,MATCH(B5,Batches!$A$5:$A$64,0))="","",INDEX(Batches!$H$5:$H$64,MATCH(B5,Batches!$A$5:$A$64,0))),"")))</f>
        <v/>
      </c>
      <c r="X5" s="23"/>
      <c r="Y5" s="23"/>
      <c r="Z5" s="26"/>
      <c r="AA5" s="27" t="str">
        <f aca="false">IF(R5="","",IF(X5="Not accepted",R5,IF(OR(X5="Accepted",X5="Withdrawn by hospital"),IF(X5="Accepted",0,R5),IF(ISNUMBER(Z5),R5-Z5,""))))</f>
        <v/>
      </c>
      <c r="AB5" s="23"/>
      <c r="AC5" s="25"/>
      <c r="AD5" s="23"/>
      <c r="AE5" s="23"/>
      <c r="AF5" s="24"/>
      <c r="AG5" s="23"/>
      <c r="AH5" s="24"/>
      <c r="AI5" s="29" t="str">
        <f aca="false">IF(X5="Not accepted","Maintained",IF(X5="Partially accepted","Partially maintained",IF(X5="Accepted","Reversed",IF(X5="Withdrawn by hospital","Withdrawn by hospital",""))))</f>
        <v/>
      </c>
      <c r="AJ5" s="28" t="str">
        <f aca="false">IF(AI5="","",W5)</f>
        <v/>
      </c>
      <c r="AK5" s="29" t="str">
        <f aca="false">IF(AND(ISNUMBER(T5),ISNUMBER(W5)),W5-T5,"")</f>
        <v/>
      </c>
      <c r="AL5" s="29" t="str">
        <f aca="false">IF(A5="","",SUMIF(Actions!$C$5:$C$1004,A5,Actions!$F$5:$F$1004))</f>
        <v/>
      </c>
      <c r="AM5" s="25"/>
    </row>
    <row r="6" customFormat="false" ht="15" hidden="false" customHeight="false" outlineLevel="0" collapsed="false">
      <c r="A6" s="23"/>
      <c r="B6" s="23"/>
      <c r="C6" s="23"/>
      <c r="D6" s="23"/>
      <c r="E6" s="23"/>
      <c r="F6" s="23"/>
      <c r="G6" s="23"/>
      <c r="H6" s="23"/>
      <c r="I6" s="23"/>
      <c r="J6" s="23"/>
      <c r="K6" s="24"/>
      <c r="L6" s="23"/>
      <c r="M6" s="25"/>
      <c r="N6" s="25"/>
      <c r="O6" s="23"/>
      <c r="P6" s="26"/>
      <c r="Q6" s="26"/>
      <c r="R6" s="27" t="str">
        <f aca="false">IF(AND(ISNUMBER(P6),ISNUMBER(Q6)),P6-Q6,"")</f>
        <v/>
      </c>
      <c r="S6" s="24"/>
      <c r="T6" s="28" t="str">
        <f aca="false">IF(S6&lt;&gt;"",S6,IF(B6="","",IFERROR(IF(INDEX(Batches!$G$5:$G$64,MATCH(B6,Batches!$A$5:$A$64,0))="","",INDEX(Batches!$G$5:$G$64,MATCH(B6,Batches!$A$5:$A$64,0))),"")))</f>
        <v/>
      </c>
      <c r="U6" s="23"/>
      <c r="V6" s="24"/>
      <c r="W6" s="28" t="str">
        <f aca="false">IF(OR(X6="",X6="Pending"),"",IF(V6&lt;&gt;"",V6,IFERROR(IF(INDEX(Batches!$H$5:$H$64,MATCH(B6,Batches!$A$5:$A$64,0))="","",INDEX(Batches!$H$5:$H$64,MATCH(B6,Batches!$A$5:$A$64,0))),"")))</f>
        <v/>
      </c>
      <c r="X6" s="23"/>
      <c r="Y6" s="23"/>
      <c r="Z6" s="26"/>
      <c r="AA6" s="27" t="str">
        <f aca="false">IF(R6="","",IF(X6="Not accepted",R6,IF(OR(X6="Accepted",X6="Withdrawn by hospital"),IF(X6="Accepted",0,R6),IF(ISNUMBER(Z6),R6-Z6,""))))</f>
        <v/>
      </c>
      <c r="AB6" s="23"/>
      <c r="AC6" s="25"/>
      <c r="AD6" s="23"/>
      <c r="AE6" s="23"/>
      <c r="AF6" s="24"/>
      <c r="AG6" s="23"/>
      <c r="AH6" s="24"/>
      <c r="AI6" s="29" t="str">
        <f aca="false">IF(X6="Not accepted","Maintained",IF(X6="Partially accepted","Partially maintained",IF(X6="Accepted","Reversed",IF(X6="Withdrawn by hospital","Withdrawn by hospital",""))))</f>
        <v/>
      </c>
      <c r="AJ6" s="28" t="str">
        <f aca="false">IF(AI6="","",W6)</f>
        <v/>
      </c>
      <c r="AK6" s="29" t="str">
        <f aca="false">IF(AND(ISNUMBER(T6),ISNUMBER(W6)),W6-T6,"")</f>
        <v/>
      </c>
      <c r="AL6" s="29" t="str">
        <f aca="false">IF(A6="","",SUMIF(Actions!$C$5:$C$1004,A6,Actions!$F$5:$F$1004))</f>
        <v/>
      </c>
      <c r="AM6" s="25"/>
    </row>
    <row r="7" customFormat="false" ht="15" hidden="false" customHeight="false" outlineLevel="0" collapsed="false">
      <c r="A7" s="23"/>
      <c r="B7" s="23"/>
      <c r="C7" s="23"/>
      <c r="D7" s="23"/>
      <c r="E7" s="23"/>
      <c r="F7" s="23"/>
      <c r="G7" s="23"/>
      <c r="H7" s="23"/>
      <c r="I7" s="23"/>
      <c r="J7" s="23"/>
      <c r="K7" s="24"/>
      <c r="L7" s="23"/>
      <c r="M7" s="25"/>
      <c r="N7" s="25"/>
      <c r="O7" s="23"/>
      <c r="P7" s="26"/>
      <c r="Q7" s="26"/>
      <c r="R7" s="27" t="str">
        <f aca="false">IF(AND(ISNUMBER(P7),ISNUMBER(Q7)),P7-Q7,"")</f>
        <v/>
      </c>
      <c r="S7" s="24"/>
      <c r="T7" s="28" t="str">
        <f aca="false">IF(S7&lt;&gt;"",S7,IF(B7="","",IFERROR(IF(INDEX(Batches!$G$5:$G$64,MATCH(B7,Batches!$A$5:$A$64,0))="","",INDEX(Batches!$G$5:$G$64,MATCH(B7,Batches!$A$5:$A$64,0))),"")))</f>
        <v/>
      </c>
      <c r="U7" s="23"/>
      <c r="V7" s="24"/>
      <c r="W7" s="28" t="str">
        <f aca="false">IF(OR(X7="",X7="Pending"),"",IF(V7&lt;&gt;"",V7,IFERROR(IF(INDEX(Batches!$H$5:$H$64,MATCH(B7,Batches!$A$5:$A$64,0))="","",INDEX(Batches!$H$5:$H$64,MATCH(B7,Batches!$A$5:$A$64,0))),"")))</f>
        <v/>
      </c>
      <c r="X7" s="23"/>
      <c r="Y7" s="23"/>
      <c r="Z7" s="26"/>
      <c r="AA7" s="27" t="str">
        <f aca="false">IF(R7="","",IF(X7="Not accepted",R7,IF(OR(X7="Accepted",X7="Withdrawn by hospital"),IF(X7="Accepted",0,R7),IF(ISNUMBER(Z7),R7-Z7,""))))</f>
        <v/>
      </c>
      <c r="AB7" s="23"/>
      <c r="AC7" s="25"/>
      <c r="AD7" s="23"/>
      <c r="AE7" s="23"/>
      <c r="AF7" s="24"/>
      <c r="AG7" s="23"/>
      <c r="AH7" s="24"/>
      <c r="AI7" s="29" t="str">
        <f aca="false">IF(X7="Not accepted","Maintained",IF(X7="Partially accepted","Partially maintained",IF(X7="Accepted","Reversed",IF(X7="Withdrawn by hospital","Withdrawn by hospital",""))))</f>
        <v/>
      </c>
      <c r="AJ7" s="28" t="str">
        <f aca="false">IF(AI7="","",W7)</f>
        <v/>
      </c>
      <c r="AK7" s="29" t="str">
        <f aca="false">IF(AND(ISNUMBER(T7),ISNUMBER(W7)),W7-T7,"")</f>
        <v/>
      </c>
      <c r="AL7" s="29" t="str">
        <f aca="false">IF(A7="","",SUMIF(Actions!$C$5:$C$1004,A7,Actions!$F$5:$F$1004))</f>
        <v/>
      </c>
      <c r="AM7" s="25"/>
    </row>
    <row r="8" customFormat="false" ht="15" hidden="false" customHeight="false" outlineLevel="0" collapsed="false">
      <c r="A8" s="23"/>
      <c r="B8" s="23"/>
      <c r="C8" s="23"/>
      <c r="D8" s="23"/>
      <c r="E8" s="23"/>
      <c r="F8" s="23"/>
      <c r="G8" s="23"/>
      <c r="H8" s="23"/>
      <c r="I8" s="23"/>
      <c r="J8" s="23"/>
      <c r="K8" s="24"/>
      <c r="L8" s="23"/>
      <c r="M8" s="25"/>
      <c r="N8" s="25"/>
      <c r="O8" s="23"/>
      <c r="P8" s="26"/>
      <c r="Q8" s="26"/>
      <c r="R8" s="27" t="str">
        <f aca="false">IF(AND(ISNUMBER(P8),ISNUMBER(Q8)),P8-Q8,"")</f>
        <v/>
      </c>
      <c r="S8" s="24"/>
      <c r="T8" s="28" t="str">
        <f aca="false">IF(S8&lt;&gt;"",S8,IF(B8="","",IFERROR(IF(INDEX(Batches!$G$5:$G$64,MATCH(B8,Batches!$A$5:$A$64,0))="","",INDEX(Batches!$G$5:$G$64,MATCH(B8,Batches!$A$5:$A$64,0))),"")))</f>
        <v/>
      </c>
      <c r="U8" s="23"/>
      <c r="V8" s="24"/>
      <c r="W8" s="28" t="str">
        <f aca="false">IF(OR(X8="",X8="Pending"),"",IF(V8&lt;&gt;"",V8,IFERROR(IF(INDEX(Batches!$H$5:$H$64,MATCH(B8,Batches!$A$5:$A$64,0))="","",INDEX(Batches!$H$5:$H$64,MATCH(B8,Batches!$A$5:$A$64,0))),"")))</f>
        <v/>
      </c>
      <c r="X8" s="23"/>
      <c r="Y8" s="23"/>
      <c r="Z8" s="26"/>
      <c r="AA8" s="27" t="str">
        <f aca="false">IF(R8="","",IF(X8="Not accepted",R8,IF(OR(X8="Accepted",X8="Withdrawn by hospital"),IF(X8="Accepted",0,R8),IF(ISNUMBER(Z8),R8-Z8,""))))</f>
        <v/>
      </c>
      <c r="AB8" s="23"/>
      <c r="AC8" s="25"/>
      <c r="AD8" s="23"/>
      <c r="AE8" s="23"/>
      <c r="AF8" s="24"/>
      <c r="AG8" s="23"/>
      <c r="AH8" s="24"/>
      <c r="AI8" s="29" t="str">
        <f aca="false">IF(X8="Not accepted","Maintained",IF(X8="Partially accepted","Partially maintained",IF(X8="Accepted","Reversed",IF(X8="Withdrawn by hospital","Withdrawn by hospital",""))))</f>
        <v/>
      </c>
      <c r="AJ8" s="28" t="str">
        <f aca="false">IF(AI8="","",W8)</f>
        <v/>
      </c>
      <c r="AK8" s="29" t="str">
        <f aca="false">IF(AND(ISNUMBER(T8),ISNUMBER(W8)),W8-T8,"")</f>
        <v/>
      </c>
      <c r="AL8" s="29" t="str">
        <f aca="false">IF(A8="","",SUMIF(Actions!$C$5:$C$1004,A8,Actions!$F$5:$F$1004))</f>
        <v/>
      </c>
      <c r="AM8" s="25"/>
    </row>
    <row r="9" customFormat="false" ht="15" hidden="false" customHeight="false" outlineLevel="0" collapsed="false">
      <c r="A9" s="23"/>
      <c r="B9" s="23"/>
      <c r="C9" s="23"/>
      <c r="D9" s="23"/>
      <c r="E9" s="23"/>
      <c r="F9" s="23"/>
      <c r="G9" s="23"/>
      <c r="H9" s="23"/>
      <c r="I9" s="23"/>
      <c r="J9" s="23"/>
      <c r="K9" s="24"/>
      <c r="L9" s="23"/>
      <c r="M9" s="25"/>
      <c r="N9" s="25"/>
      <c r="O9" s="23"/>
      <c r="P9" s="26"/>
      <c r="Q9" s="26"/>
      <c r="R9" s="27" t="str">
        <f aca="false">IF(AND(ISNUMBER(P9),ISNUMBER(Q9)),P9-Q9,"")</f>
        <v/>
      </c>
      <c r="S9" s="24"/>
      <c r="T9" s="28" t="str">
        <f aca="false">IF(S9&lt;&gt;"",S9,IF(B9="","",IFERROR(IF(INDEX(Batches!$G$5:$G$64,MATCH(B9,Batches!$A$5:$A$64,0))="","",INDEX(Batches!$G$5:$G$64,MATCH(B9,Batches!$A$5:$A$64,0))),"")))</f>
        <v/>
      </c>
      <c r="U9" s="23"/>
      <c r="V9" s="24"/>
      <c r="W9" s="28" t="str">
        <f aca="false">IF(OR(X9="",X9="Pending"),"",IF(V9&lt;&gt;"",V9,IFERROR(IF(INDEX(Batches!$H$5:$H$64,MATCH(B9,Batches!$A$5:$A$64,0))="","",INDEX(Batches!$H$5:$H$64,MATCH(B9,Batches!$A$5:$A$64,0))),"")))</f>
        <v/>
      </c>
      <c r="X9" s="23"/>
      <c r="Y9" s="23"/>
      <c r="Z9" s="26"/>
      <c r="AA9" s="27" t="str">
        <f aca="false">IF(R9="","",IF(X9="Not accepted",R9,IF(OR(X9="Accepted",X9="Withdrawn by hospital"),IF(X9="Accepted",0,R9),IF(ISNUMBER(Z9),R9-Z9,""))))</f>
        <v/>
      </c>
      <c r="AB9" s="23"/>
      <c r="AC9" s="25"/>
      <c r="AD9" s="23"/>
      <c r="AE9" s="23"/>
      <c r="AF9" s="24"/>
      <c r="AG9" s="23"/>
      <c r="AH9" s="24"/>
      <c r="AI9" s="29" t="str">
        <f aca="false">IF(X9="Not accepted","Maintained",IF(X9="Partially accepted","Partially maintained",IF(X9="Accepted","Reversed",IF(X9="Withdrawn by hospital","Withdrawn by hospital",""))))</f>
        <v/>
      </c>
      <c r="AJ9" s="28" t="str">
        <f aca="false">IF(AI9="","",W9)</f>
        <v/>
      </c>
      <c r="AK9" s="29" t="str">
        <f aca="false">IF(AND(ISNUMBER(T9),ISNUMBER(W9)),W9-T9,"")</f>
        <v/>
      </c>
      <c r="AL9" s="29" t="str">
        <f aca="false">IF(A9="","",SUMIF(Actions!$C$5:$C$1004,A9,Actions!$F$5:$F$1004))</f>
        <v/>
      </c>
      <c r="AM9" s="25"/>
    </row>
    <row r="10" customFormat="false" ht="15" hidden="false" customHeight="false" outlineLevel="0" collapsed="false">
      <c r="A10" s="23"/>
      <c r="B10" s="23"/>
      <c r="C10" s="23"/>
      <c r="D10" s="23"/>
      <c r="E10" s="23"/>
      <c r="F10" s="23"/>
      <c r="G10" s="23"/>
      <c r="H10" s="23"/>
      <c r="I10" s="23"/>
      <c r="J10" s="23"/>
      <c r="K10" s="24"/>
      <c r="L10" s="23"/>
      <c r="M10" s="25"/>
      <c r="N10" s="25"/>
      <c r="O10" s="23"/>
      <c r="P10" s="26"/>
      <c r="Q10" s="26"/>
      <c r="R10" s="27" t="str">
        <f aca="false">IF(AND(ISNUMBER(P10),ISNUMBER(Q10)),P10-Q10,"")</f>
        <v/>
      </c>
      <c r="S10" s="24"/>
      <c r="T10" s="28" t="str">
        <f aca="false">IF(S10&lt;&gt;"",S10,IF(B10="","",IFERROR(IF(INDEX(Batches!$G$5:$G$64,MATCH(B10,Batches!$A$5:$A$64,0))="","",INDEX(Batches!$G$5:$G$64,MATCH(B10,Batches!$A$5:$A$64,0))),"")))</f>
        <v/>
      </c>
      <c r="U10" s="23"/>
      <c r="V10" s="24"/>
      <c r="W10" s="28" t="str">
        <f aca="false">IF(OR(X10="",X10="Pending"),"",IF(V10&lt;&gt;"",V10,IFERROR(IF(INDEX(Batches!$H$5:$H$64,MATCH(B10,Batches!$A$5:$A$64,0))="","",INDEX(Batches!$H$5:$H$64,MATCH(B10,Batches!$A$5:$A$64,0))),"")))</f>
        <v/>
      </c>
      <c r="X10" s="23"/>
      <c r="Y10" s="23"/>
      <c r="Z10" s="26"/>
      <c r="AA10" s="27" t="str">
        <f aca="false">IF(R10="","",IF(X10="Not accepted",R10,IF(OR(X10="Accepted",X10="Withdrawn by hospital"),IF(X10="Accepted",0,R10),IF(ISNUMBER(Z10),R10-Z10,""))))</f>
        <v/>
      </c>
      <c r="AB10" s="23"/>
      <c r="AC10" s="25"/>
      <c r="AD10" s="23"/>
      <c r="AE10" s="23"/>
      <c r="AF10" s="24"/>
      <c r="AG10" s="23"/>
      <c r="AH10" s="24"/>
      <c r="AI10" s="29" t="str">
        <f aca="false">IF(X10="Not accepted","Maintained",IF(X10="Partially accepted","Partially maintained",IF(X10="Accepted","Reversed",IF(X10="Withdrawn by hospital","Withdrawn by hospital",""))))</f>
        <v/>
      </c>
      <c r="AJ10" s="28" t="str">
        <f aca="false">IF(AI10="","",W10)</f>
        <v/>
      </c>
      <c r="AK10" s="29" t="str">
        <f aca="false">IF(AND(ISNUMBER(T10),ISNUMBER(W10)),W10-T10,"")</f>
        <v/>
      </c>
      <c r="AL10" s="29" t="str">
        <f aca="false">IF(A10="","",SUMIF(Actions!$C$5:$C$1004,A10,Actions!$F$5:$F$1004))</f>
        <v/>
      </c>
      <c r="AM10" s="25"/>
    </row>
    <row r="11" customFormat="false" ht="15" hidden="false" customHeight="false" outlineLevel="0" collapsed="false">
      <c r="A11" s="23"/>
      <c r="B11" s="23"/>
      <c r="C11" s="23"/>
      <c r="D11" s="23"/>
      <c r="E11" s="23"/>
      <c r="F11" s="23"/>
      <c r="G11" s="23"/>
      <c r="H11" s="23"/>
      <c r="I11" s="23"/>
      <c r="J11" s="23"/>
      <c r="K11" s="24"/>
      <c r="L11" s="23"/>
      <c r="M11" s="25"/>
      <c r="N11" s="25"/>
      <c r="O11" s="23"/>
      <c r="P11" s="26"/>
      <c r="Q11" s="26"/>
      <c r="R11" s="27" t="str">
        <f aca="false">IF(AND(ISNUMBER(P11),ISNUMBER(Q11)),P11-Q11,"")</f>
        <v/>
      </c>
      <c r="S11" s="24"/>
      <c r="T11" s="28" t="str">
        <f aca="false">IF(S11&lt;&gt;"",S11,IF(B11="","",IFERROR(IF(INDEX(Batches!$G$5:$G$64,MATCH(B11,Batches!$A$5:$A$64,0))="","",INDEX(Batches!$G$5:$G$64,MATCH(B11,Batches!$A$5:$A$64,0))),"")))</f>
        <v/>
      </c>
      <c r="U11" s="23"/>
      <c r="V11" s="24"/>
      <c r="W11" s="28" t="str">
        <f aca="false">IF(OR(X11="",X11="Pending"),"",IF(V11&lt;&gt;"",V11,IFERROR(IF(INDEX(Batches!$H$5:$H$64,MATCH(B11,Batches!$A$5:$A$64,0))="","",INDEX(Batches!$H$5:$H$64,MATCH(B11,Batches!$A$5:$A$64,0))),"")))</f>
        <v/>
      </c>
      <c r="X11" s="23"/>
      <c r="Y11" s="23"/>
      <c r="Z11" s="26"/>
      <c r="AA11" s="27" t="str">
        <f aca="false">IF(R11="","",IF(X11="Not accepted",R11,IF(OR(X11="Accepted",X11="Withdrawn by hospital"),IF(X11="Accepted",0,R11),IF(ISNUMBER(Z11),R11-Z11,""))))</f>
        <v/>
      </c>
      <c r="AB11" s="23"/>
      <c r="AC11" s="25"/>
      <c r="AD11" s="23"/>
      <c r="AE11" s="23"/>
      <c r="AF11" s="24"/>
      <c r="AG11" s="23"/>
      <c r="AH11" s="24"/>
      <c r="AI11" s="29" t="str">
        <f aca="false">IF(X11="Not accepted","Maintained",IF(X11="Partially accepted","Partially maintained",IF(X11="Accepted","Reversed",IF(X11="Withdrawn by hospital","Withdrawn by hospital",""))))</f>
        <v/>
      </c>
      <c r="AJ11" s="28" t="str">
        <f aca="false">IF(AI11="","",W11)</f>
        <v/>
      </c>
      <c r="AK11" s="29" t="str">
        <f aca="false">IF(AND(ISNUMBER(T11),ISNUMBER(W11)),W11-T11,"")</f>
        <v/>
      </c>
      <c r="AL11" s="29" t="str">
        <f aca="false">IF(A11="","",SUMIF(Actions!$C$5:$C$1004,A11,Actions!$F$5:$F$1004))</f>
        <v/>
      </c>
      <c r="AM11" s="25"/>
    </row>
    <row r="12" customFormat="false" ht="15" hidden="false" customHeight="false" outlineLevel="0" collapsed="false">
      <c r="A12" s="23"/>
      <c r="B12" s="23"/>
      <c r="C12" s="23"/>
      <c r="D12" s="23"/>
      <c r="E12" s="23"/>
      <c r="F12" s="23"/>
      <c r="G12" s="23"/>
      <c r="H12" s="23"/>
      <c r="I12" s="23"/>
      <c r="J12" s="23"/>
      <c r="K12" s="24"/>
      <c r="L12" s="23"/>
      <c r="M12" s="25"/>
      <c r="N12" s="25"/>
      <c r="O12" s="23"/>
      <c r="P12" s="26"/>
      <c r="Q12" s="26"/>
      <c r="R12" s="27" t="str">
        <f aca="false">IF(AND(ISNUMBER(P12),ISNUMBER(Q12)),P12-Q12,"")</f>
        <v/>
      </c>
      <c r="S12" s="24"/>
      <c r="T12" s="28" t="str">
        <f aca="false">IF(S12&lt;&gt;"",S12,IF(B12="","",IFERROR(IF(INDEX(Batches!$G$5:$G$64,MATCH(B12,Batches!$A$5:$A$64,0))="","",INDEX(Batches!$G$5:$G$64,MATCH(B12,Batches!$A$5:$A$64,0))),"")))</f>
        <v/>
      </c>
      <c r="U12" s="23"/>
      <c r="V12" s="24"/>
      <c r="W12" s="28" t="str">
        <f aca="false">IF(OR(X12="",X12="Pending"),"",IF(V12&lt;&gt;"",V12,IFERROR(IF(INDEX(Batches!$H$5:$H$64,MATCH(B12,Batches!$A$5:$A$64,0))="","",INDEX(Batches!$H$5:$H$64,MATCH(B12,Batches!$A$5:$A$64,0))),"")))</f>
        <v/>
      </c>
      <c r="X12" s="23"/>
      <c r="Y12" s="23"/>
      <c r="Z12" s="26"/>
      <c r="AA12" s="27" t="str">
        <f aca="false">IF(R12="","",IF(X12="Not accepted",R12,IF(OR(X12="Accepted",X12="Withdrawn by hospital"),IF(X12="Accepted",0,R12),IF(ISNUMBER(Z12),R12-Z12,""))))</f>
        <v/>
      </c>
      <c r="AB12" s="23"/>
      <c r="AC12" s="25"/>
      <c r="AD12" s="23"/>
      <c r="AE12" s="23"/>
      <c r="AF12" s="24"/>
      <c r="AG12" s="23"/>
      <c r="AH12" s="24"/>
      <c r="AI12" s="29" t="str">
        <f aca="false">IF(X12="Not accepted","Maintained",IF(X12="Partially accepted","Partially maintained",IF(X12="Accepted","Reversed",IF(X12="Withdrawn by hospital","Withdrawn by hospital",""))))</f>
        <v/>
      </c>
      <c r="AJ12" s="28" t="str">
        <f aca="false">IF(AI12="","",W12)</f>
        <v/>
      </c>
      <c r="AK12" s="29" t="str">
        <f aca="false">IF(AND(ISNUMBER(T12),ISNUMBER(W12)),W12-T12,"")</f>
        <v/>
      </c>
      <c r="AL12" s="29" t="str">
        <f aca="false">IF(A12="","",SUMIF(Actions!$C$5:$C$1004,A12,Actions!$F$5:$F$1004))</f>
        <v/>
      </c>
      <c r="AM12" s="25"/>
    </row>
    <row r="13" customFormat="false" ht="15" hidden="false" customHeight="false" outlineLevel="0" collapsed="false">
      <c r="A13" s="23"/>
      <c r="B13" s="23"/>
      <c r="C13" s="23"/>
      <c r="D13" s="23"/>
      <c r="E13" s="23"/>
      <c r="F13" s="23"/>
      <c r="G13" s="23"/>
      <c r="H13" s="23"/>
      <c r="I13" s="23"/>
      <c r="J13" s="23"/>
      <c r="K13" s="24"/>
      <c r="L13" s="23"/>
      <c r="M13" s="25"/>
      <c r="N13" s="25"/>
      <c r="O13" s="23"/>
      <c r="P13" s="26"/>
      <c r="Q13" s="26"/>
      <c r="R13" s="27" t="str">
        <f aca="false">IF(AND(ISNUMBER(P13),ISNUMBER(Q13)),P13-Q13,"")</f>
        <v/>
      </c>
      <c r="S13" s="24"/>
      <c r="T13" s="28" t="str">
        <f aca="false">IF(S13&lt;&gt;"",S13,IF(B13="","",IFERROR(IF(INDEX(Batches!$G$5:$G$64,MATCH(B13,Batches!$A$5:$A$64,0))="","",INDEX(Batches!$G$5:$G$64,MATCH(B13,Batches!$A$5:$A$64,0))),"")))</f>
        <v/>
      </c>
      <c r="U13" s="23"/>
      <c r="V13" s="24"/>
      <c r="W13" s="28" t="str">
        <f aca="false">IF(OR(X13="",X13="Pending"),"",IF(V13&lt;&gt;"",V13,IFERROR(IF(INDEX(Batches!$H$5:$H$64,MATCH(B13,Batches!$A$5:$A$64,0))="","",INDEX(Batches!$H$5:$H$64,MATCH(B13,Batches!$A$5:$A$64,0))),"")))</f>
        <v/>
      </c>
      <c r="X13" s="23"/>
      <c r="Y13" s="23"/>
      <c r="Z13" s="26"/>
      <c r="AA13" s="27" t="str">
        <f aca="false">IF(R13="","",IF(X13="Not accepted",R13,IF(OR(X13="Accepted",X13="Withdrawn by hospital"),IF(X13="Accepted",0,R13),IF(ISNUMBER(Z13),R13-Z13,""))))</f>
        <v/>
      </c>
      <c r="AB13" s="23"/>
      <c r="AC13" s="25"/>
      <c r="AD13" s="23"/>
      <c r="AE13" s="23"/>
      <c r="AF13" s="24"/>
      <c r="AG13" s="23"/>
      <c r="AH13" s="24"/>
      <c r="AI13" s="29" t="str">
        <f aca="false">IF(X13="Not accepted","Maintained",IF(X13="Partially accepted","Partially maintained",IF(X13="Accepted","Reversed",IF(X13="Withdrawn by hospital","Withdrawn by hospital",""))))</f>
        <v/>
      </c>
      <c r="AJ13" s="28" t="str">
        <f aca="false">IF(AI13="","",W13)</f>
        <v/>
      </c>
      <c r="AK13" s="29" t="str">
        <f aca="false">IF(AND(ISNUMBER(T13),ISNUMBER(W13)),W13-T13,"")</f>
        <v/>
      </c>
      <c r="AL13" s="29" t="str">
        <f aca="false">IF(A13="","",SUMIF(Actions!$C$5:$C$1004,A13,Actions!$F$5:$F$1004))</f>
        <v/>
      </c>
      <c r="AM13" s="25"/>
    </row>
    <row r="14" customFormat="false" ht="15" hidden="false" customHeight="false" outlineLevel="0" collapsed="false">
      <c r="A14" s="23"/>
      <c r="B14" s="23"/>
      <c r="C14" s="23"/>
      <c r="D14" s="23"/>
      <c r="E14" s="23"/>
      <c r="F14" s="23"/>
      <c r="G14" s="23"/>
      <c r="H14" s="23"/>
      <c r="I14" s="23"/>
      <c r="J14" s="23"/>
      <c r="K14" s="24"/>
      <c r="L14" s="23"/>
      <c r="M14" s="25"/>
      <c r="N14" s="25"/>
      <c r="O14" s="23"/>
      <c r="P14" s="26"/>
      <c r="Q14" s="26"/>
      <c r="R14" s="27" t="str">
        <f aca="false">IF(AND(ISNUMBER(P14),ISNUMBER(Q14)),P14-Q14,"")</f>
        <v/>
      </c>
      <c r="S14" s="24"/>
      <c r="T14" s="28" t="str">
        <f aca="false">IF(S14&lt;&gt;"",S14,IF(B14="","",IFERROR(IF(INDEX(Batches!$G$5:$G$64,MATCH(B14,Batches!$A$5:$A$64,0))="","",INDEX(Batches!$G$5:$G$64,MATCH(B14,Batches!$A$5:$A$64,0))),"")))</f>
        <v/>
      </c>
      <c r="U14" s="23"/>
      <c r="V14" s="24"/>
      <c r="W14" s="28" t="str">
        <f aca="false">IF(OR(X14="",X14="Pending"),"",IF(V14&lt;&gt;"",V14,IFERROR(IF(INDEX(Batches!$H$5:$H$64,MATCH(B14,Batches!$A$5:$A$64,0))="","",INDEX(Batches!$H$5:$H$64,MATCH(B14,Batches!$A$5:$A$64,0))),"")))</f>
        <v/>
      </c>
      <c r="X14" s="23"/>
      <c r="Y14" s="23"/>
      <c r="Z14" s="26"/>
      <c r="AA14" s="27" t="str">
        <f aca="false">IF(R14="","",IF(X14="Not accepted",R14,IF(OR(X14="Accepted",X14="Withdrawn by hospital"),IF(X14="Accepted",0,R14),IF(ISNUMBER(Z14),R14-Z14,""))))</f>
        <v/>
      </c>
      <c r="AB14" s="23"/>
      <c r="AC14" s="25"/>
      <c r="AD14" s="23"/>
      <c r="AE14" s="23"/>
      <c r="AF14" s="24"/>
      <c r="AG14" s="23"/>
      <c r="AH14" s="24"/>
      <c r="AI14" s="29" t="str">
        <f aca="false">IF(X14="Not accepted","Maintained",IF(X14="Partially accepted","Partially maintained",IF(X14="Accepted","Reversed",IF(X14="Withdrawn by hospital","Withdrawn by hospital",""))))</f>
        <v/>
      </c>
      <c r="AJ14" s="28" t="str">
        <f aca="false">IF(AI14="","",W14)</f>
        <v/>
      </c>
      <c r="AK14" s="29" t="str">
        <f aca="false">IF(AND(ISNUMBER(T14),ISNUMBER(W14)),W14-T14,"")</f>
        <v/>
      </c>
      <c r="AL14" s="29" t="str">
        <f aca="false">IF(A14="","",SUMIF(Actions!$C$5:$C$1004,A14,Actions!$F$5:$F$1004))</f>
        <v/>
      </c>
      <c r="AM14" s="25"/>
    </row>
    <row r="15" customFormat="false" ht="15" hidden="false" customHeight="false" outlineLevel="0" collapsed="false">
      <c r="A15" s="23"/>
      <c r="B15" s="23"/>
      <c r="C15" s="23"/>
      <c r="D15" s="23"/>
      <c r="E15" s="23"/>
      <c r="F15" s="23"/>
      <c r="G15" s="23"/>
      <c r="H15" s="23"/>
      <c r="I15" s="23"/>
      <c r="J15" s="23"/>
      <c r="K15" s="24"/>
      <c r="L15" s="23"/>
      <c r="M15" s="25"/>
      <c r="N15" s="25"/>
      <c r="O15" s="23"/>
      <c r="P15" s="26"/>
      <c r="Q15" s="26"/>
      <c r="R15" s="27" t="str">
        <f aca="false">IF(AND(ISNUMBER(P15),ISNUMBER(Q15)),P15-Q15,"")</f>
        <v/>
      </c>
      <c r="S15" s="24"/>
      <c r="T15" s="28" t="str">
        <f aca="false">IF(S15&lt;&gt;"",S15,IF(B15="","",IFERROR(IF(INDEX(Batches!$G$5:$G$64,MATCH(B15,Batches!$A$5:$A$64,0))="","",INDEX(Batches!$G$5:$G$64,MATCH(B15,Batches!$A$5:$A$64,0))),"")))</f>
        <v/>
      </c>
      <c r="U15" s="23"/>
      <c r="V15" s="24"/>
      <c r="W15" s="28" t="str">
        <f aca="false">IF(OR(X15="",X15="Pending"),"",IF(V15&lt;&gt;"",V15,IFERROR(IF(INDEX(Batches!$H$5:$H$64,MATCH(B15,Batches!$A$5:$A$64,0))="","",INDEX(Batches!$H$5:$H$64,MATCH(B15,Batches!$A$5:$A$64,0))),"")))</f>
        <v/>
      </c>
      <c r="X15" s="23"/>
      <c r="Y15" s="23"/>
      <c r="Z15" s="26"/>
      <c r="AA15" s="27" t="str">
        <f aca="false">IF(R15="","",IF(X15="Not accepted",R15,IF(OR(X15="Accepted",X15="Withdrawn by hospital"),IF(X15="Accepted",0,R15),IF(ISNUMBER(Z15),R15-Z15,""))))</f>
        <v/>
      </c>
      <c r="AB15" s="23"/>
      <c r="AC15" s="25"/>
      <c r="AD15" s="23"/>
      <c r="AE15" s="23"/>
      <c r="AF15" s="24"/>
      <c r="AG15" s="23"/>
      <c r="AH15" s="24"/>
      <c r="AI15" s="29" t="str">
        <f aca="false">IF(X15="Not accepted","Maintained",IF(X15="Partially accepted","Partially maintained",IF(X15="Accepted","Reversed",IF(X15="Withdrawn by hospital","Withdrawn by hospital",""))))</f>
        <v/>
      </c>
      <c r="AJ15" s="28" t="str">
        <f aca="false">IF(AI15="","",W15)</f>
        <v/>
      </c>
      <c r="AK15" s="29" t="str">
        <f aca="false">IF(AND(ISNUMBER(T15),ISNUMBER(W15)),W15-T15,"")</f>
        <v/>
      </c>
      <c r="AL15" s="29" t="str">
        <f aca="false">IF(A15="","",SUMIF(Actions!$C$5:$C$1004,A15,Actions!$F$5:$F$1004))</f>
        <v/>
      </c>
      <c r="AM15" s="25"/>
    </row>
    <row r="16" customFormat="false" ht="15" hidden="false" customHeight="false" outlineLevel="0" collapsed="false">
      <c r="A16" s="23"/>
      <c r="B16" s="23"/>
      <c r="C16" s="23"/>
      <c r="D16" s="23"/>
      <c r="E16" s="23"/>
      <c r="F16" s="23"/>
      <c r="G16" s="23"/>
      <c r="H16" s="23"/>
      <c r="I16" s="23"/>
      <c r="J16" s="23"/>
      <c r="K16" s="24"/>
      <c r="L16" s="23"/>
      <c r="M16" s="25"/>
      <c r="N16" s="25"/>
      <c r="O16" s="23"/>
      <c r="P16" s="26"/>
      <c r="Q16" s="26"/>
      <c r="R16" s="27" t="str">
        <f aca="false">IF(AND(ISNUMBER(P16),ISNUMBER(Q16)),P16-Q16,"")</f>
        <v/>
      </c>
      <c r="S16" s="24"/>
      <c r="T16" s="28" t="str">
        <f aca="false">IF(S16&lt;&gt;"",S16,IF(B16="","",IFERROR(IF(INDEX(Batches!$G$5:$G$64,MATCH(B16,Batches!$A$5:$A$64,0))="","",INDEX(Batches!$G$5:$G$64,MATCH(B16,Batches!$A$5:$A$64,0))),"")))</f>
        <v/>
      </c>
      <c r="U16" s="23"/>
      <c r="V16" s="24"/>
      <c r="W16" s="28" t="str">
        <f aca="false">IF(OR(X16="",X16="Pending"),"",IF(V16&lt;&gt;"",V16,IFERROR(IF(INDEX(Batches!$H$5:$H$64,MATCH(B16,Batches!$A$5:$A$64,0))="","",INDEX(Batches!$H$5:$H$64,MATCH(B16,Batches!$A$5:$A$64,0))),"")))</f>
        <v/>
      </c>
      <c r="X16" s="23"/>
      <c r="Y16" s="23"/>
      <c r="Z16" s="26"/>
      <c r="AA16" s="27" t="str">
        <f aca="false">IF(R16="","",IF(X16="Not accepted",R16,IF(OR(X16="Accepted",X16="Withdrawn by hospital"),IF(X16="Accepted",0,R16),IF(ISNUMBER(Z16),R16-Z16,""))))</f>
        <v/>
      </c>
      <c r="AB16" s="23"/>
      <c r="AC16" s="25"/>
      <c r="AD16" s="23"/>
      <c r="AE16" s="23"/>
      <c r="AF16" s="24"/>
      <c r="AG16" s="23"/>
      <c r="AH16" s="24"/>
      <c r="AI16" s="29" t="str">
        <f aca="false">IF(X16="Not accepted","Maintained",IF(X16="Partially accepted","Partially maintained",IF(X16="Accepted","Reversed",IF(X16="Withdrawn by hospital","Withdrawn by hospital",""))))</f>
        <v/>
      </c>
      <c r="AJ16" s="28" t="str">
        <f aca="false">IF(AI16="","",W16)</f>
        <v/>
      </c>
      <c r="AK16" s="29" t="str">
        <f aca="false">IF(AND(ISNUMBER(T16),ISNUMBER(W16)),W16-T16,"")</f>
        <v/>
      </c>
      <c r="AL16" s="29" t="str">
        <f aca="false">IF(A16="","",SUMIF(Actions!$C$5:$C$1004,A16,Actions!$F$5:$F$1004))</f>
        <v/>
      </c>
      <c r="AM16" s="25"/>
    </row>
    <row r="17" customFormat="false" ht="15" hidden="false" customHeight="false" outlineLevel="0" collapsed="false">
      <c r="A17" s="23"/>
      <c r="B17" s="23"/>
      <c r="C17" s="23"/>
      <c r="D17" s="23"/>
      <c r="E17" s="23"/>
      <c r="F17" s="23"/>
      <c r="G17" s="23"/>
      <c r="H17" s="23"/>
      <c r="I17" s="23"/>
      <c r="J17" s="23"/>
      <c r="K17" s="24"/>
      <c r="L17" s="23"/>
      <c r="M17" s="25"/>
      <c r="N17" s="25"/>
      <c r="O17" s="23"/>
      <c r="P17" s="26"/>
      <c r="Q17" s="26"/>
      <c r="R17" s="27" t="str">
        <f aca="false">IF(AND(ISNUMBER(P17),ISNUMBER(Q17)),P17-Q17,"")</f>
        <v/>
      </c>
      <c r="S17" s="24"/>
      <c r="T17" s="28" t="str">
        <f aca="false">IF(S17&lt;&gt;"",S17,IF(B17="","",IFERROR(IF(INDEX(Batches!$G$5:$G$64,MATCH(B17,Batches!$A$5:$A$64,0))="","",INDEX(Batches!$G$5:$G$64,MATCH(B17,Batches!$A$5:$A$64,0))),"")))</f>
        <v/>
      </c>
      <c r="U17" s="23"/>
      <c r="V17" s="24"/>
      <c r="W17" s="28" t="str">
        <f aca="false">IF(OR(X17="",X17="Pending"),"",IF(V17&lt;&gt;"",V17,IFERROR(IF(INDEX(Batches!$H$5:$H$64,MATCH(B17,Batches!$A$5:$A$64,0))="","",INDEX(Batches!$H$5:$H$64,MATCH(B17,Batches!$A$5:$A$64,0))),"")))</f>
        <v/>
      </c>
      <c r="X17" s="23"/>
      <c r="Y17" s="23"/>
      <c r="Z17" s="26"/>
      <c r="AA17" s="27" t="str">
        <f aca="false">IF(R17="","",IF(X17="Not accepted",R17,IF(OR(X17="Accepted",X17="Withdrawn by hospital"),IF(X17="Accepted",0,R17),IF(ISNUMBER(Z17),R17-Z17,""))))</f>
        <v/>
      </c>
      <c r="AB17" s="23"/>
      <c r="AC17" s="25"/>
      <c r="AD17" s="23"/>
      <c r="AE17" s="23"/>
      <c r="AF17" s="24"/>
      <c r="AG17" s="23"/>
      <c r="AH17" s="24"/>
      <c r="AI17" s="29" t="str">
        <f aca="false">IF(X17="Not accepted","Maintained",IF(X17="Partially accepted","Partially maintained",IF(X17="Accepted","Reversed",IF(X17="Withdrawn by hospital","Withdrawn by hospital",""))))</f>
        <v/>
      </c>
      <c r="AJ17" s="28" t="str">
        <f aca="false">IF(AI17="","",W17)</f>
        <v/>
      </c>
      <c r="AK17" s="29" t="str">
        <f aca="false">IF(AND(ISNUMBER(T17),ISNUMBER(W17)),W17-T17,"")</f>
        <v/>
      </c>
      <c r="AL17" s="29" t="str">
        <f aca="false">IF(A17="","",SUMIF(Actions!$C$5:$C$1004,A17,Actions!$F$5:$F$1004))</f>
        <v/>
      </c>
      <c r="AM17" s="25"/>
    </row>
    <row r="18" customFormat="false" ht="15" hidden="false" customHeight="false" outlineLevel="0" collapsed="false">
      <c r="A18" s="23"/>
      <c r="B18" s="23"/>
      <c r="C18" s="23"/>
      <c r="D18" s="23"/>
      <c r="E18" s="23"/>
      <c r="F18" s="23"/>
      <c r="G18" s="23"/>
      <c r="H18" s="23"/>
      <c r="I18" s="23"/>
      <c r="J18" s="23"/>
      <c r="K18" s="24"/>
      <c r="L18" s="23"/>
      <c r="M18" s="25"/>
      <c r="N18" s="25"/>
      <c r="O18" s="23"/>
      <c r="P18" s="26"/>
      <c r="Q18" s="26"/>
      <c r="R18" s="27" t="str">
        <f aca="false">IF(AND(ISNUMBER(P18),ISNUMBER(Q18)),P18-Q18,"")</f>
        <v/>
      </c>
      <c r="S18" s="24"/>
      <c r="T18" s="28" t="str">
        <f aca="false">IF(S18&lt;&gt;"",S18,IF(B18="","",IFERROR(IF(INDEX(Batches!$G$5:$G$64,MATCH(B18,Batches!$A$5:$A$64,0))="","",INDEX(Batches!$G$5:$G$64,MATCH(B18,Batches!$A$5:$A$64,0))),"")))</f>
        <v/>
      </c>
      <c r="U18" s="23"/>
      <c r="V18" s="24"/>
      <c r="W18" s="28" t="str">
        <f aca="false">IF(OR(X18="",X18="Pending"),"",IF(V18&lt;&gt;"",V18,IFERROR(IF(INDEX(Batches!$H$5:$H$64,MATCH(B18,Batches!$A$5:$A$64,0))="","",INDEX(Batches!$H$5:$H$64,MATCH(B18,Batches!$A$5:$A$64,0))),"")))</f>
        <v/>
      </c>
      <c r="X18" s="23"/>
      <c r="Y18" s="23"/>
      <c r="Z18" s="26"/>
      <c r="AA18" s="27" t="str">
        <f aca="false">IF(R18="","",IF(X18="Not accepted",R18,IF(OR(X18="Accepted",X18="Withdrawn by hospital"),IF(X18="Accepted",0,R18),IF(ISNUMBER(Z18),R18-Z18,""))))</f>
        <v/>
      </c>
      <c r="AB18" s="23"/>
      <c r="AC18" s="25"/>
      <c r="AD18" s="23"/>
      <c r="AE18" s="23"/>
      <c r="AF18" s="24"/>
      <c r="AG18" s="23"/>
      <c r="AH18" s="24"/>
      <c r="AI18" s="29" t="str">
        <f aca="false">IF(X18="Not accepted","Maintained",IF(X18="Partially accepted","Partially maintained",IF(X18="Accepted","Reversed",IF(X18="Withdrawn by hospital","Withdrawn by hospital",""))))</f>
        <v/>
      </c>
      <c r="AJ18" s="28" t="str">
        <f aca="false">IF(AI18="","",W18)</f>
        <v/>
      </c>
      <c r="AK18" s="29" t="str">
        <f aca="false">IF(AND(ISNUMBER(T18),ISNUMBER(W18)),W18-T18,"")</f>
        <v/>
      </c>
      <c r="AL18" s="29" t="str">
        <f aca="false">IF(A18="","",SUMIF(Actions!$C$5:$C$1004,A18,Actions!$F$5:$F$1004))</f>
        <v/>
      </c>
      <c r="AM18" s="25"/>
    </row>
    <row r="19" customFormat="false" ht="15" hidden="false" customHeight="false" outlineLevel="0" collapsed="false">
      <c r="A19" s="23"/>
      <c r="B19" s="23"/>
      <c r="C19" s="23"/>
      <c r="D19" s="23"/>
      <c r="E19" s="23"/>
      <c r="F19" s="23"/>
      <c r="G19" s="23"/>
      <c r="H19" s="23"/>
      <c r="I19" s="23"/>
      <c r="J19" s="23"/>
      <c r="K19" s="24"/>
      <c r="L19" s="23"/>
      <c r="M19" s="25"/>
      <c r="N19" s="25"/>
      <c r="O19" s="23"/>
      <c r="P19" s="26"/>
      <c r="Q19" s="26"/>
      <c r="R19" s="27" t="str">
        <f aca="false">IF(AND(ISNUMBER(P19),ISNUMBER(Q19)),P19-Q19,"")</f>
        <v/>
      </c>
      <c r="S19" s="24"/>
      <c r="T19" s="28" t="str">
        <f aca="false">IF(S19&lt;&gt;"",S19,IF(B19="","",IFERROR(IF(INDEX(Batches!$G$5:$G$64,MATCH(B19,Batches!$A$5:$A$64,0))="","",INDEX(Batches!$G$5:$G$64,MATCH(B19,Batches!$A$5:$A$64,0))),"")))</f>
        <v/>
      </c>
      <c r="U19" s="23"/>
      <c r="V19" s="24"/>
      <c r="W19" s="28" t="str">
        <f aca="false">IF(OR(X19="",X19="Pending"),"",IF(V19&lt;&gt;"",V19,IFERROR(IF(INDEX(Batches!$H$5:$H$64,MATCH(B19,Batches!$A$5:$A$64,0))="","",INDEX(Batches!$H$5:$H$64,MATCH(B19,Batches!$A$5:$A$64,0))),"")))</f>
        <v/>
      </c>
      <c r="X19" s="23"/>
      <c r="Y19" s="23"/>
      <c r="Z19" s="26"/>
      <c r="AA19" s="27" t="str">
        <f aca="false">IF(R19="","",IF(X19="Not accepted",R19,IF(OR(X19="Accepted",X19="Withdrawn by hospital"),IF(X19="Accepted",0,R19),IF(ISNUMBER(Z19),R19-Z19,""))))</f>
        <v/>
      </c>
      <c r="AB19" s="23"/>
      <c r="AC19" s="25"/>
      <c r="AD19" s="23"/>
      <c r="AE19" s="23"/>
      <c r="AF19" s="24"/>
      <c r="AG19" s="23"/>
      <c r="AH19" s="24"/>
      <c r="AI19" s="29" t="str">
        <f aca="false">IF(X19="Not accepted","Maintained",IF(X19="Partially accepted","Partially maintained",IF(X19="Accepted","Reversed",IF(X19="Withdrawn by hospital","Withdrawn by hospital",""))))</f>
        <v/>
      </c>
      <c r="AJ19" s="28" t="str">
        <f aca="false">IF(AI19="","",W19)</f>
        <v/>
      </c>
      <c r="AK19" s="29" t="str">
        <f aca="false">IF(AND(ISNUMBER(T19),ISNUMBER(W19)),W19-T19,"")</f>
        <v/>
      </c>
      <c r="AL19" s="29" t="str">
        <f aca="false">IF(A19="","",SUMIF(Actions!$C$5:$C$1004,A19,Actions!$F$5:$F$1004))</f>
        <v/>
      </c>
      <c r="AM19" s="25"/>
    </row>
    <row r="20" customFormat="false" ht="15" hidden="false" customHeight="false" outlineLevel="0" collapsed="false">
      <c r="A20" s="23"/>
      <c r="B20" s="23"/>
      <c r="C20" s="23"/>
      <c r="D20" s="23"/>
      <c r="E20" s="23"/>
      <c r="F20" s="23"/>
      <c r="G20" s="23"/>
      <c r="H20" s="23"/>
      <c r="I20" s="23"/>
      <c r="J20" s="23"/>
      <c r="K20" s="24"/>
      <c r="L20" s="23"/>
      <c r="M20" s="25"/>
      <c r="N20" s="25"/>
      <c r="O20" s="23"/>
      <c r="P20" s="26"/>
      <c r="Q20" s="26"/>
      <c r="R20" s="27" t="str">
        <f aca="false">IF(AND(ISNUMBER(P20),ISNUMBER(Q20)),P20-Q20,"")</f>
        <v/>
      </c>
      <c r="S20" s="24"/>
      <c r="T20" s="28" t="str">
        <f aca="false">IF(S20&lt;&gt;"",S20,IF(B20="","",IFERROR(IF(INDEX(Batches!$G$5:$G$64,MATCH(B20,Batches!$A$5:$A$64,0))="","",INDEX(Batches!$G$5:$G$64,MATCH(B20,Batches!$A$5:$A$64,0))),"")))</f>
        <v/>
      </c>
      <c r="U20" s="23"/>
      <c r="V20" s="24"/>
      <c r="W20" s="28" t="str">
        <f aca="false">IF(OR(X20="",X20="Pending"),"",IF(V20&lt;&gt;"",V20,IFERROR(IF(INDEX(Batches!$H$5:$H$64,MATCH(B20,Batches!$A$5:$A$64,0))="","",INDEX(Batches!$H$5:$H$64,MATCH(B20,Batches!$A$5:$A$64,0))),"")))</f>
        <v/>
      </c>
      <c r="X20" s="23"/>
      <c r="Y20" s="23"/>
      <c r="Z20" s="26"/>
      <c r="AA20" s="27" t="str">
        <f aca="false">IF(R20="","",IF(X20="Not accepted",R20,IF(OR(X20="Accepted",X20="Withdrawn by hospital"),IF(X20="Accepted",0,R20),IF(ISNUMBER(Z20),R20-Z20,""))))</f>
        <v/>
      </c>
      <c r="AB20" s="23"/>
      <c r="AC20" s="25"/>
      <c r="AD20" s="23"/>
      <c r="AE20" s="23"/>
      <c r="AF20" s="24"/>
      <c r="AG20" s="23"/>
      <c r="AH20" s="24"/>
      <c r="AI20" s="29" t="str">
        <f aca="false">IF(X20="Not accepted","Maintained",IF(X20="Partially accepted","Partially maintained",IF(X20="Accepted","Reversed",IF(X20="Withdrawn by hospital","Withdrawn by hospital",""))))</f>
        <v/>
      </c>
      <c r="AJ20" s="28" t="str">
        <f aca="false">IF(AI20="","",W20)</f>
        <v/>
      </c>
      <c r="AK20" s="29" t="str">
        <f aca="false">IF(AND(ISNUMBER(T20),ISNUMBER(W20)),W20-T20,"")</f>
        <v/>
      </c>
      <c r="AL20" s="29" t="str">
        <f aca="false">IF(A20="","",SUMIF(Actions!$C$5:$C$1004,A20,Actions!$F$5:$F$1004))</f>
        <v/>
      </c>
      <c r="AM20" s="25"/>
    </row>
    <row r="21" customFormat="false" ht="15" hidden="false" customHeight="false" outlineLevel="0" collapsed="false">
      <c r="A21" s="23"/>
      <c r="B21" s="23"/>
      <c r="C21" s="23"/>
      <c r="D21" s="23"/>
      <c r="E21" s="23"/>
      <c r="F21" s="23"/>
      <c r="G21" s="23"/>
      <c r="H21" s="23"/>
      <c r="I21" s="23"/>
      <c r="J21" s="23"/>
      <c r="K21" s="24"/>
      <c r="L21" s="23"/>
      <c r="M21" s="25"/>
      <c r="N21" s="25"/>
      <c r="O21" s="23"/>
      <c r="P21" s="26"/>
      <c r="Q21" s="26"/>
      <c r="R21" s="27" t="str">
        <f aca="false">IF(AND(ISNUMBER(P21),ISNUMBER(Q21)),P21-Q21,"")</f>
        <v/>
      </c>
      <c r="S21" s="24"/>
      <c r="T21" s="28" t="str">
        <f aca="false">IF(S21&lt;&gt;"",S21,IF(B21="","",IFERROR(IF(INDEX(Batches!$G$5:$G$64,MATCH(B21,Batches!$A$5:$A$64,0))="","",INDEX(Batches!$G$5:$G$64,MATCH(B21,Batches!$A$5:$A$64,0))),"")))</f>
        <v/>
      </c>
      <c r="U21" s="23"/>
      <c r="V21" s="24"/>
      <c r="W21" s="28" t="str">
        <f aca="false">IF(OR(X21="",X21="Pending"),"",IF(V21&lt;&gt;"",V21,IFERROR(IF(INDEX(Batches!$H$5:$H$64,MATCH(B21,Batches!$A$5:$A$64,0))="","",INDEX(Batches!$H$5:$H$64,MATCH(B21,Batches!$A$5:$A$64,0))),"")))</f>
        <v/>
      </c>
      <c r="X21" s="23"/>
      <c r="Y21" s="23"/>
      <c r="Z21" s="26"/>
      <c r="AA21" s="27" t="str">
        <f aca="false">IF(R21="","",IF(X21="Not accepted",R21,IF(OR(X21="Accepted",X21="Withdrawn by hospital"),IF(X21="Accepted",0,R21),IF(ISNUMBER(Z21),R21-Z21,""))))</f>
        <v/>
      </c>
      <c r="AB21" s="23"/>
      <c r="AC21" s="25"/>
      <c r="AD21" s="23"/>
      <c r="AE21" s="23"/>
      <c r="AF21" s="24"/>
      <c r="AG21" s="23"/>
      <c r="AH21" s="24"/>
      <c r="AI21" s="29" t="str">
        <f aca="false">IF(X21="Not accepted","Maintained",IF(X21="Partially accepted","Partially maintained",IF(X21="Accepted","Reversed",IF(X21="Withdrawn by hospital","Withdrawn by hospital",""))))</f>
        <v/>
      </c>
      <c r="AJ21" s="28" t="str">
        <f aca="false">IF(AI21="","",W21)</f>
        <v/>
      </c>
      <c r="AK21" s="29" t="str">
        <f aca="false">IF(AND(ISNUMBER(T21),ISNUMBER(W21)),W21-T21,"")</f>
        <v/>
      </c>
      <c r="AL21" s="29" t="str">
        <f aca="false">IF(A21="","",SUMIF(Actions!$C$5:$C$1004,A21,Actions!$F$5:$F$1004))</f>
        <v/>
      </c>
      <c r="AM21" s="25"/>
    </row>
    <row r="22" customFormat="false" ht="15" hidden="false" customHeight="false" outlineLevel="0" collapsed="false">
      <c r="A22" s="23"/>
      <c r="B22" s="23"/>
      <c r="C22" s="23"/>
      <c r="D22" s="23"/>
      <c r="E22" s="23"/>
      <c r="F22" s="23"/>
      <c r="G22" s="23"/>
      <c r="H22" s="23"/>
      <c r="I22" s="23"/>
      <c r="J22" s="23"/>
      <c r="K22" s="24"/>
      <c r="L22" s="23"/>
      <c r="M22" s="25"/>
      <c r="N22" s="25"/>
      <c r="O22" s="23"/>
      <c r="P22" s="26"/>
      <c r="Q22" s="26"/>
      <c r="R22" s="27" t="str">
        <f aca="false">IF(AND(ISNUMBER(P22),ISNUMBER(Q22)),P22-Q22,"")</f>
        <v/>
      </c>
      <c r="S22" s="24"/>
      <c r="T22" s="28" t="str">
        <f aca="false">IF(S22&lt;&gt;"",S22,IF(B22="","",IFERROR(IF(INDEX(Batches!$G$5:$G$64,MATCH(B22,Batches!$A$5:$A$64,0))="","",INDEX(Batches!$G$5:$G$64,MATCH(B22,Batches!$A$5:$A$64,0))),"")))</f>
        <v/>
      </c>
      <c r="U22" s="23"/>
      <c r="V22" s="24"/>
      <c r="W22" s="28" t="str">
        <f aca="false">IF(OR(X22="",X22="Pending"),"",IF(V22&lt;&gt;"",V22,IFERROR(IF(INDEX(Batches!$H$5:$H$64,MATCH(B22,Batches!$A$5:$A$64,0))="","",INDEX(Batches!$H$5:$H$64,MATCH(B22,Batches!$A$5:$A$64,0))),"")))</f>
        <v/>
      </c>
      <c r="X22" s="23"/>
      <c r="Y22" s="23"/>
      <c r="Z22" s="26"/>
      <c r="AA22" s="27" t="str">
        <f aca="false">IF(R22="","",IF(X22="Not accepted",R22,IF(OR(X22="Accepted",X22="Withdrawn by hospital"),IF(X22="Accepted",0,R22),IF(ISNUMBER(Z22),R22-Z22,""))))</f>
        <v/>
      </c>
      <c r="AB22" s="23"/>
      <c r="AC22" s="25"/>
      <c r="AD22" s="23"/>
      <c r="AE22" s="23"/>
      <c r="AF22" s="24"/>
      <c r="AG22" s="23"/>
      <c r="AH22" s="24"/>
      <c r="AI22" s="29" t="str">
        <f aca="false">IF(X22="Not accepted","Maintained",IF(X22="Partially accepted","Partially maintained",IF(X22="Accepted","Reversed",IF(X22="Withdrawn by hospital","Withdrawn by hospital",""))))</f>
        <v/>
      </c>
      <c r="AJ22" s="28" t="str">
        <f aca="false">IF(AI22="","",W22)</f>
        <v/>
      </c>
      <c r="AK22" s="29" t="str">
        <f aca="false">IF(AND(ISNUMBER(T22),ISNUMBER(W22)),W22-T22,"")</f>
        <v/>
      </c>
      <c r="AL22" s="29" t="str">
        <f aca="false">IF(A22="","",SUMIF(Actions!$C$5:$C$1004,A22,Actions!$F$5:$F$1004))</f>
        <v/>
      </c>
      <c r="AM22" s="25"/>
    </row>
    <row r="23" customFormat="false" ht="15" hidden="false" customHeight="false" outlineLevel="0" collapsed="false">
      <c r="A23" s="23"/>
      <c r="B23" s="23"/>
      <c r="C23" s="23"/>
      <c r="D23" s="23"/>
      <c r="E23" s="23"/>
      <c r="F23" s="23"/>
      <c r="G23" s="23"/>
      <c r="H23" s="23"/>
      <c r="I23" s="23"/>
      <c r="J23" s="23"/>
      <c r="K23" s="24"/>
      <c r="L23" s="23"/>
      <c r="M23" s="25"/>
      <c r="N23" s="25"/>
      <c r="O23" s="23"/>
      <c r="P23" s="26"/>
      <c r="Q23" s="26"/>
      <c r="R23" s="27" t="str">
        <f aca="false">IF(AND(ISNUMBER(P23),ISNUMBER(Q23)),P23-Q23,"")</f>
        <v/>
      </c>
      <c r="S23" s="24"/>
      <c r="T23" s="28" t="str">
        <f aca="false">IF(S23&lt;&gt;"",S23,IF(B23="","",IFERROR(IF(INDEX(Batches!$G$5:$G$64,MATCH(B23,Batches!$A$5:$A$64,0))="","",INDEX(Batches!$G$5:$G$64,MATCH(B23,Batches!$A$5:$A$64,0))),"")))</f>
        <v/>
      </c>
      <c r="U23" s="23"/>
      <c r="V23" s="24"/>
      <c r="W23" s="28" t="str">
        <f aca="false">IF(OR(X23="",X23="Pending"),"",IF(V23&lt;&gt;"",V23,IFERROR(IF(INDEX(Batches!$H$5:$H$64,MATCH(B23,Batches!$A$5:$A$64,0))="","",INDEX(Batches!$H$5:$H$64,MATCH(B23,Batches!$A$5:$A$64,0))),"")))</f>
        <v/>
      </c>
      <c r="X23" s="23"/>
      <c r="Y23" s="23"/>
      <c r="Z23" s="26"/>
      <c r="AA23" s="27" t="str">
        <f aca="false">IF(R23="","",IF(X23="Not accepted",R23,IF(OR(X23="Accepted",X23="Withdrawn by hospital"),IF(X23="Accepted",0,R23),IF(ISNUMBER(Z23),R23-Z23,""))))</f>
        <v/>
      </c>
      <c r="AB23" s="23"/>
      <c r="AC23" s="25"/>
      <c r="AD23" s="23"/>
      <c r="AE23" s="23"/>
      <c r="AF23" s="24"/>
      <c r="AG23" s="23"/>
      <c r="AH23" s="24"/>
      <c r="AI23" s="29" t="str">
        <f aca="false">IF(X23="Not accepted","Maintained",IF(X23="Partially accepted","Partially maintained",IF(X23="Accepted","Reversed",IF(X23="Withdrawn by hospital","Withdrawn by hospital",""))))</f>
        <v/>
      </c>
      <c r="AJ23" s="28" t="str">
        <f aca="false">IF(AI23="","",W23)</f>
        <v/>
      </c>
      <c r="AK23" s="29" t="str">
        <f aca="false">IF(AND(ISNUMBER(T23),ISNUMBER(W23)),W23-T23,"")</f>
        <v/>
      </c>
      <c r="AL23" s="29" t="str">
        <f aca="false">IF(A23="","",SUMIF(Actions!$C$5:$C$1004,A23,Actions!$F$5:$F$1004))</f>
        <v/>
      </c>
      <c r="AM23" s="25"/>
    </row>
    <row r="24" customFormat="false" ht="15" hidden="false" customHeight="false" outlineLevel="0" collapsed="false">
      <c r="A24" s="23"/>
      <c r="B24" s="23"/>
      <c r="C24" s="23"/>
      <c r="D24" s="23"/>
      <c r="E24" s="23"/>
      <c r="F24" s="23"/>
      <c r="G24" s="23"/>
      <c r="H24" s="23"/>
      <c r="I24" s="23"/>
      <c r="J24" s="23"/>
      <c r="K24" s="24"/>
      <c r="L24" s="23"/>
      <c r="M24" s="25"/>
      <c r="N24" s="25"/>
      <c r="O24" s="23"/>
      <c r="P24" s="26"/>
      <c r="Q24" s="26"/>
      <c r="R24" s="27" t="str">
        <f aca="false">IF(AND(ISNUMBER(P24),ISNUMBER(Q24)),P24-Q24,"")</f>
        <v/>
      </c>
      <c r="S24" s="24"/>
      <c r="T24" s="28" t="str">
        <f aca="false">IF(S24&lt;&gt;"",S24,IF(B24="","",IFERROR(IF(INDEX(Batches!$G$5:$G$64,MATCH(B24,Batches!$A$5:$A$64,0))="","",INDEX(Batches!$G$5:$G$64,MATCH(B24,Batches!$A$5:$A$64,0))),"")))</f>
        <v/>
      </c>
      <c r="U24" s="23"/>
      <c r="V24" s="24"/>
      <c r="W24" s="28" t="str">
        <f aca="false">IF(OR(X24="",X24="Pending"),"",IF(V24&lt;&gt;"",V24,IFERROR(IF(INDEX(Batches!$H$5:$H$64,MATCH(B24,Batches!$A$5:$A$64,0))="","",INDEX(Batches!$H$5:$H$64,MATCH(B24,Batches!$A$5:$A$64,0))),"")))</f>
        <v/>
      </c>
      <c r="X24" s="23"/>
      <c r="Y24" s="23"/>
      <c r="Z24" s="26"/>
      <c r="AA24" s="27" t="str">
        <f aca="false">IF(R24="","",IF(X24="Not accepted",R24,IF(OR(X24="Accepted",X24="Withdrawn by hospital"),IF(X24="Accepted",0,R24),IF(ISNUMBER(Z24),R24-Z24,""))))</f>
        <v/>
      </c>
      <c r="AB24" s="23"/>
      <c r="AC24" s="25"/>
      <c r="AD24" s="23"/>
      <c r="AE24" s="23"/>
      <c r="AF24" s="24"/>
      <c r="AG24" s="23"/>
      <c r="AH24" s="24"/>
      <c r="AI24" s="29" t="str">
        <f aca="false">IF(X24="Not accepted","Maintained",IF(X24="Partially accepted","Partially maintained",IF(X24="Accepted","Reversed",IF(X24="Withdrawn by hospital","Withdrawn by hospital",""))))</f>
        <v/>
      </c>
      <c r="AJ24" s="28" t="str">
        <f aca="false">IF(AI24="","",W24)</f>
        <v/>
      </c>
      <c r="AK24" s="29" t="str">
        <f aca="false">IF(AND(ISNUMBER(T24),ISNUMBER(W24)),W24-T24,"")</f>
        <v/>
      </c>
      <c r="AL24" s="29" t="str">
        <f aca="false">IF(A24="","",SUMIF(Actions!$C$5:$C$1004,A24,Actions!$F$5:$F$1004))</f>
        <v/>
      </c>
      <c r="AM24" s="25"/>
    </row>
    <row r="25" customFormat="false" ht="15" hidden="false" customHeight="false" outlineLevel="0" collapsed="false">
      <c r="A25" s="23"/>
      <c r="B25" s="23"/>
      <c r="C25" s="23"/>
      <c r="D25" s="23"/>
      <c r="E25" s="23"/>
      <c r="F25" s="23"/>
      <c r="G25" s="23"/>
      <c r="H25" s="23"/>
      <c r="I25" s="23"/>
      <c r="J25" s="23"/>
      <c r="K25" s="24"/>
      <c r="L25" s="23"/>
      <c r="M25" s="25"/>
      <c r="N25" s="25"/>
      <c r="O25" s="23"/>
      <c r="P25" s="26"/>
      <c r="Q25" s="26"/>
      <c r="R25" s="27" t="str">
        <f aca="false">IF(AND(ISNUMBER(P25),ISNUMBER(Q25)),P25-Q25,"")</f>
        <v/>
      </c>
      <c r="S25" s="24"/>
      <c r="T25" s="28" t="str">
        <f aca="false">IF(S25&lt;&gt;"",S25,IF(B25="","",IFERROR(IF(INDEX(Batches!$G$5:$G$64,MATCH(B25,Batches!$A$5:$A$64,0))="","",INDEX(Batches!$G$5:$G$64,MATCH(B25,Batches!$A$5:$A$64,0))),"")))</f>
        <v/>
      </c>
      <c r="U25" s="23"/>
      <c r="V25" s="24"/>
      <c r="W25" s="28" t="str">
        <f aca="false">IF(OR(X25="",X25="Pending"),"",IF(V25&lt;&gt;"",V25,IFERROR(IF(INDEX(Batches!$H$5:$H$64,MATCH(B25,Batches!$A$5:$A$64,0))="","",INDEX(Batches!$H$5:$H$64,MATCH(B25,Batches!$A$5:$A$64,0))),"")))</f>
        <v/>
      </c>
      <c r="X25" s="23"/>
      <c r="Y25" s="23"/>
      <c r="Z25" s="26"/>
      <c r="AA25" s="27" t="str">
        <f aca="false">IF(R25="","",IF(X25="Not accepted",R25,IF(OR(X25="Accepted",X25="Withdrawn by hospital"),IF(X25="Accepted",0,R25),IF(ISNUMBER(Z25),R25-Z25,""))))</f>
        <v/>
      </c>
      <c r="AB25" s="23"/>
      <c r="AC25" s="25"/>
      <c r="AD25" s="23"/>
      <c r="AE25" s="23"/>
      <c r="AF25" s="24"/>
      <c r="AG25" s="23"/>
      <c r="AH25" s="24"/>
      <c r="AI25" s="29" t="str">
        <f aca="false">IF(X25="Not accepted","Maintained",IF(X25="Partially accepted","Partially maintained",IF(X25="Accepted","Reversed",IF(X25="Withdrawn by hospital","Withdrawn by hospital",""))))</f>
        <v/>
      </c>
      <c r="AJ25" s="28" t="str">
        <f aca="false">IF(AI25="","",W25)</f>
        <v/>
      </c>
      <c r="AK25" s="29" t="str">
        <f aca="false">IF(AND(ISNUMBER(T25),ISNUMBER(W25)),W25-T25,"")</f>
        <v/>
      </c>
      <c r="AL25" s="29" t="str">
        <f aca="false">IF(A25="","",SUMIF(Actions!$C$5:$C$1004,A25,Actions!$F$5:$F$1004))</f>
        <v/>
      </c>
      <c r="AM25" s="25"/>
    </row>
    <row r="26" customFormat="false" ht="15" hidden="false" customHeight="false" outlineLevel="0" collapsed="false">
      <c r="A26" s="23"/>
      <c r="B26" s="23"/>
      <c r="C26" s="23"/>
      <c r="D26" s="23"/>
      <c r="E26" s="23"/>
      <c r="F26" s="23"/>
      <c r="G26" s="23"/>
      <c r="H26" s="23"/>
      <c r="I26" s="23"/>
      <c r="J26" s="23"/>
      <c r="K26" s="24"/>
      <c r="L26" s="23"/>
      <c r="M26" s="25"/>
      <c r="N26" s="25"/>
      <c r="O26" s="23"/>
      <c r="P26" s="26"/>
      <c r="Q26" s="26"/>
      <c r="R26" s="27" t="str">
        <f aca="false">IF(AND(ISNUMBER(P26),ISNUMBER(Q26)),P26-Q26,"")</f>
        <v/>
      </c>
      <c r="S26" s="24"/>
      <c r="T26" s="28" t="str">
        <f aca="false">IF(S26&lt;&gt;"",S26,IF(B26="","",IFERROR(IF(INDEX(Batches!$G$5:$G$64,MATCH(B26,Batches!$A$5:$A$64,0))="","",INDEX(Batches!$G$5:$G$64,MATCH(B26,Batches!$A$5:$A$64,0))),"")))</f>
        <v/>
      </c>
      <c r="U26" s="23"/>
      <c r="V26" s="24"/>
      <c r="W26" s="28" t="str">
        <f aca="false">IF(OR(X26="",X26="Pending"),"",IF(V26&lt;&gt;"",V26,IFERROR(IF(INDEX(Batches!$H$5:$H$64,MATCH(B26,Batches!$A$5:$A$64,0))="","",INDEX(Batches!$H$5:$H$64,MATCH(B26,Batches!$A$5:$A$64,0))),"")))</f>
        <v/>
      </c>
      <c r="X26" s="23"/>
      <c r="Y26" s="23"/>
      <c r="Z26" s="26"/>
      <c r="AA26" s="27" t="str">
        <f aca="false">IF(R26="","",IF(X26="Not accepted",R26,IF(OR(X26="Accepted",X26="Withdrawn by hospital"),IF(X26="Accepted",0,R26),IF(ISNUMBER(Z26),R26-Z26,""))))</f>
        <v/>
      </c>
      <c r="AB26" s="23"/>
      <c r="AC26" s="25"/>
      <c r="AD26" s="23"/>
      <c r="AE26" s="23"/>
      <c r="AF26" s="24"/>
      <c r="AG26" s="23"/>
      <c r="AH26" s="24"/>
      <c r="AI26" s="29" t="str">
        <f aca="false">IF(X26="Not accepted","Maintained",IF(X26="Partially accepted","Partially maintained",IF(X26="Accepted","Reversed",IF(X26="Withdrawn by hospital","Withdrawn by hospital",""))))</f>
        <v/>
      </c>
      <c r="AJ26" s="28" t="str">
        <f aca="false">IF(AI26="","",W26)</f>
        <v/>
      </c>
      <c r="AK26" s="29" t="str">
        <f aca="false">IF(AND(ISNUMBER(T26),ISNUMBER(W26)),W26-T26,"")</f>
        <v/>
      </c>
      <c r="AL26" s="29" t="str">
        <f aca="false">IF(A26="","",SUMIF(Actions!$C$5:$C$1004,A26,Actions!$F$5:$F$1004))</f>
        <v/>
      </c>
      <c r="AM26" s="25"/>
    </row>
    <row r="27" customFormat="false" ht="15" hidden="false" customHeight="false" outlineLevel="0" collapsed="false">
      <c r="A27" s="23"/>
      <c r="B27" s="23"/>
      <c r="C27" s="23"/>
      <c r="D27" s="23"/>
      <c r="E27" s="23"/>
      <c r="F27" s="23"/>
      <c r="G27" s="23"/>
      <c r="H27" s="23"/>
      <c r="I27" s="23"/>
      <c r="J27" s="23"/>
      <c r="K27" s="24"/>
      <c r="L27" s="23"/>
      <c r="M27" s="25"/>
      <c r="N27" s="25"/>
      <c r="O27" s="23"/>
      <c r="P27" s="26"/>
      <c r="Q27" s="26"/>
      <c r="R27" s="27" t="str">
        <f aca="false">IF(AND(ISNUMBER(P27),ISNUMBER(Q27)),P27-Q27,"")</f>
        <v/>
      </c>
      <c r="S27" s="24"/>
      <c r="T27" s="28" t="str">
        <f aca="false">IF(S27&lt;&gt;"",S27,IF(B27="","",IFERROR(IF(INDEX(Batches!$G$5:$G$64,MATCH(B27,Batches!$A$5:$A$64,0))="","",INDEX(Batches!$G$5:$G$64,MATCH(B27,Batches!$A$5:$A$64,0))),"")))</f>
        <v/>
      </c>
      <c r="U27" s="23"/>
      <c r="V27" s="24"/>
      <c r="W27" s="28" t="str">
        <f aca="false">IF(OR(X27="",X27="Pending"),"",IF(V27&lt;&gt;"",V27,IFERROR(IF(INDEX(Batches!$H$5:$H$64,MATCH(B27,Batches!$A$5:$A$64,0))="","",INDEX(Batches!$H$5:$H$64,MATCH(B27,Batches!$A$5:$A$64,0))),"")))</f>
        <v/>
      </c>
      <c r="X27" s="23"/>
      <c r="Y27" s="23"/>
      <c r="Z27" s="26"/>
      <c r="AA27" s="27" t="str">
        <f aca="false">IF(R27="","",IF(X27="Not accepted",R27,IF(OR(X27="Accepted",X27="Withdrawn by hospital"),IF(X27="Accepted",0,R27),IF(ISNUMBER(Z27),R27-Z27,""))))</f>
        <v/>
      </c>
      <c r="AB27" s="23"/>
      <c r="AC27" s="25"/>
      <c r="AD27" s="23"/>
      <c r="AE27" s="23"/>
      <c r="AF27" s="24"/>
      <c r="AG27" s="23"/>
      <c r="AH27" s="24"/>
      <c r="AI27" s="29" t="str">
        <f aca="false">IF(X27="Not accepted","Maintained",IF(X27="Partially accepted","Partially maintained",IF(X27="Accepted","Reversed",IF(X27="Withdrawn by hospital","Withdrawn by hospital",""))))</f>
        <v/>
      </c>
      <c r="AJ27" s="28" t="str">
        <f aca="false">IF(AI27="","",W27)</f>
        <v/>
      </c>
      <c r="AK27" s="29" t="str">
        <f aca="false">IF(AND(ISNUMBER(T27),ISNUMBER(W27)),W27-T27,"")</f>
        <v/>
      </c>
      <c r="AL27" s="29" t="str">
        <f aca="false">IF(A27="","",SUMIF(Actions!$C$5:$C$1004,A27,Actions!$F$5:$F$1004))</f>
        <v/>
      </c>
      <c r="AM27" s="25"/>
    </row>
    <row r="28" customFormat="false" ht="15" hidden="false" customHeight="false" outlineLevel="0" collapsed="false">
      <c r="A28" s="23"/>
      <c r="B28" s="23"/>
      <c r="C28" s="23"/>
      <c r="D28" s="23"/>
      <c r="E28" s="23"/>
      <c r="F28" s="23"/>
      <c r="G28" s="23"/>
      <c r="H28" s="23"/>
      <c r="I28" s="23"/>
      <c r="J28" s="23"/>
      <c r="K28" s="24"/>
      <c r="L28" s="23"/>
      <c r="M28" s="25"/>
      <c r="N28" s="25"/>
      <c r="O28" s="23"/>
      <c r="P28" s="26"/>
      <c r="Q28" s="26"/>
      <c r="R28" s="27" t="str">
        <f aca="false">IF(AND(ISNUMBER(P28),ISNUMBER(Q28)),P28-Q28,"")</f>
        <v/>
      </c>
      <c r="S28" s="24"/>
      <c r="T28" s="28" t="str">
        <f aca="false">IF(S28&lt;&gt;"",S28,IF(B28="","",IFERROR(IF(INDEX(Batches!$G$5:$G$64,MATCH(B28,Batches!$A$5:$A$64,0))="","",INDEX(Batches!$G$5:$G$64,MATCH(B28,Batches!$A$5:$A$64,0))),"")))</f>
        <v/>
      </c>
      <c r="U28" s="23"/>
      <c r="V28" s="24"/>
      <c r="W28" s="28" t="str">
        <f aca="false">IF(OR(X28="",X28="Pending"),"",IF(V28&lt;&gt;"",V28,IFERROR(IF(INDEX(Batches!$H$5:$H$64,MATCH(B28,Batches!$A$5:$A$64,0))="","",INDEX(Batches!$H$5:$H$64,MATCH(B28,Batches!$A$5:$A$64,0))),"")))</f>
        <v/>
      </c>
      <c r="X28" s="23"/>
      <c r="Y28" s="23"/>
      <c r="Z28" s="26"/>
      <c r="AA28" s="27" t="str">
        <f aca="false">IF(R28="","",IF(X28="Not accepted",R28,IF(OR(X28="Accepted",X28="Withdrawn by hospital"),IF(X28="Accepted",0,R28),IF(ISNUMBER(Z28),R28-Z28,""))))</f>
        <v/>
      </c>
      <c r="AB28" s="23"/>
      <c r="AC28" s="25"/>
      <c r="AD28" s="23"/>
      <c r="AE28" s="23"/>
      <c r="AF28" s="24"/>
      <c r="AG28" s="23"/>
      <c r="AH28" s="24"/>
      <c r="AI28" s="29" t="str">
        <f aca="false">IF(X28="Not accepted","Maintained",IF(X28="Partially accepted","Partially maintained",IF(X28="Accepted","Reversed",IF(X28="Withdrawn by hospital","Withdrawn by hospital",""))))</f>
        <v/>
      </c>
      <c r="AJ28" s="28" t="str">
        <f aca="false">IF(AI28="","",W28)</f>
        <v/>
      </c>
      <c r="AK28" s="29" t="str">
        <f aca="false">IF(AND(ISNUMBER(T28),ISNUMBER(W28)),W28-T28,"")</f>
        <v/>
      </c>
      <c r="AL28" s="29" t="str">
        <f aca="false">IF(A28="","",SUMIF(Actions!$C$5:$C$1004,A28,Actions!$F$5:$F$1004))</f>
        <v/>
      </c>
      <c r="AM28" s="25"/>
    </row>
    <row r="29" customFormat="false" ht="15" hidden="false" customHeight="false" outlineLevel="0" collapsed="false">
      <c r="A29" s="23"/>
      <c r="B29" s="23"/>
      <c r="C29" s="23"/>
      <c r="D29" s="23"/>
      <c r="E29" s="23"/>
      <c r="F29" s="23"/>
      <c r="G29" s="23"/>
      <c r="H29" s="23"/>
      <c r="I29" s="23"/>
      <c r="J29" s="23"/>
      <c r="K29" s="24"/>
      <c r="L29" s="23"/>
      <c r="M29" s="25"/>
      <c r="N29" s="25"/>
      <c r="O29" s="23"/>
      <c r="P29" s="26"/>
      <c r="Q29" s="26"/>
      <c r="R29" s="27" t="str">
        <f aca="false">IF(AND(ISNUMBER(P29),ISNUMBER(Q29)),P29-Q29,"")</f>
        <v/>
      </c>
      <c r="S29" s="24"/>
      <c r="T29" s="28" t="str">
        <f aca="false">IF(S29&lt;&gt;"",S29,IF(B29="","",IFERROR(IF(INDEX(Batches!$G$5:$G$64,MATCH(B29,Batches!$A$5:$A$64,0))="","",INDEX(Batches!$G$5:$G$64,MATCH(B29,Batches!$A$5:$A$64,0))),"")))</f>
        <v/>
      </c>
      <c r="U29" s="23"/>
      <c r="V29" s="24"/>
      <c r="W29" s="28" t="str">
        <f aca="false">IF(OR(X29="",X29="Pending"),"",IF(V29&lt;&gt;"",V29,IFERROR(IF(INDEX(Batches!$H$5:$H$64,MATCH(B29,Batches!$A$5:$A$64,0))="","",INDEX(Batches!$H$5:$H$64,MATCH(B29,Batches!$A$5:$A$64,0))),"")))</f>
        <v/>
      </c>
      <c r="X29" s="23"/>
      <c r="Y29" s="23"/>
      <c r="Z29" s="26"/>
      <c r="AA29" s="27" t="str">
        <f aca="false">IF(R29="","",IF(X29="Not accepted",R29,IF(OR(X29="Accepted",X29="Withdrawn by hospital"),IF(X29="Accepted",0,R29),IF(ISNUMBER(Z29),R29-Z29,""))))</f>
        <v/>
      </c>
      <c r="AB29" s="23"/>
      <c r="AC29" s="25"/>
      <c r="AD29" s="23"/>
      <c r="AE29" s="23"/>
      <c r="AF29" s="24"/>
      <c r="AG29" s="23"/>
      <c r="AH29" s="24"/>
      <c r="AI29" s="29" t="str">
        <f aca="false">IF(X29="Not accepted","Maintained",IF(X29="Partially accepted","Partially maintained",IF(X29="Accepted","Reversed",IF(X29="Withdrawn by hospital","Withdrawn by hospital",""))))</f>
        <v/>
      </c>
      <c r="AJ29" s="28" t="str">
        <f aca="false">IF(AI29="","",W29)</f>
        <v/>
      </c>
      <c r="AK29" s="29" t="str">
        <f aca="false">IF(AND(ISNUMBER(T29),ISNUMBER(W29)),W29-T29,"")</f>
        <v/>
      </c>
      <c r="AL29" s="29" t="str">
        <f aca="false">IF(A29="","",SUMIF(Actions!$C$5:$C$1004,A29,Actions!$F$5:$F$1004))</f>
        <v/>
      </c>
      <c r="AM29" s="25"/>
    </row>
    <row r="30" customFormat="false" ht="15" hidden="false" customHeight="false" outlineLevel="0" collapsed="false">
      <c r="A30" s="23"/>
      <c r="B30" s="23"/>
      <c r="C30" s="23"/>
      <c r="D30" s="23"/>
      <c r="E30" s="23"/>
      <c r="F30" s="23"/>
      <c r="G30" s="23"/>
      <c r="H30" s="23"/>
      <c r="I30" s="23"/>
      <c r="J30" s="23"/>
      <c r="K30" s="24"/>
      <c r="L30" s="23"/>
      <c r="M30" s="25"/>
      <c r="N30" s="25"/>
      <c r="O30" s="23"/>
      <c r="P30" s="26"/>
      <c r="Q30" s="26"/>
      <c r="R30" s="27" t="str">
        <f aca="false">IF(AND(ISNUMBER(P30),ISNUMBER(Q30)),P30-Q30,"")</f>
        <v/>
      </c>
      <c r="S30" s="24"/>
      <c r="T30" s="28" t="str">
        <f aca="false">IF(S30&lt;&gt;"",S30,IF(B30="","",IFERROR(IF(INDEX(Batches!$G$5:$G$64,MATCH(B30,Batches!$A$5:$A$64,0))="","",INDEX(Batches!$G$5:$G$64,MATCH(B30,Batches!$A$5:$A$64,0))),"")))</f>
        <v/>
      </c>
      <c r="U30" s="23"/>
      <c r="V30" s="24"/>
      <c r="W30" s="28" t="str">
        <f aca="false">IF(OR(X30="",X30="Pending"),"",IF(V30&lt;&gt;"",V30,IFERROR(IF(INDEX(Batches!$H$5:$H$64,MATCH(B30,Batches!$A$5:$A$64,0))="","",INDEX(Batches!$H$5:$H$64,MATCH(B30,Batches!$A$5:$A$64,0))),"")))</f>
        <v/>
      </c>
      <c r="X30" s="23"/>
      <c r="Y30" s="23"/>
      <c r="Z30" s="26"/>
      <c r="AA30" s="27" t="str">
        <f aca="false">IF(R30="","",IF(X30="Not accepted",R30,IF(OR(X30="Accepted",X30="Withdrawn by hospital"),IF(X30="Accepted",0,R30),IF(ISNUMBER(Z30),R30-Z30,""))))</f>
        <v/>
      </c>
      <c r="AB30" s="23"/>
      <c r="AC30" s="25"/>
      <c r="AD30" s="23"/>
      <c r="AE30" s="23"/>
      <c r="AF30" s="24"/>
      <c r="AG30" s="23"/>
      <c r="AH30" s="24"/>
      <c r="AI30" s="29" t="str">
        <f aca="false">IF(X30="Not accepted","Maintained",IF(X30="Partially accepted","Partially maintained",IF(X30="Accepted","Reversed",IF(X30="Withdrawn by hospital","Withdrawn by hospital",""))))</f>
        <v/>
      </c>
      <c r="AJ30" s="28" t="str">
        <f aca="false">IF(AI30="","",W30)</f>
        <v/>
      </c>
      <c r="AK30" s="29" t="str">
        <f aca="false">IF(AND(ISNUMBER(T30),ISNUMBER(W30)),W30-T30,"")</f>
        <v/>
      </c>
      <c r="AL30" s="29" t="str">
        <f aca="false">IF(A30="","",SUMIF(Actions!$C$5:$C$1004,A30,Actions!$F$5:$F$1004))</f>
        <v/>
      </c>
      <c r="AM30" s="25"/>
    </row>
    <row r="31" customFormat="false" ht="15" hidden="false" customHeight="false" outlineLevel="0" collapsed="false">
      <c r="A31" s="23"/>
      <c r="B31" s="23"/>
      <c r="C31" s="23"/>
      <c r="D31" s="23"/>
      <c r="E31" s="23"/>
      <c r="F31" s="23"/>
      <c r="G31" s="23"/>
      <c r="H31" s="23"/>
      <c r="I31" s="23"/>
      <c r="J31" s="23"/>
      <c r="K31" s="24"/>
      <c r="L31" s="23"/>
      <c r="M31" s="25"/>
      <c r="N31" s="25"/>
      <c r="O31" s="23"/>
      <c r="P31" s="26"/>
      <c r="Q31" s="26"/>
      <c r="R31" s="27" t="str">
        <f aca="false">IF(AND(ISNUMBER(P31),ISNUMBER(Q31)),P31-Q31,"")</f>
        <v/>
      </c>
      <c r="S31" s="24"/>
      <c r="T31" s="28" t="str">
        <f aca="false">IF(S31&lt;&gt;"",S31,IF(B31="","",IFERROR(IF(INDEX(Batches!$G$5:$G$64,MATCH(B31,Batches!$A$5:$A$64,0))="","",INDEX(Batches!$G$5:$G$64,MATCH(B31,Batches!$A$5:$A$64,0))),"")))</f>
        <v/>
      </c>
      <c r="U31" s="23"/>
      <c r="V31" s="24"/>
      <c r="W31" s="28" t="str">
        <f aca="false">IF(OR(X31="",X31="Pending"),"",IF(V31&lt;&gt;"",V31,IFERROR(IF(INDEX(Batches!$H$5:$H$64,MATCH(B31,Batches!$A$5:$A$64,0))="","",INDEX(Batches!$H$5:$H$64,MATCH(B31,Batches!$A$5:$A$64,0))),"")))</f>
        <v/>
      </c>
      <c r="X31" s="23"/>
      <c r="Y31" s="23"/>
      <c r="Z31" s="26"/>
      <c r="AA31" s="27" t="str">
        <f aca="false">IF(R31="","",IF(X31="Not accepted",R31,IF(OR(X31="Accepted",X31="Withdrawn by hospital"),IF(X31="Accepted",0,R31),IF(ISNUMBER(Z31),R31-Z31,""))))</f>
        <v/>
      </c>
      <c r="AB31" s="23"/>
      <c r="AC31" s="25"/>
      <c r="AD31" s="23"/>
      <c r="AE31" s="23"/>
      <c r="AF31" s="24"/>
      <c r="AG31" s="23"/>
      <c r="AH31" s="24"/>
      <c r="AI31" s="29" t="str">
        <f aca="false">IF(X31="Not accepted","Maintained",IF(X31="Partially accepted","Partially maintained",IF(X31="Accepted","Reversed",IF(X31="Withdrawn by hospital","Withdrawn by hospital",""))))</f>
        <v/>
      </c>
      <c r="AJ31" s="28" t="str">
        <f aca="false">IF(AI31="","",W31)</f>
        <v/>
      </c>
      <c r="AK31" s="29" t="str">
        <f aca="false">IF(AND(ISNUMBER(T31),ISNUMBER(W31)),W31-T31,"")</f>
        <v/>
      </c>
      <c r="AL31" s="29" t="str">
        <f aca="false">IF(A31="","",SUMIF(Actions!$C$5:$C$1004,A31,Actions!$F$5:$F$1004))</f>
        <v/>
      </c>
      <c r="AM31" s="25"/>
    </row>
    <row r="32" customFormat="false" ht="15" hidden="false" customHeight="false" outlineLevel="0" collapsed="false">
      <c r="A32" s="23"/>
      <c r="B32" s="23"/>
      <c r="C32" s="23"/>
      <c r="D32" s="23"/>
      <c r="E32" s="23"/>
      <c r="F32" s="23"/>
      <c r="G32" s="23"/>
      <c r="H32" s="23"/>
      <c r="I32" s="23"/>
      <c r="J32" s="23"/>
      <c r="K32" s="24"/>
      <c r="L32" s="23"/>
      <c r="M32" s="25"/>
      <c r="N32" s="25"/>
      <c r="O32" s="23"/>
      <c r="P32" s="26"/>
      <c r="Q32" s="26"/>
      <c r="R32" s="27" t="str">
        <f aca="false">IF(AND(ISNUMBER(P32),ISNUMBER(Q32)),P32-Q32,"")</f>
        <v/>
      </c>
      <c r="S32" s="24"/>
      <c r="T32" s="28" t="str">
        <f aca="false">IF(S32&lt;&gt;"",S32,IF(B32="","",IFERROR(IF(INDEX(Batches!$G$5:$G$64,MATCH(B32,Batches!$A$5:$A$64,0))="","",INDEX(Batches!$G$5:$G$64,MATCH(B32,Batches!$A$5:$A$64,0))),"")))</f>
        <v/>
      </c>
      <c r="U32" s="23"/>
      <c r="V32" s="24"/>
      <c r="W32" s="28" t="str">
        <f aca="false">IF(OR(X32="",X32="Pending"),"",IF(V32&lt;&gt;"",V32,IFERROR(IF(INDEX(Batches!$H$5:$H$64,MATCH(B32,Batches!$A$5:$A$64,0))="","",INDEX(Batches!$H$5:$H$64,MATCH(B32,Batches!$A$5:$A$64,0))),"")))</f>
        <v/>
      </c>
      <c r="X32" s="23"/>
      <c r="Y32" s="23"/>
      <c r="Z32" s="26"/>
      <c r="AA32" s="27" t="str">
        <f aca="false">IF(R32="","",IF(X32="Not accepted",R32,IF(OR(X32="Accepted",X32="Withdrawn by hospital"),IF(X32="Accepted",0,R32),IF(ISNUMBER(Z32),R32-Z32,""))))</f>
        <v/>
      </c>
      <c r="AB32" s="23"/>
      <c r="AC32" s="25"/>
      <c r="AD32" s="23"/>
      <c r="AE32" s="23"/>
      <c r="AF32" s="24"/>
      <c r="AG32" s="23"/>
      <c r="AH32" s="24"/>
      <c r="AI32" s="29" t="str">
        <f aca="false">IF(X32="Not accepted","Maintained",IF(X32="Partially accepted","Partially maintained",IF(X32="Accepted","Reversed",IF(X32="Withdrawn by hospital","Withdrawn by hospital",""))))</f>
        <v/>
      </c>
      <c r="AJ32" s="28" t="str">
        <f aca="false">IF(AI32="","",W32)</f>
        <v/>
      </c>
      <c r="AK32" s="29" t="str">
        <f aca="false">IF(AND(ISNUMBER(T32),ISNUMBER(W32)),W32-T32,"")</f>
        <v/>
      </c>
      <c r="AL32" s="29" t="str">
        <f aca="false">IF(A32="","",SUMIF(Actions!$C$5:$C$1004,A32,Actions!$F$5:$F$1004))</f>
        <v/>
      </c>
      <c r="AM32" s="25"/>
    </row>
    <row r="33" customFormat="false" ht="15" hidden="false" customHeight="false" outlineLevel="0" collapsed="false">
      <c r="A33" s="23"/>
      <c r="B33" s="23"/>
      <c r="C33" s="23"/>
      <c r="D33" s="23"/>
      <c r="E33" s="23"/>
      <c r="F33" s="23"/>
      <c r="G33" s="23"/>
      <c r="H33" s="23"/>
      <c r="I33" s="23"/>
      <c r="J33" s="23"/>
      <c r="K33" s="24"/>
      <c r="L33" s="23"/>
      <c r="M33" s="25"/>
      <c r="N33" s="25"/>
      <c r="O33" s="23"/>
      <c r="P33" s="26"/>
      <c r="Q33" s="26"/>
      <c r="R33" s="27" t="str">
        <f aca="false">IF(AND(ISNUMBER(P33),ISNUMBER(Q33)),P33-Q33,"")</f>
        <v/>
      </c>
      <c r="S33" s="24"/>
      <c r="T33" s="28" t="str">
        <f aca="false">IF(S33&lt;&gt;"",S33,IF(B33="","",IFERROR(IF(INDEX(Batches!$G$5:$G$64,MATCH(B33,Batches!$A$5:$A$64,0))="","",INDEX(Batches!$G$5:$G$64,MATCH(B33,Batches!$A$5:$A$64,0))),"")))</f>
        <v/>
      </c>
      <c r="U33" s="23"/>
      <c r="V33" s="24"/>
      <c r="W33" s="28" t="str">
        <f aca="false">IF(OR(X33="",X33="Pending"),"",IF(V33&lt;&gt;"",V33,IFERROR(IF(INDEX(Batches!$H$5:$H$64,MATCH(B33,Batches!$A$5:$A$64,0))="","",INDEX(Batches!$H$5:$H$64,MATCH(B33,Batches!$A$5:$A$64,0))),"")))</f>
        <v/>
      </c>
      <c r="X33" s="23"/>
      <c r="Y33" s="23"/>
      <c r="Z33" s="26"/>
      <c r="AA33" s="27" t="str">
        <f aca="false">IF(R33="","",IF(X33="Not accepted",R33,IF(OR(X33="Accepted",X33="Withdrawn by hospital"),IF(X33="Accepted",0,R33),IF(ISNUMBER(Z33),R33-Z33,""))))</f>
        <v/>
      </c>
      <c r="AB33" s="23"/>
      <c r="AC33" s="25"/>
      <c r="AD33" s="23"/>
      <c r="AE33" s="23"/>
      <c r="AF33" s="24"/>
      <c r="AG33" s="23"/>
      <c r="AH33" s="24"/>
      <c r="AI33" s="29" t="str">
        <f aca="false">IF(X33="Not accepted","Maintained",IF(X33="Partially accepted","Partially maintained",IF(X33="Accepted","Reversed",IF(X33="Withdrawn by hospital","Withdrawn by hospital",""))))</f>
        <v/>
      </c>
      <c r="AJ33" s="28" t="str">
        <f aca="false">IF(AI33="","",W33)</f>
        <v/>
      </c>
      <c r="AK33" s="29" t="str">
        <f aca="false">IF(AND(ISNUMBER(T33),ISNUMBER(W33)),W33-T33,"")</f>
        <v/>
      </c>
      <c r="AL33" s="29" t="str">
        <f aca="false">IF(A33="","",SUMIF(Actions!$C$5:$C$1004,A33,Actions!$F$5:$F$1004))</f>
        <v/>
      </c>
      <c r="AM33" s="25"/>
    </row>
    <row r="34" customFormat="false" ht="15" hidden="false" customHeight="false" outlineLevel="0" collapsed="false">
      <c r="A34" s="23"/>
      <c r="B34" s="23"/>
      <c r="C34" s="23"/>
      <c r="D34" s="23"/>
      <c r="E34" s="23"/>
      <c r="F34" s="23"/>
      <c r="G34" s="23"/>
      <c r="H34" s="23"/>
      <c r="I34" s="23"/>
      <c r="J34" s="23"/>
      <c r="K34" s="24"/>
      <c r="L34" s="23"/>
      <c r="M34" s="25"/>
      <c r="N34" s="25"/>
      <c r="O34" s="23"/>
      <c r="P34" s="26"/>
      <c r="Q34" s="26"/>
      <c r="R34" s="27" t="str">
        <f aca="false">IF(AND(ISNUMBER(P34),ISNUMBER(Q34)),P34-Q34,"")</f>
        <v/>
      </c>
      <c r="S34" s="24"/>
      <c r="T34" s="28" t="str">
        <f aca="false">IF(S34&lt;&gt;"",S34,IF(B34="","",IFERROR(IF(INDEX(Batches!$G$5:$G$64,MATCH(B34,Batches!$A$5:$A$64,0))="","",INDEX(Batches!$G$5:$G$64,MATCH(B34,Batches!$A$5:$A$64,0))),"")))</f>
        <v/>
      </c>
      <c r="U34" s="23"/>
      <c r="V34" s="24"/>
      <c r="W34" s="28" t="str">
        <f aca="false">IF(OR(X34="",X34="Pending"),"",IF(V34&lt;&gt;"",V34,IFERROR(IF(INDEX(Batches!$H$5:$H$64,MATCH(B34,Batches!$A$5:$A$64,0))="","",INDEX(Batches!$H$5:$H$64,MATCH(B34,Batches!$A$5:$A$64,0))),"")))</f>
        <v/>
      </c>
      <c r="X34" s="23"/>
      <c r="Y34" s="23"/>
      <c r="Z34" s="26"/>
      <c r="AA34" s="27" t="str">
        <f aca="false">IF(R34="","",IF(X34="Not accepted",R34,IF(OR(X34="Accepted",X34="Withdrawn by hospital"),IF(X34="Accepted",0,R34),IF(ISNUMBER(Z34),R34-Z34,""))))</f>
        <v/>
      </c>
      <c r="AB34" s="23"/>
      <c r="AC34" s="25"/>
      <c r="AD34" s="23"/>
      <c r="AE34" s="23"/>
      <c r="AF34" s="24"/>
      <c r="AG34" s="23"/>
      <c r="AH34" s="24"/>
      <c r="AI34" s="29" t="str">
        <f aca="false">IF(X34="Not accepted","Maintained",IF(X34="Partially accepted","Partially maintained",IF(X34="Accepted","Reversed",IF(X34="Withdrawn by hospital","Withdrawn by hospital",""))))</f>
        <v/>
      </c>
      <c r="AJ34" s="28" t="str">
        <f aca="false">IF(AI34="","",W34)</f>
        <v/>
      </c>
      <c r="AK34" s="29" t="str">
        <f aca="false">IF(AND(ISNUMBER(T34),ISNUMBER(W34)),W34-T34,"")</f>
        <v/>
      </c>
      <c r="AL34" s="29" t="str">
        <f aca="false">IF(A34="","",SUMIF(Actions!$C$5:$C$1004,A34,Actions!$F$5:$F$1004))</f>
        <v/>
      </c>
      <c r="AM34" s="25"/>
    </row>
    <row r="35" customFormat="false" ht="15" hidden="false" customHeight="false" outlineLevel="0" collapsed="false">
      <c r="A35" s="23"/>
      <c r="B35" s="23"/>
      <c r="C35" s="23"/>
      <c r="D35" s="23"/>
      <c r="E35" s="23"/>
      <c r="F35" s="23"/>
      <c r="G35" s="23"/>
      <c r="H35" s="23"/>
      <c r="I35" s="23"/>
      <c r="J35" s="23"/>
      <c r="K35" s="24"/>
      <c r="L35" s="23"/>
      <c r="M35" s="25"/>
      <c r="N35" s="25"/>
      <c r="O35" s="23"/>
      <c r="P35" s="26"/>
      <c r="Q35" s="26"/>
      <c r="R35" s="27" t="str">
        <f aca="false">IF(AND(ISNUMBER(P35),ISNUMBER(Q35)),P35-Q35,"")</f>
        <v/>
      </c>
      <c r="S35" s="24"/>
      <c r="T35" s="28" t="str">
        <f aca="false">IF(S35&lt;&gt;"",S35,IF(B35="","",IFERROR(IF(INDEX(Batches!$G$5:$G$64,MATCH(B35,Batches!$A$5:$A$64,0))="","",INDEX(Batches!$G$5:$G$64,MATCH(B35,Batches!$A$5:$A$64,0))),"")))</f>
        <v/>
      </c>
      <c r="U35" s="23"/>
      <c r="V35" s="24"/>
      <c r="W35" s="28" t="str">
        <f aca="false">IF(OR(X35="",X35="Pending"),"",IF(V35&lt;&gt;"",V35,IFERROR(IF(INDEX(Batches!$H$5:$H$64,MATCH(B35,Batches!$A$5:$A$64,0))="","",INDEX(Batches!$H$5:$H$64,MATCH(B35,Batches!$A$5:$A$64,0))),"")))</f>
        <v/>
      </c>
      <c r="X35" s="23"/>
      <c r="Y35" s="23"/>
      <c r="Z35" s="26"/>
      <c r="AA35" s="27" t="str">
        <f aca="false">IF(R35="","",IF(X35="Not accepted",R35,IF(OR(X35="Accepted",X35="Withdrawn by hospital"),IF(X35="Accepted",0,R35),IF(ISNUMBER(Z35),R35-Z35,""))))</f>
        <v/>
      </c>
      <c r="AB35" s="23"/>
      <c r="AC35" s="25"/>
      <c r="AD35" s="23"/>
      <c r="AE35" s="23"/>
      <c r="AF35" s="24"/>
      <c r="AG35" s="23"/>
      <c r="AH35" s="24"/>
      <c r="AI35" s="29" t="str">
        <f aca="false">IF(X35="Not accepted","Maintained",IF(X35="Partially accepted","Partially maintained",IF(X35="Accepted","Reversed",IF(X35="Withdrawn by hospital","Withdrawn by hospital",""))))</f>
        <v/>
      </c>
      <c r="AJ35" s="28" t="str">
        <f aca="false">IF(AI35="","",W35)</f>
        <v/>
      </c>
      <c r="AK35" s="29" t="str">
        <f aca="false">IF(AND(ISNUMBER(T35),ISNUMBER(W35)),W35-T35,"")</f>
        <v/>
      </c>
      <c r="AL35" s="29" t="str">
        <f aca="false">IF(A35="","",SUMIF(Actions!$C$5:$C$1004,A35,Actions!$F$5:$F$1004))</f>
        <v/>
      </c>
      <c r="AM35" s="25"/>
    </row>
    <row r="36" customFormat="false" ht="15" hidden="false" customHeight="false" outlineLevel="0" collapsed="false">
      <c r="A36" s="23"/>
      <c r="B36" s="23"/>
      <c r="C36" s="23"/>
      <c r="D36" s="23"/>
      <c r="E36" s="23"/>
      <c r="F36" s="23"/>
      <c r="G36" s="23"/>
      <c r="H36" s="23"/>
      <c r="I36" s="23"/>
      <c r="J36" s="23"/>
      <c r="K36" s="24"/>
      <c r="L36" s="23"/>
      <c r="M36" s="25"/>
      <c r="N36" s="25"/>
      <c r="O36" s="23"/>
      <c r="P36" s="26"/>
      <c r="Q36" s="26"/>
      <c r="R36" s="27" t="str">
        <f aca="false">IF(AND(ISNUMBER(P36),ISNUMBER(Q36)),P36-Q36,"")</f>
        <v/>
      </c>
      <c r="S36" s="24"/>
      <c r="T36" s="28" t="str">
        <f aca="false">IF(S36&lt;&gt;"",S36,IF(B36="","",IFERROR(IF(INDEX(Batches!$G$5:$G$64,MATCH(B36,Batches!$A$5:$A$64,0))="","",INDEX(Batches!$G$5:$G$64,MATCH(B36,Batches!$A$5:$A$64,0))),"")))</f>
        <v/>
      </c>
      <c r="U36" s="23"/>
      <c r="V36" s="24"/>
      <c r="W36" s="28" t="str">
        <f aca="false">IF(OR(X36="",X36="Pending"),"",IF(V36&lt;&gt;"",V36,IFERROR(IF(INDEX(Batches!$H$5:$H$64,MATCH(B36,Batches!$A$5:$A$64,0))="","",INDEX(Batches!$H$5:$H$64,MATCH(B36,Batches!$A$5:$A$64,0))),"")))</f>
        <v/>
      </c>
      <c r="X36" s="23"/>
      <c r="Y36" s="23"/>
      <c r="Z36" s="26"/>
      <c r="AA36" s="27" t="str">
        <f aca="false">IF(R36="","",IF(X36="Not accepted",R36,IF(OR(X36="Accepted",X36="Withdrawn by hospital"),IF(X36="Accepted",0,R36),IF(ISNUMBER(Z36),R36-Z36,""))))</f>
        <v/>
      </c>
      <c r="AB36" s="23"/>
      <c r="AC36" s="25"/>
      <c r="AD36" s="23"/>
      <c r="AE36" s="23"/>
      <c r="AF36" s="24"/>
      <c r="AG36" s="23"/>
      <c r="AH36" s="24"/>
      <c r="AI36" s="29" t="str">
        <f aca="false">IF(X36="Not accepted","Maintained",IF(X36="Partially accepted","Partially maintained",IF(X36="Accepted","Reversed",IF(X36="Withdrawn by hospital","Withdrawn by hospital",""))))</f>
        <v/>
      </c>
      <c r="AJ36" s="28" t="str">
        <f aca="false">IF(AI36="","",W36)</f>
        <v/>
      </c>
      <c r="AK36" s="29" t="str">
        <f aca="false">IF(AND(ISNUMBER(T36),ISNUMBER(W36)),W36-T36,"")</f>
        <v/>
      </c>
      <c r="AL36" s="29" t="str">
        <f aca="false">IF(A36="","",SUMIF(Actions!$C$5:$C$1004,A36,Actions!$F$5:$F$1004))</f>
        <v/>
      </c>
      <c r="AM36" s="25"/>
    </row>
    <row r="37" customFormat="false" ht="15" hidden="false" customHeight="false" outlineLevel="0" collapsed="false">
      <c r="A37" s="23"/>
      <c r="B37" s="23"/>
      <c r="C37" s="23"/>
      <c r="D37" s="23"/>
      <c r="E37" s="23"/>
      <c r="F37" s="23"/>
      <c r="G37" s="23"/>
      <c r="H37" s="23"/>
      <c r="I37" s="23"/>
      <c r="J37" s="23"/>
      <c r="K37" s="24"/>
      <c r="L37" s="23"/>
      <c r="M37" s="25"/>
      <c r="N37" s="25"/>
      <c r="O37" s="23"/>
      <c r="P37" s="26"/>
      <c r="Q37" s="26"/>
      <c r="R37" s="27" t="str">
        <f aca="false">IF(AND(ISNUMBER(P37),ISNUMBER(Q37)),P37-Q37,"")</f>
        <v/>
      </c>
      <c r="S37" s="24"/>
      <c r="T37" s="28" t="str">
        <f aca="false">IF(S37&lt;&gt;"",S37,IF(B37="","",IFERROR(IF(INDEX(Batches!$G$5:$G$64,MATCH(B37,Batches!$A$5:$A$64,0))="","",INDEX(Batches!$G$5:$G$64,MATCH(B37,Batches!$A$5:$A$64,0))),"")))</f>
        <v/>
      </c>
      <c r="U37" s="23"/>
      <c r="V37" s="24"/>
      <c r="W37" s="28" t="str">
        <f aca="false">IF(OR(X37="",X37="Pending"),"",IF(V37&lt;&gt;"",V37,IFERROR(IF(INDEX(Batches!$H$5:$H$64,MATCH(B37,Batches!$A$5:$A$64,0))="","",INDEX(Batches!$H$5:$H$64,MATCH(B37,Batches!$A$5:$A$64,0))),"")))</f>
        <v/>
      </c>
      <c r="X37" s="23"/>
      <c r="Y37" s="23"/>
      <c r="Z37" s="26"/>
      <c r="AA37" s="27" t="str">
        <f aca="false">IF(R37="","",IF(X37="Not accepted",R37,IF(OR(X37="Accepted",X37="Withdrawn by hospital"),IF(X37="Accepted",0,R37),IF(ISNUMBER(Z37),R37-Z37,""))))</f>
        <v/>
      </c>
      <c r="AB37" s="23"/>
      <c r="AC37" s="25"/>
      <c r="AD37" s="23"/>
      <c r="AE37" s="23"/>
      <c r="AF37" s="24"/>
      <c r="AG37" s="23"/>
      <c r="AH37" s="24"/>
      <c r="AI37" s="29" t="str">
        <f aca="false">IF(X37="Not accepted","Maintained",IF(X37="Partially accepted","Partially maintained",IF(X37="Accepted","Reversed",IF(X37="Withdrawn by hospital","Withdrawn by hospital",""))))</f>
        <v/>
      </c>
      <c r="AJ37" s="28" t="str">
        <f aca="false">IF(AI37="","",W37)</f>
        <v/>
      </c>
      <c r="AK37" s="29" t="str">
        <f aca="false">IF(AND(ISNUMBER(T37),ISNUMBER(W37)),W37-T37,"")</f>
        <v/>
      </c>
      <c r="AL37" s="29" t="str">
        <f aca="false">IF(A37="","",SUMIF(Actions!$C$5:$C$1004,A37,Actions!$F$5:$F$1004))</f>
        <v/>
      </c>
      <c r="AM37" s="25"/>
    </row>
    <row r="38" customFormat="false" ht="15" hidden="false" customHeight="false" outlineLevel="0" collapsed="false">
      <c r="A38" s="23"/>
      <c r="B38" s="23"/>
      <c r="C38" s="23"/>
      <c r="D38" s="23"/>
      <c r="E38" s="23"/>
      <c r="F38" s="23"/>
      <c r="G38" s="23"/>
      <c r="H38" s="23"/>
      <c r="I38" s="23"/>
      <c r="J38" s="23"/>
      <c r="K38" s="24"/>
      <c r="L38" s="23"/>
      <c r="M38" s="25"/>
      <c r="N38" s="25"/>
      <c r="O38" s="23"/>
      <c r="P38" s="26"/>
      <c r="Q38" s="26"/>
      <c r="R38" s="27" t="str">
        <f aca="false">IF(AND(ISNUMBER(P38),ISNUMBER(Q38)),P38-Q38,"")</f>
        <v/>
      </c>
      <c r="S38" s="24"/>
      <c r="T38" s="28" t="str">
        <f aca="false">IF(S38&lt;&gt;"",S38,IF(B38="","",IFERROR(IF(INDEX(Batches!$G$5:$G$64,MATCH(B38,Batches!$A$5:$A$64,0))="","",INDEX(Batches!$G$5:$G$64,MATCH(B38,Batches!$A$5:$A$64,0))),"")))</f>
        <v/>
      </c>
      <c r="U38" s="23"/>
      <c r="V38" s="24"/>
      <c r="W38" s="28" t="str">
        <f aca="false">IF(OR(X38="",X38="Pending"),"",IF(V38&lt;&gt;"",V38,IFERROR(IF(INDEX(Batches!$H$5:$H$64,MATCH(B38,Batches!$A$5:$A$64,0))="","",INDEX(Batches!$H$5:$H$64,MATCH(B38,Batches!$A$5:$A$64,0))),"")))</f>
        <v/>
      </c>
      <c r="X38" s="23"/>
      <c r="Y38" s="23"/>
      <c r="Z38" s="26"/>
      <c r="AA38" s="27" t="str">
        <f aca="false">IF(R38="","",IF(X38="Not accepted",R38,IF(OR(X38="Accepted",X38="Withdrawn by hospital"),IF(X38="Accepted",0,R38),IF(ISNUMBER(Z38),R38-Z38,""))))</f>
        <v/>
      </c>
      <c r="AB38" s="23"/>
      <c r="AC38" s="25"/>
      <c r="AD38" s="23"/>
      <c r="AE38" s="23"/>
      <c r="AF38" s="24"/>
      <c r="AG38" s="23"/>
      <c r="AH38" s="24"/>
      <c r="AI38" s="29" t="str">
        <f aca="false">IF(X38="Not accepted","Maintained",IF(X38="Partially accepted","Partially maintained",IF(X38="Accepted","Reversed",IF(X38="Withdrawn by hospital","Withdrawn by hospital",""))))</f>
        <v/>
      </c>
      <c r="AJ38" s="28" t="str">
        <f aca="false">IF(AI38="","",W38)</f>
        <v/>
      </c>
      <c r="AK38" s="29" t="str">
        <f aca="false">IF(AND(ISNUMBER(T38),ISNUMBER(W38)),W38-T38,"")</f>
        <v/>
      </c>
      <c r="AL38" s="29" t="str">
        <f aca="false">IF(A38="","",SUMIF(Actions!$C$5:$C$1004,A38,Actions!$F$5:$F$1004))</f>
        <v/>
      </c>
      <c r="AM38" s="25"/>
    </row>
    <row r="39" customFormat="false" ht="15" hidden="false" customHeight="false" outlineLevel="0" collapsed="false">
      <c r="A39" s="23"/>
      <c r="B39" s="23"/>
      <c r="C39" s="23"/>
      <c r="D39" s="23"/>
      <c r="E39" s="23"/>
      <c r="F39" s="23"/>
      <c r="G39" s="23"/>
      <c r="H39" s="23"/>
      <c r="I39" s="23"/>
      <c r="J39" s="23"/>
      <c r="K39" s="24"/>
      <c r="L39" s="23"/>
      <c r="M39" s="25"/>
      <c r="N39" s="25"/>
      <c r="O39" s="23"/>
      <c r="P39" s="26"/>
      <c r="Q39" s="26"/>
      <c r="R39" s="27" t="str">
        <f aca="false">IF(AND(ISNUMBER(P39),ISNUMBER(Q39)),P39-Q39,"")</f>
        <v/>
      </c>
      <c r="S39" s="24"/>
      <c r="T39" s="28" t="str">
        <f aca="false">IF(S39&lt;&gt;"",S39,IF(B39="","",IFERROR(IF(INDEX(Batches!$G$5:$G$64,MATCH(B39,Batches!$A$5:$A$64,0))="","",INDEX(Batches!$G$5:$G$64,MATCH(B39,Batches!$A$5:$A$64,0))),"")))</f>
        <v/>
      </c>
      <c r="U39" s="23"/>
      <c r="V39" s="24"/>
      <c r="W39" s="28" t="str">
        <f aca="false">IF(OR(X39="",X39="Pending"),"",IF(V39&lt;&gt;"",V39,IFERROR(IF(INDEX(Batches!$H$5:$H$64,MATCH(B39,Batches!$A$5:$A$64,0))="","",INDEX(Batches!$H$5:$H$64,MATCH(B39,Batches!$A$5:$A$64,0))),"")))</f>
        <v/>
      </c>
      <c r="X39" s="23"/>
      <c r="Y39" s="23"/>
      <c r="Z39" s="26"/>
      <c r="AA39" s="27" t="str">
        <f aca="false">IF(R39="","",IF(X39="Not accepted",R39,IF(OR(X39="Accepted",X39="Withdrawn by hospital"),IF(X39="Accepted",0,R39),IF(ISNUMBER(Z39),R39-Z39,""))))</f>
        <v/>
      </c>
      <c r="AB39" s="23"/>
      <c r="AC39" s="25"/>
      <c r="AD39" s="23"/>
      <c r="AE39" s="23"/>
      <c r="AF39" s="24"/>
      <c r="AG39" s="23"/>
      <c r="AH39" s="24"/>
      <c r="AI39" s="29" t="str">
        <f aca="false">IF(X39="Not accepted","Maintained",IF(X39="Partially accepted","Partially maintained",IF(X39="Accepted","Reversed",IF(X39="Withdrawn by hospital","Withdrawn by hospital",""))))</f>
        <v/>
      </c>
      <c r="AJ39" s="28" t="str">
        <f aca="false">IF(AI39="","",W39)</f>
        <v/>
      </c>
      <c r="AK39" s="29" t="str">
        <f aca="false">IF(AND(ISNUMBER(T39),ISNUMBER(W39)),W39-T39,"")</f>
        <v/>
      </c>
      <c r="AL39" s="29" t="str">
        <f aca="false">IF(A39="","",SUMIF(Actions!$C$5:$C$1004,A39,Actions!$F$5:$F$1004))</f>
        <v/>
      </c>
      <c r="AM39" s="25"/>
    </row>
    <row r="40" customFormat="false" ht="15" hidden="false" customHeight="false" outlineLevel="0" collapsed="false">
      <c r="A40" s="23"/>
      <c r="B40" s="23"/>
      <c r="C40" s="23"/>
      <c r="D40" s="23"/>
      <c r="E40" s="23"/>
      <c r="F40" s="23"/>
      <c r="G40" s="23"/>
      <c r="H40" s="23"/>
      <c r="I40" s="23"/>
      <c r="J40" s="23"/>
      <c r="K40" s="24"/>
      <c r="L40" s="23"/>
      <c r="M40" s="25"/>
      <c r="N40" s="25"/>
      <c r="O40" s="23"/>
      <c r="P40" s="26"/>
      <c r="Q40" s="26"/>
      <c r="R40" s="27" t="str">
        <f aca="false">IF(AND(ISNUMBER(P40),ISNUMBER(Q40)),P40-Q40,"")</f>
        <v/>
      </c>
      <c r="S40" s="24"/>
      <c r="T40" s="28" t="str">
        <f aca="false">IF(S40&lt;&gt;"",S40,IF(B40="","",IFERROR(IF(INDEX(Batches!$G$5:$G$64,MATCH(B40,Batches!$A$5:$A$64,0))="","",INDEX(Batches!$G$5:$G$64,MATCH(B40,Batches!$A$5:$A$64,0))),"")))</f>
        <v/>
      </c>
      <c r="U40" s="23"/>
      <c r="V40" s="24"/>
      <c r="W40" s="28" t="str">
        <f aca="false">IF(OR(X40="",X40="Pending"),"",IF(V40&lt;&gt;"",V40,IFERROR(IF(INDEX(Batches!$H$5:$H$64,MATCH(B40,Batches!$A$5:$A$64,0))="","",INDEX(Batches!$H$5:$H$64,MATCH(B40,Batches!$A$5:$A$64,0))),"")))</f>
        <v/>
      </c>
      <c r="X40" s="23"/>
      <c r="Y40" s="23"/>
      <c r="Z40" s="26"/>
      <c r="AA40" s="27" t="str">
        <f aca="false">IF(R40="","",IF(X40="Not accepted",R40,IF(OR(X40="Accepted",X40="Withdrawn by hospital"),IF(X40="Accepted",0,R40),IF(ISNUMBER(Z40),R40-Z40,""))))</f>
        <v/>
      </c>
      <c r="AB40" s="23"/>
      <c r="AC40" s="25"/>
      <c r="AD40" s="23"/>
      <c r="AE40" s="23"/>
      <c r="AF40" s="24"/>
      <c r="AG40" s="23"/>
      <c r="AH40" s="24"/>
      <c r="AI40" s="29" t="str">
        <f aca="false">IF(X40="Not accepted","Maintained",IF(X40="Partially accepted","Partially maintained",IF(X40="Accepted","Reversed",IF(X40="Withdrawn by hospital","Withdrawn by hospital",""))))</f>
        <v/>
      </c>
      <c r="AJ40" s="28" t="str">
        <f aca="false">IF(AI40="","",W40)</f>
        <v/>
      </c>
      <c r="AK40" s="29" t="str">
        <f aca="false">IF(AND(ISNUMBER(T40),ISNUMBER(W40)),W40-T40,"")</f>
        <v/>
      </c>
      <c r="AL40" s="29" t="str">
        <f aca="false">IF(A40="","",SUMIF(Actions!$C$5:$C$1004,A40,Actions!$F$5:$F$1004))</f>
        <v/>
      </c>
      <c r="AM40" s="25"/>
    </row>
    <row r="41" customFormat="false" ht="15" hidden="false" customHeight="false" outlineLevel="0" collapsed="false">
      <c r="A41" s="23"/>
      <c r="B41" s="23"/>
      <c r="C41" s="23"/>
      <c r="D41" s="23"/>
      <c r="E41" s="23"/>
      <c r="F41" s="23"/>
      <c r="G41" s="23"/>
      <c r="H41" s="23"/>
      <c r="I41" s="23"/>
      <c r="J41" s="23"/>
      <c r="K41" s="24"/>
      <c r="L41" s="23"/>
      <c r="M41" s="25"/>
      <c r="N41" s="25"/>
      <c r="O41" s="23"/>
      <c r="P41" s="26"/>
      <c r="Q41" s="26"/>
      <c r="R41" s="27" t="str">
        <f aca="false">IF(AND(ISNUMBER(P41),ISNUMBER(Q41)),P41-Q41,"")</f>
        <v/>
      </c>
      <c r="S41" s="24"/>
      <c r="T41" s="28" t="str">
        <f aca="false">IF(S41&lt;&gt;"",S41,IF(B41="","",IFERROR(IF(INDEX(Batches!$G$5:$G$64,MATCH(B41,Batches!$A$5:$A$64,0))="","",INDEX(Batches!$G$5:$G$64,MATCH(B41,Batches!$A$5:$A$64,0))),"")))</f>
        <v/>
      </c>
      <c r="U41" s="23"/>
      <c r="V41" s="24"/>
      <c r="W41" s="28" t="str">
        <f aca="false">IF(OR(X41="",X41="Pending"),"",IF(V41&lt;&gt;"",V41,IFERROR(IF(INDEX(Batches!$H$5:$H$64,MATCH(B41,Batches!$A$5:$A$64,0))="","",INDEX(Batches!$H$5:$H$64,MATCH(B41,Batches!$A$5:$A$64,0))),"")))</f>
        <v/>
      </c>
      <c r="X41" s="23"/>
      <c r="Y41" s="23"/>
      <c r="Z41" s="26"/>
      <c r="AA41" s="27" t="str">
        <f aca="false">IF(R41="","",IF(X41="Not accepted",R41,IF(OR(X41="Accepted",X41="Withdrawn by hospital"),IF(X41="Accepted",0,R41),IF(ISNUMBER(Z41),R41-Z41,""))))</f>
        <v/>
      </c>
      <c r="AB41" s="23"/>
      <c r="AC41" s="25"/>
      <c r="AD41" s="23"/>
      <c r="AE41" s="23"/>
      <c r="AF41" s="24"/>
      <c r="AG41" s="23"/>
      <c r="AH41" s="24"/>
      <c r="AI41" s="29" t="str">
        <f aca="false">IF(X41="Not accepted","Maintained",IF(X41="Partially accepted","Partially maintained",IF(X41="Accepted","Reversed",IF(X41="Withdrawn by hospital","Withdrawn by hospital",""))))</f>
        <v/>
      </c>
      <c r="AJ41" s="28" t="str">
        <f aca="false">IF(AI41="","",W41)</f>
        <v/>
      </c>
      <c r="AK41" s="29" t="str">
        <f aca="false">IF(AND(ISNUMBER(T41),ISNUMBER(W41)),W41-T41,"")</f>
        <v/>
      </c>
      <c r="AL41" s="29" t="str">
        <f aca="false">IF(A41="","",SUMIF(Actions!$C$5:$C$1004,A41,Actions!$F$5:$F$1004))</f>
        <v/>
      </c>
      <c r="AM41" s="25"/>
    </row>
    <row r="42" customFormat="false" ht="15" hidden="false" customHeight="false" outlineLevel="0" collapsed="false">
      <c r="A42" s="23"/>
      <c r="B42" s="23"/>
      <c r="C42" s="23"/>
      <c r="D42" s="23"/>
      <c r="E42" s="23"/>
      <c r="F42" s="23"/>
      <c r="G42" s="23"/>
      <c r="H42" s="23"/>
      <c r="I42" s="23"/>
      <c r="J42" s="23"/>
      <c r="K42" s="24"/>
      <c r="L42" s="23"/>
      <c r="M42" s="25"/>
      <c r="N42" s="25"/>
      <c r="O42" s="23"/>
      <c r="P42" s="26"/>
      <c r="Q42" s="26"/>
      <c r="R42" s="27" t="str">
        <f aca="false">IF(AND(ISNUMBER(P42),ISNUMBER(Q42)),P42-Q42,"")</f>
        <v/>
      </c>
      <c r="S42" s="24"/>
      <c r="T42" s="28" t="str">
        <f aca="false">IF(S42&lt;&gt;"",S42,IF(B42="","",IFERROR(IF(INDEX(Batches!$G$5:$G$64,MATCH(B42,Batches!$A$5:$A$64,0))="","",INDEX(Batches!$G$5:$G$64,MATCH(B42,Batches!$A$5:$A$64,0))),"")))</f>
        <v/>
      </c>
      <c r="U42" s="23"/>
      <c r="V42" s="24"/>
      <c r="W42" s="28" t="str">
        <f aca="false">IF(OR(X42="",X42="Pending"),"",IF(V42&lt;&gt;"",V42,IFERROR(IF(INDEX(Batches!$H$5:$H$64,MATCH(B42,Batches!$A$5:$A$64,0))="","",INDEX(Batches!$H$5:$H$64,MATCH(B42,Batches!$A$5:$A$64,0))),"")))</f>
        <v/>
      </c>
      <c r="X42" s="23"/>
      <c r="Y42" s="23"/>
      <c r="Z42" s="26"/>
      <c r="AA42" s="27" t="str">
        <f aca="false">IF(R42="","",IF(X42="Not accepted",R42,IF(OR(X42="Accepted",X42="Withdrawn by hospital"),IF(X42="Accepted",0,R42),IF(ISNUMBER(Z42),R42-Z42,""))))</f>
        <v/>
      </c>
      <c r="AB42" s="23"/>
      <c r="AC42" s="25"/>
      <c r="AD42" s="23"/>
      <c r="AE42" s="23"/>
      <c r="AF42" s="24"/>
      <c r="AG42" s="23"/>
      <c r="AH42" s="24"/>
      <c r="AI42" s="29" t="str">
        <f aca="false">IF(X42="Not accepted","Maintained",IF(X42="Partially accepted","Partially maintained",IF(X42="Accepted","Reversed",IF(X42="Withdrawn by hospital","Withdrawn by hospital",""))))</f>
        <v/>
      </c>
      <c r="AJ42" s="28" t="str">
        <f aca="false">IF(AI42="","",W42)</f>
        <v/>
      </c>
      <c r="AK42" s="29" t="str">
        <f aca="false">IF(AND(ISNUMBER(T42),ISNUMBER(W42)),W42-T42,"")</f>
        <v/>
      </c>
      <c r="AL42" s="29" t="str">
        <f aca="false">IF(A42="","",SUMIF(Actions!$C$5:$C$1004,A42,Actions!$F$5:$F$1004))</f>
        <v/>
      </c>
      <c r="AM42" s="25"/>
    </row>
    <row r="43" customFormat="false" ht="15" hidden="false" customHeight="false" outlineLevel="0" collapsed="false">
      <c r="A43" s="23"/>
      <c r="B43" s="23"/>
      <c r="C43" s="23"/>
      <c r="D43" s="23"/>
      <c r="E43" s="23"/>
      <c r="F43" s="23"/>
      <c r="G43" s="23"/>
      <c r="H43" s="23"/>
      <c r="I43" s="23"/>
      <c r="J43" s="23"/>
      <c r="K43" s="24"/>
      <c r="L43" s="23"/>
      <c r="M43" s="25"/>
      <c r="N43" s="25"/>
      <c r="O43" s="23"/>
      <c r="P43" s="26"/>
      <c r="Q43" s="26"/>
      <c r="R43" s="27" t="str">
        <f aca="false">IF(AND(ISNUMBER(P43),ISNUMBER(Q43)),P43-Q43,"")</f>
        <v/>
      </c>
      <c r="S43" s="24"/>
      <c r="T43" s="28" t="str">
        <f aca="false">IF(S43&lt;&gt;"",S43,IF(B43="","",IFERROR(IF(INDEX(Batches!$G$5:$G$64,MATCH(B43,Batches!$A$5:$A$64,0))="","",INDEX(Batches!$G$5:$G$64,MATCH(B43,Batches!$A$5:$A$64,0))),"")))</f>
        <v/>
      </c>
      <c r="U43" s="23"/>
      <c r="V43" s="24"/>
      <c r="W43" s="28" t="str">
        <f aca="false">IF(OR(X43="",X43="Pending"),"",IF(V43&lt;&gt;"",V43,IFERROR(IF(INDEX(Batches!$H$5:$H$64,MATCH(B43,Batches!$A$5:$A$64,0))="","",INDEX(Batches!$H$5:$H$64,MATCH(B43,Batches!$A$5:$A$64,0))),"")))</f>
        <v/>
      </c>
      <c r="X43" s="23"/>
      <c r="Y43" s="23"/>
      <c r="Z43" s="26"/>
      <c r="AA43" s="27" t="str">
        <f aca="false">IF(R43="","",IF(X43="Not accepted",R43,IF(OR(X43="Accepted",X43="Withdrawn by hospital"),IF(X43="Accepted",0,R43),IF(ISNUMBER(Z43),R43-Z43,""))))</f>
        <v/>
      </c>
      <c r="AB43" s="23"/>
      <c r="AC43" s="25"/>
      <c r="AD43" s="23"/>
      <c r="AE43" s="23"/>
      <c r="AF43" s="24"/>
      <c r="AG43" s="23"/>
      <c r="AH43" s="24"/>
      <c r="AI43" s="29" t="str">
        <f aca="false">IF(X43="Not accepted","Maintained",IF(X43="Partially accepted","Partially maintained",IF(X43="Accepted","Reversed",IF(X43="Withdrawn by hospital","Withdrawn by hospital",""))))</f>
        <v/>
      </c>
      <c r="AJ43" s="28" t="str">
        <f aca="false">IF(AI43="","",W43)</f>
        <v/>
      </c>
      <c r="AK43" s="29" t="str">
        <f aca="false">IF(AND(ISNUMBER(T43),ISNUMBER(W43)),W43-T43,"")</f>
        <v/>
      </c>
      <c r="AL43" s="29" t="str">
        <f aca="false">IF(A43="","",SUMIF(Actions!$C$5:$C$1004,A43,Actions!$F$5:$F$1004))</f>
        <v/>
      </c>
      <c r="AM43" s="25"/>
    </row>
    <row r="44" customFormat="false" ht="15" hidden="false" customHeight="false" outlineLevel="0" collapsed="false">
      <c r="A44" s="23"/>
      <c r="B44" s="23"/>
      <c r="C44" s="23"/>
      <c r="D44" s="23"/>
      <c r="E44" s="23"/>
      <c r="F44" s="23"/>
      <c r="G44" s="23"/>
      <c r="H44" s="23"/>
      <c r="I44" s="23"/>
      <c r="J44" s="23"/>
      <c r="K44" s="24"/>
      <c r="L44" s="23"/>
      <c r="M44" s="25"/>
      <c r="N44" s="25"/>
      <c r="O44" s="23"/>
      <c r="P44" s="26"/>
      <c r="Q44" s="26"/>
      <c r="R44" s="27" t="str">
        <f aca="false">IF(AND(ISNUMBER(P44),ISNUMBER(Q44)),P44-Q44,"")</f>
        <v/>
      </c>
      <c r="S44" s="24"/>
      <c r="T44" s="28" t="str">
        <f aca="false">IF(S44&lt;&gt;"",S44,IF(B44="","",IFERROR(IF(INDEX(Batches!$G$5:$G$64,MATCH(B44,Batches!$A$5:$A$64,0))="","",INDEX(Batches!$G$5:$G$64,MATCH(B44,Batches!$A$5:$A$64,0))),"")))</f>
        <v/>
      </c>
      <c r="U44" s="23"/>
      <c r="V44" s="24"/>
      <c r="W44" s="28" t="str">
        <f aca="false">IF(OR(X44="",X44="Pending"),"",IF(V44&lt;&gt;"",V44,IFERROR(IF(INDEX(Batches!$H$5:$H$64,MATCH(B44,Batches!$A$5:$A$64,0))="","",INDEX(Batches!$H$5:$H$64,MATCH(B44,Batches!$A$5:$A$64,0))),"")))</f>
        <v/>
      </c>
      <c r="X44" s="23"/>
      <c r="Y44" s="23"/>
      <c r="Z44" s="26"/>
      <c r="AA44" s="27" t="str">
        <f aca="false">IF(R44="","",IF(X44="Not accepted",R44,IF(OR(X44="Accepted",X44="Withdrawn by hospital"),IF(X44="Accepted",0,R44),IF(ISNUMBER(Z44),R44-Z44,""))))</f>
        <v/>
      </c>
      <c r="AB44" s="23"/>
      <c r="AC44" s="25"/>
      <c r="AD44" s="23"/>
      <c r="AE44" s="23"/>
      <c r="AF44" s="24"/>
      <c r="AG44" s="23"/>
      <c r="AH44" s="24"/>
      <c r="AI44" s="29" t="str">
        <f aca="false">IF(X44="Not accepted","Maintained",IF(X44="Partially accepted","Partially maintained",IF(X44="Accepted","Reversed",IF(X44="Withdrawn by hospital","Withdrawn by hospital",""))))</f>
        <v/>
      </c>
      <c r="AJ44" s="28" t="str">
        <f aca="false">IF(AI44="","",W44)</f>
        <v/>
      </c>
      <c r="AK44" s="29" t="str">
        <f aca="false">IF(AND(ISNUMBER(T44),ISNUMBER(W44)),W44-T44,"")</f>
        <v/>
      </c>
      <c r="AL44" s="29" t="str">
        <f aca="false">IF(A44="","",SUMIF(Actions!$C$5:$C$1004,A44,Actions!$F$5:$F$1004))</f>
        <v/>
      </c>
      <c r="AM44" s="25"/>
    </row>
    <row r="45" customFormat="false" ht="15" hidden="false" customHeight="false" outlineLevel="0" collapsed="false">
      <c r="A45" s="23"/>
      <c r="B45" s="23"/>
      <c r="C45" s="23"/>
      <c r="D45" s="23"/>
      <c r="E45" s="23"/>
      <c r="F45" s="23"/>
      <c r="G45" s="23"/>
      <c r="H45" s="23"/>
      <c r="I45" s="23"/>
      <c r="J45" s="23"/>
      <c r="K45" s="24"/>
      <c r="L45" s="23"/>
      <c r="M45" s="25"/>
      <c r="N45" s="25"/>
      <c r="O45" s="23"/>
      <c r="P45" s="26"/>
      <c r="Q45" s="26"/>
      <c r="R45" s="27" t="str">
        <f aca="false">IF(AND(ISNUMBER(P45),ISNUMBER(Q45)),P45-Q45,"")</f>
        <v/>
      </c>
      <c r="S45" s="24"/>
      <c r="T45" s="28" t="str">
        <f aca="false">IF(S45&lt;&gt;"",S45,IF(B45="","",IFERROR(IF(INDEX(Batches!$G$5:$G$64,MATCH(B45,Batches!$A$5:$A$64,0))="","",INDEX(Batches!$G$5:$G$64,MATCH(B45,Batches!$A$5:$A$64,0))),"")))</f>
        <v/>
      </c>
      <c r="U45" s="23"/>
      <c r="V45" s="24"/>
      <c r="W45" s="28" t="str">
        <f aca="false">IF(OR(X45="",X45="Pending"),"",IF(V45&lt;&gt;"",V45,IFERROR(IF(INDEX(Batches!$H$5:$H$64,MATCH(B45,Batches!$A$5:$A$64,0))="","",INDEX(Batches!$H$5:$H$64,MATCH(B45,Batches!$A$5:$A$64,0))),"")))</f>
        <v/>
      </c>
      <c r="X45" s="23"/>
      <c r="Y45" s="23"/>
      <c r="Z45" s="26"/>
      <c r="AA45" s="27" t="str">
        <f aca="false">IF(R45="","",IF(X45="Not accepted",R45,IF(OR(X45="Accepted",X45="Withdrawn by hospital"),IF(X45="Accepted",0,R45),IF(ISNUMBER(Z45),R45-Z45,""))))</f>
        <v/>
      </c>
      <c r="AB45" s="23"/>
      <c r="AC45" s="25"/>
      <c r="AD45" s="23"/>
      <c r="AE45" s="23"/>
      <c r="AF45" s="24"/>
      <c r="AG45" s="23"/>
      <c r="AH45" s="24"/>
      <c r="AI45" s="29" t="str">
        <f aca="false">IF(X45="Not accepted","Maintained",IF(X45="Partially accepted","Partially maintained",IF(X45="Accepted","Reversed",IF(X45="Withdrawn by hospital","Withdrawn by hospital",""))))</f>
        <v/>
      </c>
      <c r="AJ45" s="28" t="str">
        <f aca="false">IF(AI45="","",W45)</f>
        <v/>
      </c>
      <c r="AK45" s="29" t="str">
        <f aca="false">IF(AND(ISNUMBER(T45),ISNUMBER(W45)),W45-T45,"")</f>
        <v/>
      </c>
      <c r="AL45" s="29" t="str">
        <f aca="false">IF(A45="","",SUMIF(Actions!$C$5:$C$1004,A45,Actions!$F$5:$F$1004))</f>
        <v/>
      </c>
      <c r="AM45" s="25"/>
    </row>
    <row r="46" customFormat="false" ht="15" hidden="false" customHeight="false" outlineLevel="0" collapsed="false">
      <c r="A46" s="23"/>
      <c r="B46" s="23"/>
      <c r="C46" s="23"/>
      <c r="D46" s="23"/>
      <c r="E46" s="23"/>
      <c r="F46" s="23"/>
      <c r="G46" s="23"/>
      <c r="H46" s="23"/>
      <c r="I46" s="23"/>
      <c r="J46" s="23"/>
      <c r="K46" s="24"/>
      <c r="L46" s="23"/>
      <c r="M46" s="25"/>
      <c r="N46" s="25"/>
      <c r="O46" s="23"/>
      <c r="P46" s="26"/>
      <c r="Q46" s="26"/>
      <c r="R46" s="27" t="str">
        <f aca="false">IF(AND(ISNUMBER(P46),ISNUMBER(Q46)),P46-Q46,"")</f>
        <v/>
      </c>
      <c r="S46" s="24"/>
      <c r="T46" s="28" t="str">
        <f aca="false">IF(S46&lt;&gt;"",S46,IF(B46="","",IFERROR(IF(INDEX(Batches!$G$5:$G$64,MATCH(B46,Batches!$A$5:$A$64,0))="","",INDEX(Batches!$G$5:$G$64,MATCH(B46,Batches!$A$5:$A$64,0))),"")))</f>
        <v/>
      </c>
      <c r="U46" s="23"/>
      <c r="V46" s="24"/>
      <c r="W46" s="28" t="str">
        <f aca="false">IF(OR(X46="",X46="Pending"),"",IF(V46&lt;&gt;"",V46,IFERROR(IF(INDEX(Batches!$H$5:$H$64,MATCH(B46,Batches!$A$5:$A$64,0))="","",INDEX(Batches!$H$5:$H$64,MATCH(B46,Batches!$A$5:$A$64,0))),"")))</f>
        <v/>
      </c>
      <c r="X46" s="23"/>
      <c r="Y46" s="23"/>
      <c r="Z46" s="26"/>
      <c r="AA46" s="27" t="str">
        <f aca="false">IF(R46="","",IF(X46="Not accepted",R46,IF(OR(X46="Accepted",X46="Withdrawn by hospital"),IF(X46="Accepted",0,R46),IF(ISNUMBER(Z46),R46-Z46,""))))</f>
        <v/>
      </c>
      <c r="AB46" s="23"/>
      <c r="AC46" s="25"/>
      <c r="AD46" s="23"/>
      <c r="AE46" s="23"/>
      <c r="AF46" s="24"/>
      <c r="AG46" s="23"/>
      <c r="AH46" s="24"/>
      <c r="AI46" s="29" t="str">
        <f aca="false">IF(X46="Not accepted","Maintained",IF(X46="Partially accepted","Partially maintained",IF(X46="Accepted","Reversed",IF(X46="Withdrawn by hospital","Withdrawn by hospital",""))))</f>
        <v/>
      </c>
      <c r="AJ46" s="28" t="str">
        <f aca="false">IF(AI46="","",W46)</f>
        <v/>
      </c>
      <c r="AK46" s="29" t="str">
        <f aca="false">IF(AND(ISNUMBER(T46),ISNUMBER(W46)),W46-T46,"")</f>
        <v/>
      </c>
      <c r="AL46" s="29" t="str">
        <f aca="false">IF(A46="","",SUMIF(Actions!$C$5:$C$1004,A46,Actions!$F$5:$F$1004))</f>
        <v/>
      </c>
      <c r="AM46" s="25"/>
    </row>
    <row r="47" customFormat="false" ht="15" hidden="false" customHeight="false" outlineLevel="0" collapsed="false">
      <c r="A47" s="23"/>
      <c r="B47" s="23"/>
      <c r="C47" s="23"/>
      <c r="D47" s="23"/>
      <c r="E47" s="23"/>
      <c r="F47" s="23"/>
      <c r="G47" s="23"/>
      <c r="H47" s="23"/>
      <c r="I47" s="23"/>
      <c r="J47" s="23"/>
      <c r="K47" s="24"/>
      <c r="L47" s="23"/>
      <c r="M47" s="25"/>
      <c r="N47" s="25"/>
      <c r="O47" s="23"/>
      <c r="P47" s="26"/>
      <c r="Q47" s="26"/>
      <c r="R47" s="27" t="str">
        <f aca="false">IF(AND(ISNUMBER(P47),ISNUMBER(Q47)),P47-Q47,"")</f>
        <v/>
      </c>
      <c r="S47" s="24"/>
      <c r="T47" s="28" t="str">
        <f aca="false">IF(S47&lt;&gt;"",S47,IF(B47="","",IFERROR(IF(INDEX(Batches!$G$5:$G$64,MATCH(B47,Batches!$A$5:$A$64,0))="","",INDEX(Batches!$G$5:$G$64,MATCH(B47,Batches!$A$5:$A$64,0))),"")))</f>
        <v/>
      </c>
      <c r="U47" s="23"/>
      <c r="V47" s="24"/>
      <c r="W47" s="28" t="str">
        <f aca="false">IF(OR(X47="",X47="Pending"),"",IF(V47&lt;&gt;"",V47,IFERROR(IF(INDEX(Batches!$H$5:$H$64,MATCH(B47,Batches!$A$5:$A$64,0))="","",INDEX(Batches!$H$5:$H$64,MATCH(B47,Batches!$A$5:$A$64,0))),"")))</f>
        <v/>
      </c>
      <c r="X47" s="23"/>
      <c r="Y47" s="23"/>
      <c r="Z47" s="26"/>
      <c r="AA47" s="27" t="str">
        <f aca="false">IF(R47="","",IF(X47="Not accepted",R47,IF(OR(X47="Accepted",X47="Withdrawn by hospital"),IF(X47="Accepted",0,R47),IF(ISNUMBER(Z47),R47-Z47,""))))</f>
        <v/>
      </c>
      <c r="AB47" s="23"/>
      <c r="AC47" s="25"/>
      <c r="AD47" s="23"/>
      <c r="AE47" s="23"/>
      <c r="AF47" s="24"/>
      <c r="AG47" s="23"/>
      <c r="AH47" s="24"/>
      <c r="AI47" s="29" t="str">
        <f aca="false">IF(X47="Not accepted","Maintained",IF(X47="Partially accepted","Partially maintained",IF(X47="Accepted","Reversed",IF(X47="Withdrawn by hospital","Withdrawn by hospital",""))))</f>
        <v/>
      </c>
      <c r="AJ47" s="28" t="str">
        <f aca="false">IF(AI47="","",W47)</f>
        <v/>
      </c>
      <c r="AK47" s="29" t="str">
        <f aca="false">IF(AND(ISNUMBER(T47),ISNUMBER(W47)),W47-T47,"")</f>
        <v/>
      </c>
      <c r="AL47" s="29" t="str">
        <f aca="false">IF(A47="","",SUMIF(Actions!$C$5:$C$1004,A47,Actions!$F$5:$F$1004))</f>
        <v/>
      </c>
      <c r="AM47" s="25"/>
    </row>
    <row r="48" customFormat="false" ht="15" hidden="false" customHeight="false" outlineLevel="0" collapsed="false">
      <c r="A48" s="23"/>
      <c r="B48" s="23"/>
      <c r="C48" s="23"/>
      <c r="D48" s="23"/>
      <c r="E48" s="23"/>
      <c r="F48" s="23"/>
      <c r="G48" s="23"/>
      <c r="H48" s="23"/>
      <c r="I48" s="23"/>
      <c r="J48" s="23"/>
      <c r="K48" s="24"/>
      <c r="L48" s="23"/>
      <c r="M48" s="25"/>
      <c r="N48" s="25"/>
      <c r="O48" s="23"/>
      <c r="P48" s="26"/>
      <c r="Q48" s="26"/>
      <c r="R48" s="27" t="str">
        <f aca="false">IF(AND(ISNUMBER(P48),ISNUMBER(Q48)),P48-Q48,"")</f>
        <v/>
      </c>
      <c r="S48" s="24"/>
      <c r="T48" s="28" t="str">
        <f aca="false">IF(S48&lt;&gt;"",S48,IF(B48="","",IFERROR(IF(INDEX(Batches!$G$5:$G$64,MATCH(B48,Batches!$A$5:$A$64,0))="","",INDEX(Batches!$G$5:$G$64,MATCH(B48,Batches!$A$5:$A$64,0))),"")))</f>
        <v/>
      </c>
      <c r="U48" s="23"/>
      <c r="V48" s="24"/>
      <c r="W48" s="28" t="str">
        <f aca="false">IF(OR(X48="",X48="Pending"),"",IF(V48&lt;&gt;"",V48,IFERROR(IF(INDEX(Batches!$H$5:$H$64,MATCH(B48,Batches!$A$5:$A$64,0))="","",INDEX(Batches!$H$5:$H$64,MATCH(B48,Batches!$A$5:$A$64,0))),"")))</f>
        <v/>
      </c>
      <c r="X48" s="23"/>
      <c r="Y48" s="23"/>
      <c r="Z48" s="26"/>
      <c r="AA48" s="27" t="str">
        <f aca="false">IF(R48="","",IF(X48="Not accepted",R48,IF(OR(X48="Accepted",X48="Withdrawn by hospital"),IF(X48="Accepted",0,R48),IF(ISNUMBER(Z48),R48-Z48,""))))</f>
        <v/>
      </c>
      <c r="AB48" s="23"/>
      <c r="AC48" s="25"/>
      <c r="AD48" s="23"/>
      <c r="AE48" s="23"/>
      <c r="AF48" s="24"/>
      <c r="AG48" s="23"/>
      <c r="AH48" s="24"/>
      <c r="AI48" s="29" t="str">
        <f aca="false">IF(X48="Not accepted","Maintained",IF(X48="Partially accepted","Partially maintained",IF(X48="Accepted","Reversed",IF(X48="Withdrawn by hospital","Withdrawn by hospital",""))))</f>
        <v/>
      </c>
      <c r="AJ48" s="28" t="str">
        <f aca="false">IF(AI48="","",W48)</f>
        <v/>
      </c>
      <c r="AK48" s="29" t="str">
        <f aca="false">IF(AND(ISNUMBER(T48),ISNUMBER(W48)),W48-T48,"")</f>
        <v/>
      </c>
      <c r="AL48" s="29" t="str">
        <f aca="false">IF(A48="","",SUMIF(Actions!$C$5:$C$1004,A48,Actions!$F$5:$F$1004))</f>
        <v/>
      </c>
      <c r="AM48" s="25"/>
    </row>
    <row r="49" customFormat="false" ht="15" hidden="false" customHeight="false" outlineLevel="0" collapsed="false">
      <c r="A49" s="23"/>
      <c r="B49" s="23"/>
      <c r="C49" s="23"/>
      <c r="D49" s="23"/>
      <c r="E49" s="23"/>
      <c r="F49" s="23"/>
      <c r="G49" s="23"/>
      <c r="H49" s="23"/>
      <c r="I49" s="23"/>
      <c r="J49" s="23"/>
      <c r="K49" s="24"/>
      <c r="L49" s="23"/>
      <c r="M49" s="25"/>
      <c r="N49" s="25"/>
      <c r="O49" s="23"/>
      <c r="P49" s="26"/>
      <c r="Q49" s="26"/>
      <c r="R49" s="27" t="str">
        <f aca="false">IF(AND(ISNUMBER(P49),ISNUMBER(Q49)),P49-Q49,"")</f>
        <v/>
      </c>
      <c r="S49" s="24"/>
      <c r="T49" s="28" t="str">
        <f aca="false">IF(S49&lt;&gt;"",S49,IF(B49="","",IFERROR(IF(INDEX(Batches!$G$5:$G$64,MATCH(B49,Batches!$A$5:$A$64,0))="","",INDEX(Batches!$G$5:$G$64,MATCH(B49,Batches!$A$5:$A$64,0))),"")))</f>
        <v/>
      </c>
      <c r="U49" s="23"/>
      <c r="V49" s="24"/>
      <c r="W49" s="28" t="str">
        <f aca="false">IF(OR(X49="",X49="Pending"),"",IF(V49&lt;&gt;"",V49,IFERROR(IF(INDEX(Batches!$H$5:$H$64,MATCH(B49,Batches!$A$5:$A$64,0))="","",INDEX(Batches!$H$5:$H$64,MATCH(B49,Batches!$A$5:$A$64,0))),"")))</f>
        <v/>
      </c>
      <c r="X49" s="23"/>
      <c r="Y49" s="23"/>
      <c r="Z49" s="26"/>
      <c r="AA49" s="27" t="str">
        <f aca="false">IF(R49="","",IF(X49="Not accepted",R49,IF(OR(X49="Accepted",X49="Withdrawn by hospital"),IF(X49="Accepted",0,R49),IF(ISNUMBER(Z49),R49-Z49,""))))</f>
        <v/>
      </c>
      <c r="AB49" s="23"/>
      <c r="AC49" s="25"/>
      <c r="AD49" s="23"/>
      <c r="AE49" s="23"/>
      <c r="AF49" s="24"/>
      <c r="AG49" s="23"/>
      <c r="AH49" s="24"/>
      <c r="AI49" s="29" t="str">
        <f aca="false">IF(X49="Not accepted","Maintained",IF(X49="Partially accepted","Partially maintained",IF(X49="Accepted","Reversed",IF(X49="Withdrawn by hospital","Withdrawn by hospital",""))))</f>
        <v/>
      </c>
      <c r="AJ49" s="28" t="str">
        <f aca="false">IF(AI49="","",W49)</f>
        <v/>
      </c>
      <c r="AK49" s="29" t="str">
        <f aca="false">IF(AND(ISNUMBER(T49),ISNUMBER(W49)),W49-T49,"")</f>
        <v/>
      </c>
      <c r="AL49" s="29" t="str">
        <f aca="false">IF(A49="","",SUMIF(Actions!$C$5:$C$1004,A49,Actions!$F$5:$F$1004))</f>
        <v/>
      </c>
      <c r="AM49" s="25"/>
    </row>
    <row r="50" customFormat="false" ht="15" hidden="false" customHeight="false" outlineLevel="0" collapsed="false">
      <c r="A50" s="23"/>
      <c r="B50" s="23"/>
      <c r="C50" s="23"/>
      <c r="D50" s="23"/>
      <c r="E50" s="23"/>
      <c r="F50" s="23"/>
      <c r="G50" s="23"/>
      <c r="H50" s="23"/>
      <c r="I50" s="23"/>
      <c r="J50" s="23"/>
      <c r="K50" s="24"/>
      <c r="L50" s="23"/>
      <c r="M50" s="25"/>
      <c r="N50" s="25"/>
      <c r="O50" s="23"/>
      <c r="P50" s="26"/>
      <c r="Q50" s="26"/>
      <c r="R50" s="27" t="str">
        <f aca="false">IF(AND(ISNUMBER(P50),ISNUMBER(Q50)),P50-Q50,"")</f>
        <v/>
      </c>
      <c r="S50" s="24"/>
      <c r="T50" s="28" t="str">
        <f aca="false">IF(S50&lt;&gt;"",S50,IF(B50="","",IFERROR(IF(INDEX(Batches!$G$5:$G$64,MATCH(B50,Batches!$A$5:$A$64,0))="","",INDEX(Batches!$G$5:$G$64,MATCH(B50,Batches!$A$5:$A$64,0))),"")))</f>
        <v/>
      </c>
      <c r="U50" s="23"/>
      <c r="V50" s="24"/>
      <c r="W50" s="28" t="str">
        <f aca="false">IF(OR(X50="",X50="Pending"),"",IF(V50&lt;&gt;"",V50,IFERROR(IF(INDEX(Batches!$H$5:$H$64,MATCH(B50,Batches!$A$5:$A$64,0))="","",INDEX(Batches!$H$5:$H$64,MATCH(B50,Batches!$A$5:$A$64,0))),"")))</f>
        <v/>
      </c>
      <c r="X50" s="23"/>
      <c r="Y50" s="23"/>
      <c r="Z50" s="26"/>
      <c r="AA50" s="27" t="str">
        <f aca="false">IF(R50="","",IF(X50="Not accepted",R50,IF(OR(X50="Accepted",X50="Withdrawn by hospital"),IF(X50="Accepted",0,R50),IF(ISNUMBER(Z50),R50-Z50,""))))</f>
        <v/>
      </c>
      <c r="AB50" s="23"/>
      <c r="AC50" s="25"/>
      <c r="AD50" s="23"/>
      <c r="AE50" s="23"/>
      <c r="AF50" s="24"/>
      <c r="AG50" s="23"/>
      <c r="AH50" s="24"/>
      <c r="AI50" s="29" t="str">
        <f aca="false">IF(X50="Not accepted","Maintained",IF(X50="Partially accepted","Partially maintained",IF(X50="Accepted","Reversed",IF(X50="Withdrawn by hospital","Withdrawn by hospital",""))))</f>
        <v/>
      </c>
      <c r="AJ50" s="28" t="str">
        <f aca="false">IF(AI50="","",W50)</f>
        <v/>
      </c>
      <c r="AK50" s="29" t="str">
        <f aca="false">IF(AND(ISNUMBER(T50),ISNUMBER(W50)),W50-T50,"")</f>
        <v/>
      </c>
      <c r="AL50" s="29" t="str">
        <f aca="false">IF(A50="","",SUMIF(Actions!$C$5:$C$1004,A50,Actions!$F$5:$F$1004))</f>
        <v/>
      </c>
      <c r="AM50" s="25"/>
    </row>
    <row r="51" customFormat="false" ht="15" hidden="false" customHeight="false" outlineLevel="0" collapsed="false">
      <c r="A51" s="23"/>
      <c r="B51" s="23"/>
      <c r="C51" s="23"/>
      <c r="D51" s="23"/>
      <c r="E51" s="23"/>
      <c r="F51" s="23"/>
      <c r="G51" s="23"/>
      <c r="H51" s="23"/>
      <c r="I51" s="23"/>
      <c r="J51" s="23"/>
      <c r="K51" s="24"/>
      <c r="L51" s="23"/>
      <c r="M51" s="25"/>
      <c r="N51" s="25"/>
      <c r="O51" s="23"/>
      <c r="P51" s="26"/>
      <c r="Q51" s="26"/>
      <c r="R51" s="27" t="str">
        <f aca="false">IF(AND(ISNUMBER(P51),ISNUMBER(Q51)),P51-Q51,"")</f>
        <v/>
      </c>
      <c r="S51" s="24"/>
      <c r="T51" s="28" t="str">
        <f aca="false">IF(S51&lt;&gt;"",S51,IF(B51="","",IFERROR(IF(INDEX(Batches!$G$5:$G$64,MATCH(B51,Batches!$A$5:$A$64,0))="","",INDEX(Batches!$G$5:$G$64,MATCH(B51,Batches!$A$5:$A$64,0))),"")))</f>
        <v/>
      </c>
      <c r="U51" s="23"/>
      <c r="V51" s="24"/>
      <c r="W51" s="28" t="str">
        <f aca="false">IF(OR(X51="",X51="Pending"),"",IF(V51&lt;&gt;"",V51,IFERROR(IF(INDEX(Batches!$H$5:$H$64,MATCH(B51,Batches!$A$5:$A$64,0))="","",INDEX(Batches!$H$5:$H$64,MATCH(B51,Batches!$A$5:$A$64,0))),"")))</f>
        <v/>
      </c>
      <c r="X51" s="23"/>
      <c r="Y51" s="23"/>
      <c r="Z51" s="26"/>
      <c r="AA51" s="27" t="str">
        <f aca="false">IF(R51="","",IF(X51="Not accepted",R51,IF(OR(X51="Accepted",X51="Withdrawn by hospital"),IF(X51="Accepted",0,R51),IF(ISNUMBER(Z51),R51-Z51,""))))</f>
        <v/>
      </c>
      <c r="AB51" s="23"/>
      <c r="AC51" s="25"/>
      <c r="AD51" s="23"/>
      <c r="AE51" s="23"/>
      <c r="AF51" s="24"/>
      <c r="AG51" s="23"/>
      <c r="AH51" s="24"/>
      <c r="AI51" s="29" t="str">
        <f aca="false">IF(X51="Not accepted","Maintained",IF(X51="Partially accepted","Partially maintained",IF(X51="Accepted","Reversed",IF(X51="Withdrawn by hospital","Withdrawn by hospital",""))))</f>
        <v/>
      </c>
      <c r="AJ51" s="28" t="str">
        <f aca="false">IF(AI51="","",W51)</f>
        <v/>
      </c>
      <c r="AK51" s="29" t="str">
        <f aca="false">IF(AND(ISNUMBER(T51),ISNUMBER(W51)),W51-T51,"")</f>
        <v/>
      </c>
      <c r="AL51" s="29" t="str">
        <f aca="false">IF(A51="","",SUMIF(Actions!$C$5:$C$1004,A51,Actions!$F$5:$F$1004))</f>
        <v/>
      </c>
      <c r="AM51" s="25"/>
    </row>
    <row r="52" customFormat="false" ht="15" hidden="false" customHeight="false" outlineLevel="0" collapsed="false">
      <c r="A52" s="23"/>
      <c r="B52" s="23"/>
      <c r="C52" s="23"/>
      <c r="D52" s="23"/>
      <c r="E52" s="23"/>
      <c r="F52" s="23"/>
      <c r="G52" s="23"/>
      <c r="H52" s="23"/>
      <c r="I52" s="23"/>
      <c r="J52" s="23"/>
      <c r="K52" s="24"/>
      <c r="L52" s="23"/>
      <c r="M52" s="25"/>
      <c r="N52" s="25"/>
      <c r="O52" s="23"/>
      <c r="P52" s="26"/>
      <c r="Q52" s="26"/>
      <c r="R52" s="27" t="str">
        <f aca="false">IF(AND(ISNUMBER(P52),ISNUMBER(Q52)),P52-Q52,"")</f>
        <v/>
      </c>
      <c r="S52" s="24"/>
      <c r="T52" s="28" t="str">
        <f aca="false">IF(S52&lt;&gt;"",S52,IF(B52="","",IFERROR(IF(INDEX(Batches!$G$5:$G$64,MATCH(B52,Batches!$A$5:$A$64,0))="","",INDEX(Batches!$G$5:$G$64,MATCH(B52,Batches!$A$5:$A$64,0))),"")))</f>
        <v/>
      </c>
      <c r="U52" s="23"/>
      <c r="V52" s="24"/>
      <c r="W52" s="28" t="str">
        <f aca="false">IF(OR(X52="",X52="Pending"),"",IF(V52&lt;&gt;"",V52,IFERROR(IF(INDEX(Batches!$H$5:$H$64,MATCH(B52,Batches!$A$5:$A$64,0))="","",INDEX(Batches!$H$5:$H$64,MATCH(B52,Batches!$A$5:$A$64,0))),"")))</f>
        <v/>
      </c>
      <c r="X52" s="23"/>
      <c r="Y52" s="23"/>
      <c r="Z52" s="26"/>
      <c r="AA52" s="27" t="str">
        <f aca="false">IF(R52="","",IF(X52="Not accepted",R52,IF(OR(X52="Accepted",X52="Withdrawn by hospital"),IF(X52="Accepted",0,R52),IF(ISNUMBER(Z52),R52-Z52,""))))</f>
        <v/>
      </c>
      <c r="AB52" s="23"/>
      <c r="AC52" s="25"/>
      <c r="AD52" s="23"/>
      <c r="AE52" s="23"/>
      <c r="AF52" s="24"/>
      <c r="AG52" s="23"/>
      <c r="AH52" s="24"/>
      <c r="AI52" s="29" t="str">
        <f aca="false">IF(X52="Not accepted","Maintained",IF(X52="Partially accepted","Partially maintained",IF(X52="Accepted","Reversed",IF(X52="Withdrawn by hospital","Withdrawn by hospital",""))))</f>
        <v/>
      </c>
      <c r="AJ52" s="28" t="str">
        <f aca="false">IF(AI52="","",W52)</f>
        <v/>
      </c>
      <c r="AK52" s="29" t="str">
        <f aca="false">IF(AND(ISNUMBER(T52),ISNUMBER(W52)),W52-T52,"")</f>
        <v/>
      </c>
      <c r="AL52" s="29" t="str">
        <f aca="false">IF(A52="","",SUMIF(Actions!$C$5:$C$1004,A52,Actions!$F$5:$F$1004))</f>
        <v/>
      </c>
      <c r="AM52" s="25"/>
    </row>
    <row r="53" customFormat="false" ht="15" hidden="false" customHeight="false" outlineLevel="0" collapsed="false">
      <c r="A53" s="23"/>
      <c r="B53" s="23"/>
      <c r="C53" s="23"/>
      <c r="D53" s="23"/>
      <c r="E53" s="23"/>
      <c r="F53" s="23"/>
      <c r="G53" s="23"/>
      <c r="H53" s="23"/>
      <c r="I53" s="23"/>
      <c r="J53" s="23"/>
      <c r="K53" s="24"/>
      <c r="L53" s="23"/>
      <c r="M53" s="25"/>
      <c r="N53" s="25"/>
      <c r="O53" s="23"/>
      <c r="P53" s="26"/>
      <c r="Q53" s="26"/>
      <c r="R53" s="27" t="str">
        <f aca="false">IF(AND(ISNUMBER(P53),ISNUMBER(Q53)),P53-Q53,"")</f>
        <v/>
      </c>
      <c r="S53" s="24"/>
      <c r="T53" s="28" t="str">
        <f aca="false">IF(S53&lt;&gt;"",S53,IF(B53="","",IFERROR(IF(INDEX(Batches!$G$5:$G$64,MATCH(B53,Batches!$A$5:$A$64,0))="","",INDEX(Batches!$G$5:$G$64,MATCH(B53,Batches!$A$5:$A$64,0))),"")))</f>
        <v/>
      </c>
      <c r="U53" s="23"/>
      <c r="V53" s="24"/>
      <c r="W53" s="28" t="str">
        <f aca="false">IF(OR(X53="",X53="Pending"),"",IF(V53&lt;&gt;"",V53,IFERROR(IF(INDEX(Batches!$H$5:$H$64,MATCH(B53,Batches!$A$5:$A$64,0))="","",INDEX(Batches!$H$5:$H$64,MATCH(B53,Batches!$A$5:$A$64,0))),"")))</f>
        <v/>
      </c>
      <c r="X53" s="23"/>
      <c r="Y53" s="23"/>
      <c r="Z53" s="26"/>
      <c r="AA53" s="27" t="str">
        <f aca="false">IF(R53="","",IF(X53="Not accepted",R53,IF(OR(X53="Accepted",X53="Withdrawn by hospital"),IF(X53="Accepted",0,R53),IF(ISNUMBER(Z53),R53-Z53,""))))</f>
        <v/>
      </c>
      <c r="AB53" s="23"/>
      <c r="AC53" s="25"/>
      <c r="AD53" s="23"/>
      <c r="AE53" s="23"/>
      <c r="AF53" s="24"/>
      <c r="AG53" s="23"/>
      <c r="AH53" s="24"/>
      <c r="AI53" s="29" t="str">
        <f aca="false">IF(X53="Not accepted","Maintained",IF(X53="Partially accepted","Partially maintained",IF(X53="Accepted","Reversed",IF(X53="Withdrawn by hospital","Withdrawn by hospital",""))))</f>
        <v/>
      </c>
      <c r="AJ53" s="28" t="str">
        <f aca="false">IF(AI53="","",W53)</f>
        <v/>
      </c>
      <c r="AK53" s="29" t="str">
        <f aca="false">IF(AND(ISNUMBER(T53),ISNUMBER(W53)),W53-T53,"")</f>
        <v/>
      </c>
      <c r="AL53" s="29" t="str">
        <f aca="false">IF(A53="","",SUMIF(Actions!$C$5:$C$1004,A53,Actions!$F$5:$F$1004))</f>
        <v/>
      </c>
      <c r="AM53" s="25"/>
    </row>
    <row r="54" customFormat="false" ht="15" hidden="false" customHeight="false" outlineLevel="0" collapsed="false">
      <c r="A54" s="23"/>
      <c r="B54" s="23"/>
      <c r="C54" s="23"/>
      <c r="D54" s="23"/>
      <c r="E54" s="23"/>
      <c r="F54" s="23"/>
      <c r="G54" s="23"/>
      <c r="H54" s="23"/>
      <c r="I54" s="23"/>
      <c r="J54" s="23"/>
      <c r="K54" s="24"/>
      <c r="L54" s="23"/>
      <c r="M54" s="25"/>
      <c r="N54" s="25"/>
      <c r="O54" s="23"/>
      <c r="P54" s="26"/>
      <c r="Q54" s="26"/>
      <c r="R54" s="27" t="str">
        <f aca="false">IF(AND(ISNUMBER(P54),ISNUMBER(Q54)),P54-Q54,"")</f>
        <v/>
      </c>
      <c r="S54" s="24"/>
      <c r="T54" s="28" t="str">
        <f aca="false">IF(S54&lt;&gt;"",S54,IF(B54="","",IFERROR(IF(INDEX(Batches!$G$5:$G$64,MATCH(B54,Batches!$A$5:$A$64,0))="","",INDEX(Batches!$G$5:$G$64,MATCH(B54,Batches!$A$5:$A$64,0))),"")))</f>
        <v/>
      </c>
      <c r="U54" s="23"/>
      <c r="V54" s="24"/>
      <c r="W54" s="28" t="str">
        <f aca="false">IF(OR(X54="",X54="Pending"),"",IF(V54&lt;&gt;"",V54,IFERROR(IF(INDEX(Batches!$H$5:$H$64,MATCH(B54,Batches!$A$5:$A$64,0))="","",INDEX(Batches!$H$5:$H$64,MATCH(B54,Batches!$A$5:$A$64,0))),"")))</f>
        <v/>
      </c>
      <c r="X54" s="23"/>
      <c r="Y54" s="23"/>
      <c r="Z54" s="26"/>
      <c r="AA54" s="27" t="str">
        <f aca="false">IF(R54="","",IF(X54="Not accepted",R54,IF(OR(X54="Accepted",X54="Withdrawn by hospital"),IF(X54="Accepted",0,R54),IF(ISNUMBER(Z54),R54-Z54,""))))</f>
        <v/>
      </c>
      <c r="AB54" s="23"/>
      <c r="AC54" s="25"/>
      <c r="AD54" s="23"/>
      <c r="AE54" s="23"/>
      <c r="AF54" s="24"/>
      <c r="AG54" s="23"/>
      <c r="AH54" s="24"/>
      <c r="AI54" s="29" t="str">
        <f aca="false">IF(X54="Not accepted","Maintained",IF(X54="Partially accepted","Partially maintained",IF(X54="Accepted","Reversed",IF(X54="Withdrawn by hospital","Withdrawn by hospital",""))))</f>
        <v/>
      </c>
      <c r="AJ54" s="28" t="str">
        <f aca="false">IF(AI54="","",W54)</f>
        <v/>
      </c>
      <c r="AK54" s="29" t="str">
        <f aca="false">IF(AND(ISNUMBER(T54),ISNUMBER(W54)),W54-T54,"")</f>
        <v/>
      </c>
      <c r="AL54" s="29" t="str">
        <f aca="false">IF(A54="","",SUMIF(Actions!$C$5:$C$1004,A54,Actions!$F$5:$F$1004))</f>
        <v/>
      </c>
      <c r="AM54" s="25"/>
    </row>
    <row r="55" customFormat="false" ht="15" hidden="false" customHeight="false" outlineLevel="0" collapsed="false">
      <c r="A55" s="23"/>
      <c r="B55" s="23"/>
      <c r="C55" s="23"/>
      <c r="D55" s="23"/>
      <c r="E55" s="23"/>
      <c r="F55" s="23"/>
      <c r="G55" s="23"/>
      <c r="H55" s="23"/>
      <c r="I55" s="23"/>
      <c r="J55" s="23"/>
      <c r="K55" s="24"/>
      <c r="L55" s="23"/>
      <c r="M55" s="25"/>
      <c r="N55" s="25"/>
      <c r="O55" s="23"/>
      <c r="P55" s="26"/>
      <c r="Q55" s="26"/>
      <c r="R55" s="27" t="str">
        <f aca="false">IF(AND(ISNUMBER(P55),ISNUMBER(Q55)),P55-Q55,"")</f>
        <v/>
      </c>
      <c r="S55" s="24"/>
      <c r="T55" s="28" t="str">
        <f aca="false">IF(S55&lt;&gt;"",S55,IF(B55="","",IFERROR(IF(INDEX(Batches!$G$5:$G$64,MATCH(B55,Batches!$A$5:$A$64,0))="","",INDEX(Batches!$G$5:$G$64,MATCH(B55,Batches!$A$5:$A$64,0))),"")))</f>
        <v/>
      </c>
      <c r="U55" s="23"/>
      <c r="V55" s="24"/>
      <c r="W55" s="28" t="str">
        <f aca="false">IF(OR(X55="",X55="Pending"),"",IF(V55&lt;&gt;"",V55,IFERROR(IF(INDEX(Batches!$H$5:$H$64,MATCH(B55,Batches!$A$5:$A$64,0))="","",INDEX(Batches!$H$5:$H$64,MATCH(B55,Batches!$A$5:$A$64,0))),"")))</f>
        <v/>
      </c>
      <c r="X55" s="23"/>
      <c r="Y55" s="23"/>
      <c r="Z55" s="26"/>
      <c r="AA55" s="27" t="str">
        <f aca="false">IF(R55="","",IF(X55="Not accepted",R55,IF(OR(X55="Accepted",X55="Withdrawn by hospital"),IF(X55="Accepted",0,R55),IF(ISNUMBER(Z55),R55-Z55,""))))</f>
        <v/>
      </c>
      <c r="AB55" s="23"/>
      <c r="AC55" s="25"/>
      <c r="AD55" s="23"/>
      <c r="AE55" s="23"/>
      <c r="AF55" s="24"/>
      <c r="AG55" s="23"/>
      <c r="AH55" s="24"/>
      <c r="AI55" s="29" t="str">
        <f aca="false">IF(X55="Not accepted","Maintained",IF(X55="Partially accepted","Partially maintained",IF(X55="Accepted","Reversed",IF(X55="Withdrawn by hospital","Withdrawn by hospital",""))))</f>
        <v/>
      </c>
      <c r="AJ55" s="28" t="str">
        <f aca="false">IF(AI55="","",W55)</f>
        <v/>
      </c>
      <c r="AK55" s="29" t="str">
        <f aca="false">IF(AND(ISNUMBER(T55),ISNUMBER(W55)),W55-T55,"")</f>
        <v/>
      </c>
      <c r="AL55" s="29" t="str">
        <f aca="false">IF(A55="","",SUMIF(Actions!$C$5:$C$1004,A55,Actions!$F$5:$F$1004))</f>
        <v/>
      </c>
      <c r="AM55" s="25"/>
    </row>
    <row r="56" customFormat="false" ht="15" hidden="false" customHeight="false" outlineLevel="0" collapsed="false">
      <c r="A56" s="23"/>
      <c r="B56" s="23"/>
      <c r="C56" s="23"/>
      <c r="D56" s="23"/>
      <c r="E56" s="23"/>
      <c r="F56" s="23"/>
      <c r="G56" s="23"/>
      <c r="H56" s="23"/>
      <c r="I56" s="23"/>
      <c r="J56" s="23"/>
      <c r="K56" s="24"/>
      <c r="L56" s="23"/>
      <c r="M56" s="25"/>
      <c r="N56" s="25"/>
      <c r="O56" s="23"/>
      <c r="P56" s="26"/>
      <c r="Q56" s="26"/>
      <c r="R56" s="27" t="str">
        <f aca="false">IF(AND(ISNUMBER(P56),ISNUMBER(Q56)),P56-Q56,"")</f>
        <v/>
      </c>
      <c r="S56" s="24"/>
      <c r="T56" s="28" t="str">
        <f aca="false">IF(S56&lt;&gt;"",S56,IF(B56="","",IFERROR(IF(INDEX(Batches!$G$5:$G$64,MATCH(B56,Batches!$A$5:$A$64,0))="","",INDEX(Batches!$G$5:$G$64,MATCH(B56,Batches!$A$5:$A$64,0))),"")))</f>
        <v/>
      </c>
      <c r="U56" s="23"/>
      <c r="V56" s="24"/>
      <c r="W56" s="28" t="str">
        <f aca="false">IF(OR(X56="",X56="Pending"),"",IF(V56&lt;&gt;"",V56,IFERROR(IF(INDEX(Batches!$H$5:$H$64,MATCH(B56,Batches!$A$5:$A$64,0))="","",INDEX(Batches!$H$5:$H$64,MATCH(B56,Batches!$A$5:$A$64,0))),"")))</f>
        <v/>
      </c>
      <c r="X56" s="23"/>
      <c r="Y56" s="23"/>
      <c r="Z56" s="26"/>
      <c r="AA56" s="27" t="str">
        <f aca="false">IF(R56="","",IF(X56="Not accepted",R56,IF(OR(X56="Accepted",X56="Withdrawn by hospital"),IF(X56="Accepted",0,R56),IF(ISNUMBER(Z56),R56-Z56,""))))</f>
        <v/>
      </c>
      <c r="AB56" s="23"/>
      <c r="AC56" s="25"/>
      <c r="AD56" s="23"/>
      <c r="AE56" s="23"/>
      <c r="AF56" s="24"/>
      <c r="AG56" s="23"/>
      <c r="AH56" s="24"/>
      <c r="AI56" s="29" t="str">
        <f aca="false">IF(X56="Not accepted","Maintained",IF(X56="Partially accepted","Partially maintained",IF(X56="Accepted","Reversed",IF(X56="Withdrawn by hospital","Withdrawn by hospital",""))))</f>
        <v/>
      </c>
      <c r="AJ56" s="28" t="str">
        <f aca="false">IF(AI56="","",W56)</f>
        <v/>
      </c>
      <c r="AK56" s="29" t="str">
        <f aca="false">IF(AND(ISNUMBER(T56),ISNUMBER(W56)),W56-T56,"")</f>
        <v/>
      </c>
      <c r="AL56" s="29" t="str">
        <f aca="false">IF(A56="","",SUMIF(Actions!$C$5:$C$1004,A56,Actions!$F$5:$F$1004))</f>
        <v/>
      </c>
      <c r="AM56" s="25"/>
    </row>
    <row r="57" customFormat="false" ht="15" hidden="false" customHeight="false" outlineLevel="0" collapsed="false">
      <c r="A57" s="23"/>
      <c r="B57" s="23"/>
      <c r="C57" s="23"/>
      <c r="D57" s="23"/>
      <c r="E57" s="23"/>
      <c r="F57" s="23"/>
      <c r="G57" s="23"/>
      <c r="H57" s="23"/>
      <c r="I57" s="23"/>
      <c r="J57" s="23"/>
      <c r="K57" s="24"/>
      <c r="L57" s="23"/>
      <c r="M57" s="25"/>
      <c r="N57" s="25"/>
      <c r="O57" s="23"/>
      <c r="P57" s="26"/>
      <c r="Q57" s="26"/>
      <c r="R57" s="27" t="str">
        <f aca="false">IF(AND(ISNUMBER(P57),ISNUMBER(Q57)),P57-Q57,"")</f>
        <v/>
      </c>
      <c r="S57" s="24"/>
      <c r="T57" s="28" t="str">
        <f aca="false">IF(S57&lt;&gt;"",S57,IF(B57="","",IFERROR(IF(INDEX(Batches!$G$5:$G$64,MATCH(B57,Batches!$A$5:$A$64,0))="","",INDEX(Batches!$G$5:$G$64,MATCH(B57,Batches!$A$5:$A$64,0))),"")))</f>
        <v/>
      </c>
      <c r="U57" s="23"/>
      <c r="V57" s="24"/>
      <c r="W57" s="28" t="str">
        <f aca="false">IF(OR(X57="",X57="Pending"),"",IF(V57&lt;&gt;"",V57,IFERROR(IF(INDEX(Batches!$H$5:$H$64,MATCH(B57,Batches!$A$5:$A$64,0))="","",INDEX(Batches!$H$5:$H$64,MATCH(B57,Batches!$A$5:$A$64,0))),"")))</f>
        <v/>
      </c>
      <c r="X57" s="23"/>
      <c r="Y57" s="23"/>
      <c r="Z57" s="26"/>
      <c r="AA57" s="27" t="str">
        <f aca="false">IF(R57="","",IF(X57="Not accepted",R57,IF(OR(X57="Accepted",X57="Withdrawn by hospital"),IF(X57="Accepted",0,R57),IF(ISNUMBER(Z57),R57-Z57,""))))</f>
        <v/>
      </c>
      <c r="AB57" s="23"/>
      <c r="AC57" s="25"/>
      <c r="AD57" s="23"/>
      <c r="AE57" s="23"/>
      <c r="AF57" s="24"/>
      <c r="AG57" s="23"/>
      <c r="AH57" s="24"/>
      <c r="AI57" s="29" t="str">
        <f aca="false">IF(X57="Not accepted","Maintained",IF(X57="Partially accepted","Partially maintained",IF(X57="Accepted","Reversed",IF(X57="Withdrawn by hospital","Withdrawn by hospital",""))))</f>
        <v/>
      </c>
      <c r="AJ57" s="28" t="str">
        <f aca="false">IF(AI57="","",W57)</f>
        <v/>
      </c>
      <c r="AK57" s="29" t="str">
        <f aca="false">IF(AND(ISNUMBER(T57),ISNUMBER(W57)),W57-T57,"")</f>
        <v/>
      </c>
      <c r="AL57" s="29" t="str">
        <f aca="false">IF(A57="","",SUMIF(Actions!$C$5:$C$1004,A57,Actions!$F$5:$F$1004))</f>
        <v/>
      </c>
      <c r="AM57" s="25"/>
    </row>
    <row r="58" customFormat="false" ht="15" hidden="false" customHeight="false" outlineLevel="0" collapsed="false">
      <c r="A58" s="23"/>
      <c r="B58" s="23"/>
      <c r="C58" s="23"/>
      <c r="D58" s="23"/>
      <c r="E58" s="23"/>
      <c r="F58" s="23"/>
      <c r="G58" s="23"/>
      <c r="H58" s="23"/>
      <c r="I58" s="23"/>
      <c r="J58" s="23"/>
      <c r="K58" s="24"/>
      <c r="L58" s="23"/>
      <c r="M58" s="25"/>
      <c r="N58" s="25"/>
      <c r="O58" s="23"/>
      <c r="P58" s="26"/>
      <c r="Q58" s="26"/>
      <c r="R58" s="27" t="str">
        <f aca="false">IF(AND(ISNUMBER(P58),ISNUMBER(Q58)),P58-Q58,"")</f>
        <v/>
      </c>
      <c r="S58" s="24"/>
      <c r="T58" s="28" t="str">
        <f aca="false">IF(S58&lt;&gt;"",S58,IF(B58="","",IFERROR(IF(INDEX(Batches!$G$5:$G$64,MATCH(B58,Batches!$A$5:$A$64,0))="","",INDEX(Batches!$G$5:$G$64,MATCH(B58,Batches!$A$5:$A$64,0))),"")))</f>
        <v/>
      </c>
      <c r="U58" s="23"/>
      <c r="V58" s="24"/>
      <c r="W58" s="28" t="str">
        <f aca="false">IF(OR(X58="",X58="Pending"),"",IF(V58&lt;&gt;"",V58,IFERROR(IF(INDEX(Batches!$H$5:$H$64,MATCH(B58,Batches!$A$5:$A$64,0))="","",INDEX(Batches!$H$5:$H$64,MATCH(B58,Batches!$A$5:$A$64,0))),"")))</f>
        <v/>
      </c>
      <c r="X58" s="23"/>
      <c r="Y58" s="23"/>
      <c r="Z58" s="26"/>
      <c r="AA58" s="27" t="str">
        <f aca="false">IF(R58="","",IF(X58="Not accepted",R58,IF(OR(X58="Accepted",X58="Withdrawn by hospital"),IF(X58="Accepted",0,R58),IF(ISNUMBER(Z58),R58-Z58,""))))</f>
        <v/>
      </c>
      <c r="AB58" s="23"/>
      <c r="AC58" s="25"/>
      <c r="AD58" s="23"/>
      <c r="AE58" s="23"/>
      <c r="AF58" s="24"/>
      <c r="AG58" s="23"/>
      <c r="AH58" s="24"/>
      <c r="AI58" s="29" t="str">
        <f aca="false">IF(X58="Not accepted","Maintained",IF(X58="Partially accepted","Partially maintained",IF(X58="Accepted","Reversed",IF(X58="Withdrawn by hospital","Withdrawn by hospital",""))))</f>
        <v/>
      </c>
      <c r="AJ58" s="28" t="str">
        <f aca="false">IF(AI58="","",W58)</f>
        <v/>
      </c>
      <c r="AK58" s="29" t="str">
        <f aca="false">IF(AND(ISNUMBER(T58),ISNUMBER(W58)),W58-T58,"")</f>
        <v/>
      </c>
      <c r="AL58" s="29" t="str">
        <f aca="false">IF(A58="","",SUMIF(Actions!$C$5:$C$1004,A58,Actions!$F$5:$F$1004))</f>
        <v/>
      </c>
      <c r="AM58" s="25"/>
    </row>
    <row r="59" customFormat="false" ht="15" hidden="false" customHeight="false" outlineLevel="0" collapsed="false">
      <c r="A59" s="23"/>
      <c r="B59" s="23"/>
      <c r="C59" s="23"/>
      <c r="D59" s="23"/>
      <c r="E59" s="23"/>
      <c r="F59" s="23"/>
      <c r="G59" s="23"/>
      <c r="H59" s="23"/>
      <c r="I59" s="23"/>
      <c r="J59" s="23"/>
      <c r="K59" s="24"/>
      <c r="L59" s="23"/>
      <c r="M59" s="25"/>
      <c r="N59" s="25"/>
      <c r="O59" s="23"/>
      <c r="P59" s="26"/>
      <c r="Q59" s="26"/>
      <c r="R59" s="27" t="str">
        <f aca="false">IF(AND(ISNUMBER(P59),ISNUMBER(Q59)),P59-Q59,"")</f>
        <v/>
      </c>
      <c r="S59" s="24"/>
      <c r="T59" s="28" t="str">
        <f aca="false">IF(S59&lt;&gt;"",S59,IF(B59="","",IFERROR(IF(INDEX(Batches!$G$5:$G$64,MATCH(B59,Batches!$A$5:$A$64,0))="","",INDEX(Batches!$G$5:$G$64,MATCH(B59,Batches!$A$5:$A$64,0))),"")))</f>
        <v/>
      </c>
      <c r="U59" s="23"/>
      <c r="V59" s="24"/>
      <c r="W59" s="28" t="str">
        <f aca="false">IF(OR(X59="",X59="Pending"),"",IF(V59&lt;&gt;"",V59,IFERROR(IF(INDEX(Batches!$H$5:$H$64,MATCH(B59,Batches!$A$5:$A$64,0))="","",INDEX(Batches!$H$5:$H$64,MATCH(B59,Batches!$A$5:$A$64,0))),"")))</f>
        <v/>
      </c>
      <c r="X59" s="23"/>
      <c r="Y59" s="23"/>
      <c r="Z59" s="26"/>
      <c r="AA59" s="27" t="str">
        <f aca="false">IF(R59="","",IF(X59="Not accepted",R59,IF(OR(X59="Accepted",X59="Withdrawn by hospital"),IF(X59="Accepted",0,R59),IF(ISNUMBER(Z59),R59-Z59,""))))</f>
        <v/>
      </c>
      <c r="AB59" s="23"/>
      <c r="AC59" s="25"/>
      <c r="AD59" s="23"/>
      <c r="AE59" s="23"/>
      <c r="AF59" s="24"/>
      <c r="AG59" s="23"/>
      <c r="AH59" s="24"/>
      <c r="AI59" s="29" t="str">
        <f aca="false">IF(X59="Not accepted","Maintained",IF(X59="Partially accepted","Partially maintained",IF(X59="Accepted","Reversed",IF(X59="Withdrawn by hospital","Withdrawn by hospital",""))))</f>
        <v/>
      </c>
      <c r="AJ59" s="28" t="str">
        <f aca="false">IF(AI59="","",W59)</f>
        <v/>
      </c>
      <c r="AK59" s="29" t="str">
        <f aca="false">IF(AND(ISNUMBER(T59),ISNUMBER(W59)),W59-T59,"")</f>
        <v/>
      </c>
      <c r="AL59" s="29" t="str">
        <f aca="false">IF(A59="","",SUMIF(Actions!$C$5:$C$1004,A59,Actions!$F$5:$F$1004))</f>
        <v/>
      </c>
      <c r="AM59" s="25"/>
    </row>
    <row r="60" customFormat="false" ht="15" hidden="false" customHeight="false" outlineLevel="0" collapsed="false">
      <c r="A60" s="23"/>
      <c r="B60" s="23"/>
      <c r="C60" s="23"/>
      <c r="D60" s="23"/>
      <c r="E60" s="23"/>
      <c r="F60" s="23"/>
      <c r="G60" s="23"/>
      <c r="H60" s="23"/>
      <c r="I60" s="23"/>
      <c r="J60" s="23"/>
      <c r="K60" s="24"/>
      <c r="L60" s="23"/>
      <c r="M60" s="25"/>
      <c r="N60" s="25"/>
      <c r="O60" s="23"/>
      <c r="P60" s="26"/>
      <c r="Q60" s="26"/>
      <c r="R60" s="27" t="str">
        <f aca="false">IF(AND(ISNUMBER(P60),ISNUMBER(Q60)),P60-Q60,"")</f>
        <v/>
      </c>
      <c r="S60" s="24"/>
      <c r="T60" s="28" t="str">
        <f aca="false">IF(S60&lt;&gt;"",S60,IF(B60="","",IFERROR(IF(INDEX(Batches!$G$5:$G$64,MATCH(B60,Batches!$A$5:$A$64,0))="","",INDEX(Batches!$G$5:$G$64,MATCH(B60,Batches!$A$5:$A$64,0))),"")))</f>
        <v/>
      </c>
      <c r="U60" s="23"/>
      <c r="V60" s="24"/>
      <c r="W60" s="28" t="str">
        <f aca="false">IF(OR(X60="",X60="Pending"),"",IF(V60&lt;&gt;"",V60,IFERROR(IF(INDEX(Batches!$H$5:$H$64,MATCH(B60,Batches!$A$5:$A$64,0))="","",INDEX(Batches!$H$5:$H$64,MATCH(B60,Batches!$A$5:$A$64,0))),"")))</f>
        <v/>
      </c>
      <c r="X60" s="23"/>
      <c r="Y60" s="23"/>
      <c r="Z60" s="26"/>
      <c r="AA60" s="27" t="str">
        <f aca="false">IF(R60="","",IF(X60="Not accepted",R60,IF(OR(X60="Accepted",X60="Withdrawn by hospital"),IF(X60="Accepted",0,R60),IF(ISNUMBER(Z60),R60-Z60,""))))</f>
        <v/>
      </c>
      <c r="AB60" s="23"/>
      <c r="AC60" s="25"/>
      <c r="AD60" s="23"/>
      <c r="AE60" s="23"/>
      <c r="AF60" s="24"/>
      <c r="AG60" s="23"/>
      <c r="AH60" s="24"/>
      <c r="AI60" s="29" t="str">
        <f aca="false">IF(X60="Not accepted","Maintained",IF(X60="Partially accepted","Partially maintained",IF(X60="Accepted","Reversed",IF(X60="Withdrawn by hospital","Withdrawn by hospital",""))))</f>
        <v/>
      </c>
      <c r="AJ60" s="28" t="str">
        <f aca="false">IF(AI60="","",W60)</f>
        <v/>
      </c>
      <c r="AK60" s="29" t="str">
        <f aca="false">IF(AND(ISNUMBER(T60),ISNUMBER(W60)),W60-T60,"")</f>
        <v/>
      </c>
      <c r="AL60" s="29" t="str">
        <f aca="false">IF(A60="","",SUMIF(Actions!$C$5:$C$1004,A60,Actions!$F$5:$F$1004))</f>
        <v/>
      </c>
      <c r="AM60" s="25"/>
    </row>
    <row r="61" customFormat="false" ht="15" hidden="false" customHeight="false" outlineLevel="0" collapsed="false">
      <c r="A61" s="23"/>
      <c r="B61" s="23"/>
      <c r="C61" s="23"/>
      <c r="D61" s="23"/>
      <c r="E61" s="23"/>
      <c r="F61" s="23"/>
      <c r="G61" s="23"/>
      <c r="H61" s="23"/>
      <c r="I61" s="23"/>
      <c r="J61" s="23"/>
      <c r="K61" s="24"/>
      <c r="L61" s="23"/>
      <c r="M61" s="25"/>
      <c r="N61" s="25"/>
      <c r="O61" s="23"/>
      <c r="P61" s="26"/>
      <c r="Q61" s="26"/>
      <c r="R61" s="27" t="str">
        <f aca="false">IF(AND(ISNUMBER(P61),ISNUMBER(Q61)),P61-Q61,"")</f>
        <v/>
      </c>
      <c r="S61" s="24"/>
      <c r="T61" s="28" t="str">
        <f aca="false">IF(S61&lt;&gt;"",S61,IF(B61="","",IFERROR(IF(INDEX(Batches!$G$5:$G$64,MATCH(B61,Batches!$A$5:$A$64,0))="","",INDEX(Batches!$G$5:$G$64,MATCH(B61,Batches!$A$5:$A$64,0))),"")))</f>
        <v/>
      </c>
      <c r="U61" s="23"/>
      <c r="V61" s="24"/>
      <c r="W61" s="28" t="str">
        <f aca="false">IF(OR(X61="",X61="Pending"),"",IF(V61&lt;&gt;"",V61,IFERROR(IF(INDEX(Batches!$H$5:$H$64,MATCH(B61,Batches!$A$5:$A$64,0))="","",INDEX(Batches!$H$5:$H$64,MATCH(B61,Batches!$A$5:$A$64,0))),"")))</f>
        <v/>
      </c>
      <c r="X61" s="23"/>
      <c r="Y61" s="23"/>
      <c r="Z61" s="26"/>
      <c r="AA61" s="27" t="str">
        <f aca="false">IF(R61="","",IF(X61="Not accepted",R61,IF(OR(X61="Accepted",X61="Withdrawn by hospital"),IF(X61="Accepted",0,R61),IF(ISNUMBER(Z61),R61-Z61,""))))</f>
        <v/>
      </c>
      <c r="AB61" s="23"/>
      <c r="AC61" s="25"/>
      <c r="AD61" s="23"/>
      <c r="AE61" s="23"/>
      <c r="AF61" s="24"/>
      <c r="AG61" s="23"/>
      <c r="AH61" s="24"/>
      <c r="AI61" s="29" t="str">
        <f aca="false">IF(X61="Not accepted","Maintained",IF(X61="Partially accepted","Partially maintained",IF(X61="Accepted","Reversed",IF(X61="Withdrawn by hospital","Withdrawn by hospital",""))))</f>
        <v/>
      </c>
      <c r="AJ61" s="28" t="str">
        <f aca="false">IF(AI61="","",W61)</f>
        <v/>
      </c>
      <c r="AK61" s="29" t="str">
        <f aca="false">IF(AND(ISNUMBER(T61),ISNUMBER(W61)),W61-T61,"")</f>
        <v/>
      </c>
      <c r="AL61" s="29" t="str">
        <f aca="false">IF(A61="","",SUMIF(Actions!$C$5:$C$1004,A61,Actions!$F$5:$F$1004))</f>
        <v/>
      </c>
      <c r="AM61" s="25"/>
    </row>
    <row r="62" customFormat="false" ht="15" hidden="false" customHeight="false" outlineLevel="0" collapsed="false">
      <c r="A62" s="23"/>
      <c r="B62" s="23"/>
      <c r="C62" s="23"/>
      <c r="D62" s="23"/>
      <c r="E62" s="23"/>
      <c r="F62" s="23"/>
      <c r="G62" s="23"/>
      <c r="H62" s="23"/>
      <c r="I62" s="23"/>
      <c r="J62" s="23"/>
      <c r="K62" s="24"/>
      <c r="L62" s="23"/>
      <c r="M62" s="25"/>
      <c r="N62" s="25"/>
      <c r="O62" s="23"/>
      <c r="P62" s="26"/>
      <c r="Q62" s="26"/>
      <c r="R62" s="27" t="str">
        <f aca="false">IF(AND(ISNUMBER(P62),ISNUMBER(Q62)),P62-Q62,"")</f>
        <v/>
      </c>
      <c r="S62" s="24"/>
      <c r="T62" s="28" t="str">
        <f aca="false">IF(S62&lt;&gt;"",S62,IF(B62="","",IFERROR(IF(INDEX(Batches!$G$5:$G$64,MATCH(B62,Batches!$A$5:$A$64,0))="","",INDEX(Batches!$G$5:$G$64,MATCH(B62,Batches!$A$5:$A$64,0))),"")))</f>
        <v/>
      </c>
      <c r="U62" s="23"/>
      <c r="V62" s="24"/>
      <c r="W62" s="28" t="str">
        <f aca="false">IF(OR(X62="",X62="Pending"),"",IF(V62&lt;&gt;"",V62,IFERROR(IF(INDEX(Batches!$H$5:$H$64,MATCH(B62,Batches!$A$5:$A$64,0))="","",INDEX(Batches!$H$5:$H$64,MATCH(B62,Batches!$A$5:$A$64,0))),"")))</f>
        <v/>
      </c>
      <c r="X62" s="23"/>
      <c r="Y62" s="23"/>
      <c r="Z62" s="26"/>
      <c r="AA62" s="27" t="str">
        <f aca="false">IF(R62="","",IF(X62="Not accepted",R62,IF(OR(X62="Accepted",X62="Withdrawn by hospital"),IF(X62="Accepted",0,R62),IF(ISNUMBER(Z62),R62-Z62,""))))</f>
        <v/>
      </c>
      <c r="AB62" s="23"/>
      <c r="AC62" s="25"/>
      <c r="AD62" s="23"/>
      <c r="AE62" s="23"/>
      <c r="AF62" s="24"/>
      <c r="AG62" s="23"/>
      <c r="AH62" s="24"/>
      <c r="AI62" s="29" t="str">
        <f aca="false">IF(X62="Not accepted","Maintained",IF(X62="Partially accepted","Partially maintained",IF(X62="Accepted","Reversed",IF(X62="Withdrawn by hospital","Withdrawn by hospital",""))))</f>
        <v/>
      </c>
      <c r="AJ62" s="28" t="str">
        <f aca="false">IF(AI62="","",W62)</f>
        <v/>
      </c>
      <c r="AK62" s="29" t="str">
        <f aca="false">IF(AND(ISNUMBER(T62),ISNUMBER(W62)),W62-T62,"")</f>
        <v/>
      </c>
      <c r="AL62" s="29" t="str">
        <f aca="false">IF(A62="","",SUMIF(Actions!$C$5:$C$1004,A62,Actions!$F$5:$F$1004))</f>
        <v/>
      </c>
      <c r="AM62" s="25"/>
    </row>
    <row r="63" customFormat="false" ht="15" hidden="false" customHeight="false" outlineLevel="0" collapsed="false">
      <c r="A63" s="23"/>
      <c r="B63" s="23"/>
      <c r="C63" s="23"/>
      <c r="D63" s="23"/>
      <c r="E63" s="23"/>
      <c r="F63" s="23"/>
      <c r="G63" s="23"/>
      <c r="H63" s="23"/>
      <c r="I63" s="23"/>
      <c r="J63" s="23"/>
      <c r="K63" s="24"/>
      <c r="L63" s="23"/>
      <c r="M63" s="25"/>
      <c r="N63" s="25"/>
      <c r="O63" s="23"/>
      <c r="P63" s="26"/>
      <c r="Q63" s="26"/>
      <c r="R63" s="27" t="str">
        <f aca="false">IF(AND(ISNUMBER(P63),ISNUMBER(Q63)),P63-Q63,"")</f>
        <v/>
      </c>
      <c r="S63" s="24"/>
      <c r="T63" s="28" t="str">
        <f aca="false">IF(S63&lt;&gt;"",S63,IF(B63="","",IFERROR(IF(INDEX(Batches!$G$5:$G$64,MATCH(B63,Batches!$A$5:$A$64,0))="","",INDEX(Batches!$G$5:$G$64,MATCH(B63,Batches!$A$5:$A$64,0))),"")))</f>
        <v/>
      </c>
      <c r="U63" s="23"/>
      <c r="V63" s="24"/>
      <c r="W63" s="28" t="str">
        <f aca="false">IF(OR(X63="",X63="Pending"),"",IF(V63&lt;&gt;"",V63,IFERROR(IF(INDEX(Batches!$H$5:$H$64,MATCH(B63,Batches!$A$5:$A$64,0))="","",INDEX(Batches!$H$5:$H$64,MATCH(B63,Batches!$A$5:$A$64,0))),"")))</f>
        <v/>
      </c>
      <c r="X63" s="23"/>
      <c r="Y63" s="23"/>
      <c r="Z63" s="26"/>
      <c r="AA63" s="27" t="str">
        <f aca="false">IF(R63="","",IF(X63="Not accepted",R63,IF(OR(X63="Accepted",X63="Withdrawn by hospital"),IF(X63="Accepted",0,R63),IF(ISNUMBER(Z63),R63-Z63,""))))</f>
        <v/>
      </c>
      <c r="AB63" s="23"/>
      <c r="AC63" s="25"/>
      <c r="AD63" s="23"/>
      <c r="AE63" s="23"/>
      <c r="AF63" s="24"/>
      <c r="AG63" s="23"/>
      <c r="AH63" s="24"/>
      <c r="AI63" s="29" t="str">
        <f aca="false">IF(X63="Not accepted","Maintained",IF(X63="Partially accepted","Partially maintained",IF(X63="Accepted","Reversed",IF(X63="Withdrawn by hospital","Withdrawn by hospital",""))))</f>
        <v/>
      </c>
      <c r="AJ63" s="28" t="str">
        <f aca="false">IF(AI63="","",W63)</f>
        <v/>
      </c>
      <c r="AK63" s="29" t="str">
        <f aca="false">IF(AND(ISNUMBER(T63),ISNUMBER(W63)),W63-T63,"")</f>
        <v/>
      </c>
      <c r="AL63" s="29" t="str">
        <f aca="false">IF(A63="","",SUMIF(Actions!$C$5:$C$1004,A63,Actions!$F$5:$F$1004))</f>
        <v/>
      </c>
      <c r="AM63" s="25"/>
    </row>
    <row r="64" customFormat="false" ht="15" hidden="false" customHeight="false" outlineLevel="0" collapsed="false">
      <c r="A64" s="23"/>
      <c r="B64" s="23"/>
      <c r="C64" s="23"/>
      <c r="D64" s="23"/>
      <c r="E64" s="23"/>
      <c r="F64" s="23"/>
      <c r="G64" s="23"/>
      <c r="H64" s="23"/>
      <c r="I64" s="23"/>
      <c r="J64" s="23"/>
      <c r="K64" s="24"/>
      <c r="L64" s="23"/>
      <c r="M64" s="25"/>
      <c r="N64" s="25"/>
      <c r="O64" s="23"/>
      <c r="P64" s="26"/>
      <c r="Q64" s="26"/>
      <c r="R64" s="27" t="str">
        <f aca="false">IF(AND(ISNUMBER(P64),ISNUMBER(Q64)),P64-Q64,"")</f>
        <v/>
      </c>
      <c r="S64" s="24"/>
      <c r="T64" s="28" t="str">
        <f aca="false">IF(S64&lt;&gt;"",S64,IF(B64="","",IFERROR(IF(INDEX(Batches!$G$5:$G$64,MATCH(B64,Batches!$A$5:$A$64,0))="","",INDEX(Batches!$G$5:$G$64,MATCH(B64,Batches!$A$5:$A$64,0))),"")))</f>
        <v/>
      </c>
      <c r="U64" s="23"/>
      <c r="V64" s="24"/>
      <c r="W64" s="28" t="str">
        <f aca="false">IF(OR(X64="",X64="Pending"),"",IF(V64&lt;&gt;"",V64,IFERROR(IF(INDEX(Batches!$H$5:$H$64,MATCH(B64,Batches!$A$5:$A$64,0))="","",INDEX(Batches!$H$5:$H$64,MATCH(B64,Batches!$A$5:$A$64,0))),"")))</f>
        <v/>
      </c>
      <c r="X64" s="23"/>
      <c r="Y64" s="23"/>
      <c r="Z64" s="26"/>
      <c r="AA64" s="27" t="str">
        <f aca="false">IF(R64="","",IF(X64="Not accepted",R64,IF(OR(X64="Accepted",X64="Withdrawn by hospital"),IF(X64="Accepted",0,R64),IF(ISNUMBER(Z64),R64-Z64,""))))</f>
        <v/>
      </c>
      <c r="AB64" s="23"/>
      <c r="AC64" s="25"/>
      <c r="AD64" s="23"/>
      <c r="AE64" s="23"/>
      <c r="AF64" s="24"/>
      <c r="AG64" s="23"/>
      <c r="AH64" s="24"/>
      <c r="AI64" s="29" t="str">
        <f aca="false">IF(X64="Not accepted","Maintained",IF(X64="Partially accepted","Partially maintained",IF(X64="Accepted","Reversed",IF(X64="Withdrawn by hospital","Withdrawn by hospital",""))))</f>
        <v/>
      </c>
      <c r="AJ64" s="28" t="str">
        <f aca="false">IF(AI64="","",W64)</f>
        <v/>
      </c>
      <c r="AK64" s="29" t="str">
        <f aca="false">IF(AND(ISNUMBER(T64),ISNUMBER(W64)),W64-T64,"")</f>
        <v/>
      </c>
      <c r="AL64" s="29" t="str">
        <f aca="false">IF(A64="","",SUMIF(Actions!$C$5:$C$1004,A64,Actions!$F$5:$F$1004))</f>
        <v/>
      </c>
      <c r="AM64" s="25"/>
    </row>
    <row r="65" customFormat="false" ht="15" hidden="false" customHeight="false" outlineLevel="0" collapsed="false">
      <c r="A65" s="23"/>
      <c r="B65" s="23"/>
      <c r="C65" s="23"/>
      <c r="D65" s="23"/>
      <c r="E65" s="23"/>
      <c r="F65" s="23"/>
      <c r="G65" s="23"/>
      <c r="H65" s="23"/>
      <c r="I65" s="23"/>
      <c r="J65" s="23"/>
      <c r="K65" s="24"/>
      <c r="L65" s="23"/>
      <c r="M65" s="25"/>
      <c r="N65" s="25"/>
      <c r="O65" s="23"/>
      <c r="P65" s="26"/>
      <c r="Q65" s="26"/>
      <c r="R65" s="27" t="str">
        <f aca="false">IF(AND(ISNUMBER(P65),ISNUMBER(Q65)),P65-Q65,"")</f>
        <v/>
      </c>
      <c r="S65" s="24"/>
      <c r="T65" s="28" t="str">
        <f aca="false">IF(S65&lt;&gt;"",S65,IF(B65="","",IFERROR(IF(INDEX(Batches!$G$5:$G$64,MATCH(B65,Batches!$A$5:$A$64,0))="","",INDEX(Batches!$G$5:$G$64,MATCH(B65,Batches!$A$5:$A$64,0))),"")))</f>
        <v/>
      </c>
      <c r="U65" s="23"/>
      <c r="V65" s="24"/>
      <c r="W65" s="28" t="str">
        <f aca="false">IF(OR(X65="",X65="Pending"),"",IF(V65&lt;&gt;"",V65,IFERROR(IF(INDEX(Batches!$H$5:$H$64,MATCH(B65,Batches!$A$5:$A$64,0))="","",INDEX(Batches!$H$5:$H$64,MATCH(B65,Batches!$A$5:$A$64,0))),"")))</f>
        <v/>
      </c>
      <c r="X65" s="23"/>
      <c r="Y65" s="23"/>
      <c r="Z65" s="26"/>
      <c r="AA65" s="27" t="str">
        <f aca="false">IF(R65="","",IF(X65="Not accepted",R65,IF(OR(X65="Accepted",X65="Withdrawn by hospital"),IF(X65="Accepted",0,R65),IF(ISNUMBER(Z65),R65-Z65,""))))</f>
        <v/>
      </c>
      <c r="AB65" s="23"/>
      <c r="AC65" s="25"/>
      <c r="AD65" s="23"/>
      <c r="AE65" s="23"/>
      <c r="AF65" s="24"/>
      <c r="AG65" s="23"/>
      <c r="AH65" s="24"/>
      <c r="AI65" s="29" t="str">
        <f aca="false">IF(X65="Not accepted","Maintained",IF(X65="Partially accepted","Partially maintained",IF(X65="Accepted","Reversed",IF(X65="Withdrawn by hospital","Withdrawn by hospital",""))))</f>
        <v/>
      </c>
      <c r="AJ65" s="28" t="str">
        <f aca="false">IF(AI65="","",W65)</f>
        <v/>
      </c>
      <c r="AK65" s="29" t="str">
        <f aca="false">IF(AND(ISNUMBER(T65),ISNUMBER(W65)),W65-T65,"")</f>
        <v/>
      </c>
      <c r="AL65" s="29" t="str">
        <f aca="false">IF(A65="","",SUMIF(Actions!$C$5:$C$1004,A65,Actions!$F$5:$F$1004))</f>
        <v/>
      </c>
      <c r="AM65" s="25"/>
    </row>
    <row r="66" customFormat="false" ht="15" hidden="false" customHeight="false" outlineLevel="0" collapsed="false">
      <c r="A66" s="23"/>
      <c r="B66" s="23"/>
      <c r="C66" s="23"/>
      <c r="D66" s="23"/>
      <c r="E66" s="23"/>
      <c r="F66" s="23"/>
      <c r="G66" s="23"/>
      <c r="H66" s="23"/>
      <c r="I66" s="23"/>
      <c r="J66" s="23"/>
      <c r="K66" s="24"/>
      <c r="L66" s="23"/>
      <c r="M66" s="25"/>
      <c r="N66" s="25"/>
      <c r="O66" s="23"/>
      <c r="P66" s="26"/>
      <c r="Q66" s="26"/>
      <c r="R66" s="27" t="str">
        <f aca="false">IF(AND(ISNUMBER(P66),ISNUMBER(Q66)),P66-Q66,"")</f>
        <v/>
      </c>
      <c r="S66" s="24"/>
      <c r="T66" s="28" t="str">
        <f aca="false">IF(S66&lt;&gt;"",S66,IF(B66="","",IFERROR(IF(INDEX(Batches!$G$5:$G$64,MATCH(B66,Batches!$A$5:$A$64,0))="","",INDEX(Batches!$G$5:$G$64,MATCH(B66,Batches!$A$5:$A$64,0))),"")))</f>
        <v/>
      </c>
      <c r="U66" s="23"/>
      <c r="V66" s="24"/>
      <c r="W66" s="28" t="str">
        <f aca="false">IF(OR(X66="",X66="Pending"),"",IF(V66&lt;&gt;"",V66,IFERROR(IF(INDEX(Batches!$H$5:$H$64,MATCH(B66,Batches!$A$5:$A$64,0))="","",INDEX(Batches!$H$5:$H$64,MATCH(B66,Batches!$A$5:$A$64,0))),"")))</f>
        <v/>
      </c>
      <c r="X66" s="23"/>
      <c r="Y66" s="23"/>
      <c r="Z66" s="26"/>
      <c r="AA66" s="27" t="str">
        <f aca="false">IF(R66="","",IF(X66="Not accepted",R66,IF(OR(X66="Accepted",X66="Withdrawn by hospital"),IF(X66="Accepted",0,R66),IF(ISNUMBER(Z66),R66-Z66,""))))</f>
        <v/>
      </c>
      <c r="AB66" s="23"/>
      <c r="AC66" s="25"/>
      <c r="AD66" s="23"/>
      <c r="AE66" s="23"/>
      <c r="AF66" s="24"/>
      <c r="AG66" s="23"/>
      <c r="AH66" s="24"/>
      <c r="AI66" s="29" t="str">
        <f aca="false">IF(X66="Not accepted","Maintained",IF(X66="Partially accepted","Partially maintained",IF(X66="Accepted","Reversed",IF(X66="Withdrawn by hospital","Withdrawn by hospital",""))))</f>
        <v/>
      </c>
      <c r="AJ66" s="28" t="str">
        <f aca="false">IF(AI66="","",W66)</f>
        <v/>
      </c>
      <c r="AK66" s="29" t="str">
        <f aca="false">IF(AND(ISNUMBER(T66),ISNUMBER(W66)),W66-T66,"")</f>
        <v/>
      </c>
      <c r="AL66" s="29" t="str">
        <f aca="false">IF(A66="","",SUMIF(Actions!$C$5:$C$1004,A66,Actions!$F$5:$F$1004))</f>
        <v/>
      </c>
      <c r="AM66" s="25"/>
    </row>
    <row r="67" customFormat="false" ht="15" hidden="false" customHeight="false" outlineLevel="0" collapsed="false">
      <c r="A67" s="23"/>
      <c r="B67" s="23"/>
      <c r="C67" s="23"/>
      <c r="D67" s="23"/>
      <c r="E67" s="23"/>
      <c r="F67" s="23"/>
      <c r="G67" s="23"/>
      <c r="H67" s="23"/>
      <c r="I67" s="23"/>
      <c r="J67" s="23"/>
      <c r="K67" s="24"/>
      <c r="L67" s="23"/>
      <c r="M67" s="25"/>
      <c r="N67" s="25"/>
      <c r="O67" s="23"/>
      <c r="P67" s="26"/>
      <c r="Q67" s="26"/>
      <c r="R67" s="27" t="str">
        <f aca="false">IF(AND(ISNUMBER(P67),ISNUMBER(Q67)),P67-Q67,"")</f>
        <v/>
      </c>
      <c r="S67" s="24"/>
      <c r="T67" s="28" t="str">
        <f aca="false">IF(S67&lt;&gt;"",S67,IF(B67="","",IFERROR(IF(INDEX(Batches!$G$5:$G$64,MATCH(B67,Batches!$A$5:$A$64,0))="","",INDEX(Batches!$G$5:$G$64,MATCH(B67,Batches!$A$5:$A$64,0))),"")))</f>
        <v/>
      </c>
      <c r="U67" s="23"/>
      <c r="V67" s="24"/>
      <c r="W67" s="28" t="str">
        <f aca="false">IF(OR(X67="",X67="Pending"),"",IF(V67&lt;&gt;"",V67,IFERROR(IF(INDEX(Batches!$H$5:$H$64,MATCH(B67,Batches!$A$5:$A$64,0))="","",INDEX(Batches!$H$5:$H$64,MATCH(B67,Batches!$A$5:$A$64,0))),"")))</f>
        <v/>
      </c>
      <c r="X67" s="23"/>
      <c r="Y67" s="23"/>
      <c r="Z67" s="26"/>
      <c r="AA67" s="27" t="str">
        <f aca="false">IF(R67="","",IF(X67="Not accepted",R67,IF(OR(X67="Accepted",X67="Withdrawn by hospital"),IF(X67="Accepted",0,R67),IF(ISNUMBER(Z67),R67-Z67,""))))</f>
        <v/>
      </c>
      <c r="AB67" s="23"/>
      <c r="AC67" s="25"/>
      <c r="AD67" s="23"/>
      <c r="AE67" s="23"/>
      <c r="AF67" s="24"/>
      <c r="AG67" s="23"/>
      <c r="AH67" s="24"/>
      <c r="AI67" s="29" t="str">
        <f aca="false">IF(X67="Not accepted","Maintained",IF(X67="Partially accepted","Partially maintained",IF(X67="Accepted","Reversed",IF(X67="Withdrawn by hospital","Withdrawn by hospital",""))))</f>
        <v/>
      </c>
      <c r="AJ67" s="28" t="str">
        <f aca="false">IF(AI67="","",W67)</f>
        <v/>
      </c>
      <c r="AK67" s="29" t="str">
        <f aca="false">IF(AND(ISNUMBER(T67),ISNUMBER(W67)),W67-T67,"")</f>
        <v/>
      </c>
      <c r="AL67" s="29" t="str">
        <f aca="false">IF(A67="","",SUMIF(Actions!$C$5:$C$1004,A67,Actions!$F$5:$F$1004))</f>
        <v/>
      </c>
      <c r="AM67" s="25"/>
    </row>
    <row r="68" customFormat="false" ht="15" hidden="false" customHeight="false" outlineLevel="0" collapsed="false">
      <c r="A68" s="23"/>
      <c r="B68" s="23"/>
      <c r="C68" s="23"/>
      <c r="D68" s="23"/>
      <c r="E68" s="23"/>
      <c r="F68" s="23"/>
      <c r="G68" s="23"/>
      <c r="H68" s="23"/>
      <c r="I68" s="23"/>
      <c r="J68" s="23"/>
      <c r="K68" s="24"/>
      <c r="L68" s="23"/>
      <c r="M68" s="25"/>
      <c r="N68" s="25"/>
      <c r="O68" s="23"/>
      <c r="P68" s="26"/>
      <c r="Q68" s="26"/>
      <c r="R68" s="27" t="str">
        <f aca="false">IF(AND(ISNUMBER(P68),ISNUMBER(Q68)),P68-Q68,"")</f>
        <v/>
      </c>
      <c r="S68" s="24"/>
      <c r="T68" s="28" t="str">
        <f aca="false">IF(S68&lt;&gt;"",S68,IF(B68="","",IFERROR(IF(INDEX(Batches!$G$5:$G$64,MATCH(B68,Batches!$A$5:$A$64,0))="","",INDEX(Batches!$G$5:$G$64,MATCH(B68,Batches!$A$5:$A$64,0))),"")))</f>
        <v/>
      </c>
      <c r="U68" s="23"/>
      <c r="V68" s="24"/>
      <c r="W68" s="28" t="str">
        <f aca="false">IF(OR(X68="",X68="Pending"),"",IF(V68&lt;&gt;"",V68,IFERROR(IF(INDEX(Batches!$H$5:$H$64,MATCH(B68,Batches!$A$5:$A$64,0))="","",INDEX(Batches!$H$5:$H$64,MATCH(B68,Batches!$A$5:$A$64,0))),"")))</f>
        <v/>
      </c>
      <c r="X68" s="23"/>
      <c r="Y68" s="23"/>
      <c r="Z68" s="26"/>
      <c r="AA68" s="27" t="str">
        <f aca="false">IF(R68="","",IF(X68="Not accepted",R68,IF(OR(X68="Accepted",X68="Withdrawn by hospital"),IF(X68="Accepted",0,R68),IF(ISNUMBER(Z68),R68-Z68,""))))</f>
        <v/>
      </c>
      <c r="AB68" s="23"/>
      <c r="AC68" s="25"/>
      <c r="AD68" s="23"/>
      <c r="AE68" s="23"/>
      <c r="AF68" s="24"/>
      <c r="AG68" s="23"/>
      <c r="AH68" s="24"/>
      <c r="AI68" s="29" t="str">
        <f aca="false">IF(X68="Not accepted","Maintained",IF(X68="Partially accepted","Partially maintained",IF(X68="Accepted","Reversed",IF(X68="Withdrawn by hospital","Withdrawn by hospital",""))))</f>
        <v/>
      </c>
      <c r="AJ68" s="28" t="str">
        <f aca="false">IF(AI68="","",W68)</f>
        <v/>
      </c>
      <c r="AK68" s="29" t="str">
        <f aca="false">IF(AND(ISNUMBER(T68),ISNUMBER(W68)),W68-T68,"")</f>
        <v/>
      </c>
      <c r="AL68" s="29" t="str">
        <f aca="false">IF(A68="","",SUMIF(Actions!$C$5:$C$1004,A68,Actions!$F$5:$F$1004))</f>
        <v/>
      </c>
      <c r="AM68" s="25"/>
    </row>
    <row r="69" customFormat="false" ht="15" hidden="false" customHeight="false" outlineLevel="0" collapsed="false">
      <c r="A69" s="23"/>
      <c r="B69" s="23"/>
      <c r="C69" s="23"/>
      <c r="D69" s="23"/>
      <c r="E69" s="23"/>
      <c r="F69" s="23"/>
      <c r="G69" s="23"/>
      <c r="H69" s="23"/>
      <c r="I69" s="23"/>
      <c r="J69" s="23"/>
      <c r="K69" s="24"/>
      <c r="L69" s="23"/>
      <c r="M69" s="25"/>
      <c r="N69" s="25"/>
      <c r="O69" s="23"/>
      <c r="P69" s="26"/>
      <c r="Q69" s="26"/>
      <c r="R69" s="27" t="str">
        <f aca="false">IF(AND(ISNUMBER(P69),ISNUMBER(Q69)),P69-Q69,"")</f>
        <v/>
      </c>
      <c r="S69" s="24"/>
      <c r="T69" s="28" t="str">
        <f aca="false">IF(S69&lt;&gt;"",S69,IF(B69="","",IFERROR(IF(INDEX(Batches!$G$5:$G$64,MATCH(B69,Batches!$A$5:$A$64,0))="","",INDEX(Batches!$G$5:$G$64,MATCH(B69,Batches!$A$5:$A$64,0))),"")))</f>
        <v/>
      </c>
      <c r="U69" s="23"/>
      <c r="V69" s="24"/>
      <c r="W69" s="28" t="str">
        <f aca="false">IF(OR(X69="",X69="Pending"),"",IF(V69&lt;&gt;"",V69,IFERROR(IF(INDEX(Batches!$H$5:$H$64,MATCH(B69,Batches!$A$5:$A$64,0))="","",INDEX(Batches!$H$5:$H$64,MATCH(B69,Batches!$A$5:$A$64,0))),"")))</f>
        <v/>
      </c>
      <c r="X69" s="23"/>
      <c r="Y69" s="23"/>
      <c r="Z69" s="26"/>
      <c r="AA69" s="27" t="str">
        <f aca="false">IF(R69="","",IF(X69="Not accepted",R69,IF(OR(X69="Accepted",X69="Withdrawn by hospital"),IF(X69="Accepted",0,R69),IF(ISNUMBER(Z69),R69-Z69,""))))</f>
        <v/>
      </c>
      <c r="AB69" s="23"/>
      <c r="AC69" s="25"/>
      <c r="AD69" s="23"/>
      <c r="AE69" s="23"/>
      <c r="AF69" s="24"/>
      <c r="AG69" s="23"/>
      <c r="AH69" s="24"/>
      <c r="AI69" s="29" t="str">
        <f aca="false">IF(X69="Not accepted","Maintained",IF(X69="Partially accepted","Partially maintained",IF(X69="Accepted","Reversed",IF(X69="Withdrawn by hospital","Withdrawn by hospital",""))))</f>
        <v/>
      </c>
      <c r="AJ69" s="28" t="str">
        <f aca="false">IF(AI69="","",W69)</f>
        <v/>
      </c>
      <c r="AK69" s="29" t="str">
        <f aca="false">IF(AND(ISNUMBER(T69),ISNUMBER(W69)),W69-T69,"")</f>
        <v/>
      </c>
      <c r="AL69" s="29" t="str">
        <f aca="false">IF(A69="","",SUMIF(Actions!$C$5:$C$1004,A69,Actions!$F$5:$F$1004))</f>
        <v/>
      </c>
      <c r="AM69" s="25"/>
    </row>
    <row r="70" customFormat="false" ht="15" hidden="false" customHeight="false" outlineLevel="0" collapsed="false">
      <c r="A70" s="23"/>
      <c r="B70" s="23"/>
      <c r="C70" s="23"/>
      <c r="D70" s="23"/>
      <c r="E70" s="23"/>
      <c r="F70" s="23"/>
      <c r="G70" s="23"/>
      <c r="H70" s="23"/>
      <c r="I70" s="23"/>
      <c r="J70" s="23"/>
      <c r="K70" s="24"/>
      <c r="L70" s="23"/>
      <c r="M70" s="25"/>
      <c r="N70" s="25"/>
      <c r="O70" s="23"/>
      <c r="P70" s="26"/>
      <c r="Q70" s="26"/>
      <c r="R70" s="27" t="str">
        <f aca="false">IF(AND(ISNUMBER(P70),ISNUMBER(Q70)),P70-Q70,"")</f>
        <v/>
      </c>
      <c r="S70" s="24"/>
      <c r="T70" s="28" t="str">
        <f aca="false">IF(S70&lt;&gt;"",S70,IF(B70="","",IFERROR(IF(INDEX(Batches!$G$5:$G$64,MATCH(B70,Batches!$A$5:$A$64,0))="","",INDEX(Batches!$G$5:$G$64,MATCH(B70,Batches!$A$5:$A$64,0))),"")))</f>
        <v/>
      </c>
      <c r="U70" s="23"/>
      <c r="V70" s="24"/>
      <c r="W70" s="28" t="str">
        <f aca="false">IF(OR(X70="",X70="Pending"),"",IF(V70&lt;&gt;"",V70,IFERROR(IF(INDEX(Batches!$H$5:$H$64,MATCH(B70,Batches!$A$5:$A$64,0))="","",INDEX(Batches!$H$5:$H$64,MATCH(B70,Batches!$A$5:$A$64,0))),"")))</f>
        <v/>
      </c>
      <c r="X70" s="23"/>
      <c r="Y70" s="23"/>
      <c r="Z70" s="26"/>
      <c r="AA70" s="27" t="str">
        <f aca="false">IF(R70="","",IF(X70="Not accepted",R70,IF(OR(X70="Accepted",X70="Withdrawn by hospital"),IF(X70="Accepted",0,R70),IF(ISNUMBER(Z70),R70-Z70,""))))</f>
        <v/>
      </c>
      <c r="AB70" s="23"/>
      <c r="AC70" s="25"/>
      <c r="AD70" s="23"/>
      <c r="AE70" s="23"/>
      <c r="AF70" s="24"/>
      <c r="AG70" s="23"/>
      <c r="AH70" s="24"/>
      <c r="AI70" s="29" t="str">
        <f aca="false">IF(X70="Not accepted","Maintained",IF(X70="Partially accepted","Partially maintained",IF(X70="Accepted","Reversed",IF(X70="Withdrawn by hospital","Withdrawn by hospital",""))))</f>
        <v/>
      </c>
      <c r="AJ70" s="28" t="str">
        <f aca="false">IF(AI70="","",W70)</f>
        <v/>
      </c>
      <c r="AK70" s="29" t="str">
        <f aca="false">IF(AND(ISNUMBER(T70),ISNUMBER(W70)),W70-T70,"")</f>
        <v/>
      </c>
      <c r="AL70" s="29" t="str">
        <f aca="false">IF(A70="","",SUMIF(Actions!$C$5:$C$1004,A70,Actions!$F$5:$F$1004))</f>
        <v/>
      </c>
      <c r="AM70" s="25"/>
    </row>
    <row r="71" customFormat="false" ht="15" hidden="false" customHeight="false" outlineLevel="0" collapsed="false">
      <c r="A71" s="23"/>
      <c r="B71" s="23"/>
      <c r="C71" s="23"/>
      <c r="D71" s="23"/>
      <c r="E71" s="23"/>
      <c r="F71" s="23"/>
      <c r="G71" s="23"/>
      <c r="H71" s="23"/>
      <c r="I71" s="23"/>
      <c r="J71" s="23"/>
      <c r="K71" s="24"/>
      <c r="L71" s="23"/>
      <c r="M71" s="25"/>
      <c r="N71" s="25"/>
      <c r="O71" s="23"/>
      <c r="P71" s="26"/>
      <c r="Q71" s="26"/>
      <c r="R71" s="27" t="str">
        <f aca="false">IF(AND(ISNUMBER(P71),ISNUMBER(Q71)),P71-Q71,"")</f>
        <v/>
      </c>
      <c r="S71" s="24"/>
      <c r="T71" s="28" t="str">
        <f aca="false">IF(S71&lt;&gt;"",S71,IF(B71="","",IFERROR(IF(INDEX(Batches!$G$5:$G$64,MATCH(B71,Batches!$A$5:$A$64,0))="","",INDEX(Batches!$G$5:$G$64,MATCH(B71,Batches!$A$5:$A$64,0))),"")))</f>
        <v/>
      </c>
      <c r="U71" s="23"/>
      <c r="V71" s="24"/>
      <c r="W71" s="28" t="str">
        <f aca="false">IF(OR(X71="",X71="Pending"),"",IF(V71&lt;&gt;"",V71,IFERROR(IF(INDEX(Batches!$H$5:$H$64,MATCH(B71,Batches!$A$5:$A$64,0))="","",INDEX(Batches!$H$5:$H$64,MATCH(B71,Batches!$A$5:$A$64,0))),"")))</f>
        <v/>
      </c>
      <c r="X71" s="23"/>
      <c r="Y71" s="23"/>
      <c r="Z71" s="26"/>
      <c r="AA71" s="27" t="str">
        <f aca="false">IF(R71="","",IF(X71="Not accepted",R71,IF(OR(X71="Accepted",X71="Withdrawn by hospital"),IF(X71="Accepted",0,R71),IF(ISNUMBER(Z71),R71-Z71,""))))</f>
        <v/>
      </c>
      <c r="AB71" s="23"/>
      <c r="AC71" s="25"/>
      <c r="AD71" s="23"/>
      <c r="AE71" s="23"/>
      <c r="AF71" s="24"/>
      <c r="AG71" s="23"/>
      <c r="AH71" s="24"/>
      <c r="AI71" s="29" t="str">
        <f aca="false">IF(X71="Not accepted","Maintained",IF(X71="Partially accepted","Partially maintained",IF(X71="Accepted","Reversed",IF(X71="Withdrawn by hospital","Withdrawn by hospital",""))))</f>
        <v/>
      </c>
      <c r="AJ71" s="28" t="str">
        <f aca="false">IF(AI71="","",W71)</f>
        <v/>
      </c>
      <c r="AK71" s="29" t="str">
        <f aca="false">IF(AND(ISNUMBER(T71),ISNUMBER(W71)),W71-T71,"")</f>
        <v/>
      </c>
      <c r="AL71" s="29" t="str">
        <f aca="false">IF(A71="","",SUMIF(Actions!$C$5:$C$1004,A71,Actions!$F$5:$F$1004))</f>
        <v/>
      </c>
      <c r="AM71" s="25"/>
    </row>
    <row r="72" customFormat="false" ht="15" hidden="false" customHeight="false" outlineLevel="0" collapsed="false">
      <c r="A72" s="23"/>
      <c r="B72" s="23"/>
      <c r="C72" s="23"/>
      <c r="D72" s="23"/>
      <c r="E72" s="23"/>
      <c r="F72" s="23"/>
      <c r="G72" s="23"/>
      <c r="H72" s="23"/>
      <c r="I72" s="23"/>
      <c r="J72" s="23"/>
      <c r="K72" s="24"/>
      <c r="L72" s="23"/>
      <c r="M72" s="25"/>
      <c r="N72" s="25"/>
      <c r="O72" s="23"/>
      <c r="P72" s="26"/>
      <c r="Q72" s="26"/>
      <c r="R72" s="27" t="str">
        <f aca="false">IF(AND(ISNUMBER(P72),ISNUMBER(Q72)),P72-Q72,"")</f>
        <v/>
      </c>
      <c r="S72" s="24"/>
      <c r="T72" s="28" t="str">
        <f aca="false">IF(S72&lt;&gt;"",S72,IF(B72="","",IFERROR(IF(INDEX(Batches!$G$5:$G$64,MATCH(B72,Batches!$A$5:$A$64,0))="","",INDEX(Batches!$G$5:$G$64,MATCH(B72,Batches!$A$5:$A$64,0))),"")))</f>
        <v/>
      </c>
      <c r="U72" s="23"/>
      <c r="V72" s="24"/>
      <c r="W72" s="28" t="str">
        <f aca="false">IF(OR(X72="",X72="Pending"),"",IF(V72&lt;&gt;"",V72,IFERROR(IF(INDEX(Batches!$H$5:$H$64,MATCH(B72,Batches!$A$5:$A$64,0))="","",INDEX(Batches!$H$5:$H$64,MATCH(B72,Batches!$A$5:$A$64,0))),"")))</f>
        <v/>
      </c>
      <c r="X72" s="23"/>
      <c r="Y72" s="23"/>
      <c r="Z72" s="26"/>
      <c r="AA72" s="27" t="str">
        <f aca="false">IF(R72="","",IF(X72="Not accepted",R72,IF(OR(X72="Accepted",X72="Withdrawn by hospital"),IF(X72="Accepted",0,R72),IF(ISNUMBER(Z72),R72-Z72,""))))</f>
        <v/>
      </c>
      <c r="AB72" s="23"/>
      <c r="AC72" s="25"/>
      <c r="AD72" s="23"/>
      <c r="AE72" s="23"/>
      <c r="AF72" s="24"/>
      <c r="AG72" s="23"/>
      <c r="AH72" s="24"/>
      <c r="AI72" s="29" t="str">
        <f aca="false">IF(X72="Not accepted","Maintained",IF(X72="Partially accepted","Partially maintained",IF(X72="Accepted","Reversed",IF(X72="Withdrawn by hospital","Withdrawn by hospital",""))))</f>
        <v/>
      </c>
      <c r="AJ72" s="28" t="str">
        <f aca="false">IF(AI72="","",W72)</f>
        <v/>
      </c>
      <c r="AK72" s="29" t="str">
        <f aca="false">IF(AND(ISNUMBER(T72),ISNUMBER(W72)),W72-T72,"")</f>
        <v/>
      </c>
      <c r="AL72" s="29" t="str">
        <f aca="false">IF(A72="","",SUMIF(Actions!$C$5:$C$1004,A72,Actions!$F$5:$F$1004))</f>
        <v/>
      </c>
      <c r="AM72" s="25"/>
    </row>
    <row r="73" customFormat="false" ht="15" hidden="false" customHeight="false" outlineLevel="0" collapsed="false">
      <c r="A73" s="23"/>
      <c r="B73" s="23"/>
      <c r="C73" s="23"/>
      <c r="D73" s="23"/>
      <c r="E73" s="23"/>
      <c r="F73" s="23"/>
      <c r="G73" s="23"/>
      <c r="H73" s="23"/>
      <c r="I73" s="23"/>
      <c r="J73" s="23"/>
      <c r="K73" s="24"/>
      <c r="L73" s="23"/>
      <c r="M73" s="25"/>
      <c r="N73" s="25"/>
      <c r="O73" s="23"/>
      <c r="P73" s="26"/>
      <c r="Q73" s="26"/>
      <c r="R73" s="27" t="str">
        <f aca="false">IF(AND(ISNUMBER(P73),ISNUMBER(Q73)),P73-Q73,"")</f>
        <v/>
      </c>
      <c r="S73" s="24"/>
      <c r="T73" s="28" t="str">
        <f aca="false">IF(S73&lt;&gt;"",S73,IF(B73="","",IFERROR(IF(INDEX(Batches!$G$5:$G$64,MATCH(B73,Batches!$A$5:$A$64,0))="","",INDEX(Batches!$G$5:$G$64,MATCH(B73,Batches!$A$5:$A$64,0))),"")))</f>
        <v/>
      </c>
      <c r="U73" s="23"/>
      <c r="V73" s="24"/>
      <c r="W73" s="28" t="str">
        <f aca="false">IF(OR(X73="",X73="Pending"),"",IF(V73&lt;&gt;"",V73,IFERROR(IF(INDEX(Batches!$H$5:$H$64,MATCH(B73,Batches!$A$5:$A$64,0))="","",INDEX(Batches!$H$5:$H$64,MATCH(B73,Batches!$A$5:$A$64,0))),"")))</f>
        <v/>
      </c>
      <c r="X73" s="23"/>
      <c r="Y73" s="23"/>
      <c r="Z73" s="26"/>
      <c r="AA73" s="27" t="str">
        <f aca="false">IF(R73="","",IF(X73="Not accepted",R73,IF(OR(X73="Accepted",X73="Withdrawn by hospital"),IF(X73="Accepted",0,R73),IF(ISNUMBER(Z73),R73-Z73,""))))</f>
        <v/>
      </c>
      <c r="AB73" s="23"/>
      <c r="AC73" s="25"/>
      <c r="AD73" s="23"/>
      <c r="AE73" s="23"/>
      <c r="AF73" s="24"/>
      <c r="AG73" s="23"/>
      <c r="AH73" s="24"/>
      <c r="AI73" s="29" t="str">
        <f aca="false">IF(X73="Not accepted","Maintained",IF(X73="Partially accepted","Partially maintained",IF(X73="Accepted","Reversed",IF(X73="Withdrawn by hospital","Withdrawn by hospital",""))))</f>
        <v/>
      </c>
      <c r="AJ73" s="28" t="str">
        <f aca="false">IF(AI73="","",W73)</f>
        <v/>
      </c>
      <c r="AK73" s="29" t="str">
        <f aca="false">IF(AND(ISNUMBER(T73),ISNUMBER(W73)),W73-T73,"")</f>
        <v/>
      </c>
      <c r="AL73" s="29" t="str">
        <f aca="false">IF(A73="","",SUMIF(Actions!$C$5:$C$1004,A73,Actions!$F$5:$F$1004))</f>
        <v/>
      </c>
      <c r="AM73" s="25"/>
    </row>
    <row r="74" customFormat="false" ht="15" hidden="false" customHeight="false" outlineLevel="0" collapsed="false">
      <c r="A74" s="23"/>
      <c r="B74" s="23"/>
      <c r="C74" s="23"/>
      <c r="D74" s="23"/>
      <c r="E74" s="23"/>
      <c r="F74" s="23"/>
      <c r="G74" s="23"/>
      <c r="H74" s="23"/>
      <c r="I74" s="23"/>
      <c r="J74" s="23"/>
      <c r="K74" s="24"/>
      <c r="L74" s="23"/>
      <c r="M74" s="25"/>
      <c r="N74" s="25"/>
      <c r="O74" s="23"/>
      <c r="P74" s="26"/>
      <c r="Q74" s="26"/>
      <c r="R74" s="27" t="str">
        <f aca="false">IF(AND(ISNUMBER(P74),ISNUMBER(Q74)),P74-Q74,"")</f>
        <v/>
      </c>
      <c r="S74" s="24"/>
      <c r="T74" s="28" t="str">
        <f aca="false">IF(S74&lt;&gt;"",S74,IF(B74="","",IFERROR(IF(INDEX(Batches!$G$5:$G$64,MATCH(B74,Batches!$A$5:$A$64,0))="","",INDEX(Batches!$G$5:$G$64,MATCH(B74,Batches!$A$5:$A$64,0))),"")))</f>
        <v/>
      </c>
      <c r="U74" s="23"/>
      <c r="V74" s="24"/>
      <c r="W74" s="28" t="str">
        <f aca="false">IF(OR(X74="",X74="Pending"),"",IF(V74&lt;&gt;"",V74,IFERROR(IF(INDEX(Batches!$H$5:$H$64,MATCH(B74,Batches!$A$5:$A$64,0))="","",INDEX(Batches!$H$5:$H$64,MATCH(B74,Batches!$A$5:$A$64,0))),"")))</f>
        <v/>
      </c>
      <c r="X74" s="23"/>
      <c r="Y74" s="23"/>
      <c r="Z74" s="26"/>
      <c r="AA74" s="27" t="str">
        <f aca="false">IF(R74="","",IF(X74="Not accepted",R74,IF(OR(X74="Accepted",X74="Withdrawn by hospital"),IF(X74="Accepted",0,R74),IF(ISNUMBER(Z74),R74-Z74,""))))</f>
        <v/>
      </c>
      <c r="AB74" s="23"/>
      <c r="AC74" s="25"/>
      <c r="AD74" s="23"/>
      <c r="AE74" s="23"/>
      <c r="AF74" s="24"/>
      <c r="AG74" s="23"/>
      <c r="AH74" s="24"/>
      <c r="AI74" s="29" t="str">
        <f aca="false">IF(X74="Not accepted","Maintained",IF(X74="Partially accepted","Partially maintained",IF(X74="Accepted","Reversed",IF(X74="Withdrawn by hospital","Withdrawn by hospital",""))))</f>
        <v/>
      </c>
      <c r="AJ74" s="28" t="str">
        <f aca="false">IF(AI74="","",W74)</f>
        <v/>
      </c>
      <c r="AK74" s="29" t="str">
        <f aca="false">IF(AND(ISNUMBER(T74),ISNUMBER(W74)),W74-T74,"")</f>
        <v/>
      </c>
      <c r="AL74" s="29" t="str">
        <f aca="false">IF(A74="","",SUMIF(Actions!$C$5:$C$1004,A74,Actions!$F$5:$F$1004))</f>
        <v/>
      </c>
      <c r="AM74" s="25"/>
    </row>
    <row r="75" customFormat="false" ht="15" hidden="false" customHeight="false" outlineLevel="0" collapsed="false">
      <c r="A75" s="23"/>
      <c r="B75" s="23"/>
      <c r="C75" s="23"/>
      <c r="D75" s="23"/>
      <c r="E75" s="23"/>
      <c r="F75" s="23"/>
      <c r="G75" s="23"/>
      <c r="H75" s="23"/>
      <c r="I75" s="23"/>
      <c r="J75" s="23"/>
      <c r="K75" s="24"/>
      <c r="L75" s="23"/>
      <c r="M75" s="25"/>
      <c r="N75" s="25"/>
      <c r="O75" s="23"/>
      <c r="P75" s="26"/>
      <c r="Q75" s="26"/>
      <c r="R75" s="27" t="str">
        <f aca="false">IF(AND(ISNUMBER(P75),ISNUMBER(Q75)),P75-Q75,"")</f>
        <v/>
      </c>
      <c r="S75" s="24"/>
      <c r="T75" s="28" t="str">
        <f aca="false">IF(S75&lt;&gt;"",S75,IF(B75="","",IFERROR(IF(INDEX(Batches!$G$5:$G$64,MATCH(B75,Batches!$A$5:$A$64,0))="","",INDEX(Batches!$G$5:$G$64,MATCH(B75,Batches!$A$5:$A$64,0))),"")))</f>
        <v/>
      </c>
      <c r="U75" s="23"/>
      <c r="V75" s="24"/>
      <c r="W75" s="28" t="str">
        <f aca="false">IF(OR(X75="",X75="Pending"),"",IF(V75&lt;&gt;"",V75,IFERROR(IF(INDEX(Batches!$H$5:$H$64,MATCH(B75,Batches!$A$5:$A$64,0))="","",INDEX(Batches!$H$5:$H$64,MATCH(B75,Batches!$A$5:$A$64,0))),"")))</f>
        <v/>
      </c>
      <c r="X75" s="23"/>
      <c r="Y75" s="23"/>
      <c r="Z75" s="26"/>
      <c r="AA75" s="27" t="str">
        <f aca="false">IF(R75="","",IF(X75="Not accepted",R75,IF(OR(X75="Accepted",X75="Withdrawn by hospital"),IF(X75="Accepted",0,R75),IF(ISNUMBER(Z75),R75-Z75,""))))</f>
        <v/>
      </c>
      <c r="AB75" s="23"/>
      <c r="AC75" s="25"/>
      <c r="AD75" s="23"/>
      <c r="AE75" s="23"/>
      <c r="AF75" s="24"/>
      <c r="AG75" s="23"/>
      <c r="AH75" s="24"/>
      <c r="AI75" s="29" t="str">
        <f aca="false">IF(X75="Not accepted","Maintained",IF(X75="Partially accepted","Partially maintained",IF(X75="Accepted","Reversed",IF(X75="Withdrawn by hospital","Withdrawn by hospital",""))))</f>
        <v/>
      </c>
      <c r="AJ75" s="28" t="str">
        <f aca="false">IF(AI75="","",W75)</f>
        <v/>
      </c>
      <c r="AK75" s="29" t="str">
        <f aca="false">IF(AND(ISNUMBER(T75),ISNUMBER(W75)),W75-T75,"")</f>
        <v/>
      </c>
      <c r="AL75" s="29" t="str">
        <f aca="false">IF(A75="","",SUMIF(Actions!$C$5:$C$1004,A75,Actions!$F$5:$F$1004))</f>
        <v/>
      </c>
      <c r="AM75" s="25"/>
    </row>
    <row r="76" customFormat="false" ht="15" hidden="false" customHeight="false" outlineLevel="0" collapsed="false">
      <c r="A76" s="23"/>
      <c r="B76" s="23"/>
      <c r="C76" s="23"/>
      <c r="D76" s="23"/>
      <c r="E76" s="23"/>
      <c r="F76" s="23"/>
      <c r="G76" s="23"/>
      <c r="H76" s="23"/>
      <c r="I76" s="23"/>
      <c r="J76" s="23"/>
      <c r="K76" s="24"/>
      <c r="L76" s="23"/>
      <c r="M76" s="25"/>
      <c r="N76" s="25"/>
      <c r="O76" s="23"/>
      <c r="P76" s="26"/>
      <c r="Q76" s="26"/>
      <c r="R76" s="27" t="str">
        <f aca="false">IF(AND(ISNUMBER(P76),ISNUMBER(Q76)),P76-Q76,"")</f>
        <v/>
      </c>
      <c r="S76" s="24"/>
      <c r="T76" s="28" t="str">
        <f aca="false">IF(S76&lt;&gt;"",S76,IF(B76="","",IFERROR(IF(INDEX(Batches!$G$5:$G$64,MATCH(B76,Batches!$A$5:$A$64,0))="","",INDEX(Batches!$G$5:$G$64,MATCH(B76,Batches!$A$5:$A$64,0))),"")))</f>
        <v/>
      </c>
      <c r="U76" s="23"/>
      <c r="V76" s="24"/>
      <c r="W76" s="28" t="str">
        <f aca="false">IF(OR(X76="",X76="Pending"),"",IF(V76&lt;&gt;"",V76,IFERROR(IF(INDEX(Batches!$H$5:$H$64,MATCH(B76,Batches!$A$5:$A$64,0))="","",INDEX(Batches!$H$5:$H$64,MATCH(B76,Batches!$A$5:$A$64,0))),"")))</f>
        <v/>
      </c>
      <c r="X76" s="23"/>
      <c r="Y76" s="23"/>
      <c r="Z76" s="26"/>
      <c r="AA76" s="27" t="str">
        <f aca="false">IF(R76="","",IF(X76="Not accepted",R76,IF(OR(X76="Accepted",X76="Withdrawn by hospital"),IF(X76="Accepted",0,R76),IF(ISNUMBER(Z76),R76-Z76,""))))</f>
        <v/>
      </c>
      <c r="AB76" s="23"/>
      <c r="AC76" s="25"/>
      <c r="AD76" s="23"/>
      <c r="AE76" s="23"/>
      <c r="AF76" s="24"/>
      <c r="AG76" s="23"/>
      <c r="AH76" s="24"/>
      <c r="AI76" s="29" t="str">
        <f aca="false">IF(X76="Not accepted","Maintained",IF(X76="Partially accepted","Partially maintained",IF(X76="Accepted","Reversed",IF(X76="Withdrawn by hospital","Withdrawn by hospital",""))))</f>
        <v/>
      </c>
      <c r="AJ76" s="28" t="str">
        <f aca="false">IF(AI76="","",W76)</f>
        <v/>
      </c>
      <c r="AK76" s="29" t="str">
        <f aca="false">IF(AND(ISNUMBER(T76),ISNUMBER(W76)),W76-T76,"")</f>
        <v/>
      </c>
      <c r="AL76" s="29" t="str">
        <f aca="false">IF(A76="","",SUMIF(Actions!$C$5:$C$1004,A76,Actions!$F$5:$F$1004))</f>
        <v/>
      </c>
      <c r="AM76" s="25"/>
    </row>
    <row r="77" customFormat="false" ht="15" hidden="false" customHeight="false" outlineLevel="0" collapsed="false">
      <c r="A77" s="23"/>
      <c r="B77" s="23"/>
      <c r="C77" s="23"/>
      <c r="D77" s="23"/>
      <c r="E77" s="23"/>
      <c r="F77" s="23"/>
      <c r="G77" s="23"/>
      <c r="H77" s="23"/>
      <c r="I77" s="23"/>
      <c r="J77" s="23"/>
      <c r="K77" s="24"/>
      <c r="L77" s="23"/>
      <c r="M77" s="25"/>
      <c r="N77" s="25"/>
      <c r="O77" s="23"/>
      <c r="P77" s="26"/>
      <c r="Q77" s="26"/>
      <c r="R77" s="27" t="str">
        <f aca="false">IF(AND(ISNUMBER(P77),ISNUMBER(Q77)),P77-Q77,"")</f>
        <v/>
      </c>
      <c r="S77" s="24"/>
      <c r="T77" s="28" t="str">
        <f aca="false">IF(S77&lt;&gt;"",S77,IF(B77="","",IFERROR(IF(INDEX(Batches!$G$5:$G$64,MATCH(B77,Batches!$A$5:$A$64,0))="","",INDEX(Batches!$G$5:$G$64,MATCH(B77,Batches!$A$5:$A$64,0))),"")))</f>
        <v/>
      </c>
      <c r="U77" s="23"/>
      <c r="V77" s="24"/>
      <c r="W77" s="28" t="str">
        <f aca="false">IF(OR(X77="",X77="Pending"),"",IF(V77&lt;&gt;"",V77,IFERROR(IF(INDEX(Batches!$H$5:$H$64,MATCH(B77,Batches!$A$5:$A$64,0))="","",INDEX(Batches!$H$5:$H$64,MATCH(B77,Batches!$A$5:$A$64,0))),"")))</f>
        <v/>
      </c>
      <c r="X77" s="23"/>
      <c r="Y77" s="23"/>
      <c r="Z77" s="26"/>
      <c r="AA77" s="27" t="str">
        <f aca="false">IF(R77="","",IF(X77="Not accepted",R77,IF(OR(X77="Accepted",X77="Withdrawn by hospital"),IF(X77="Accepted",0,R77),IF(ISNUMBER(Z77),R77-Z77,""))))</f>
        <v/>
      </c>
      <c r="AB77" s="23"/>
      <c r="AC77" s="25"/>
      <c r="AD77" s="23"/>
      <c r="AE77" s="23"/>
      <c r="AF77" s="24"/>
      <c r="AG77" s="23"/>
      <c r="AH77" s="24"/>
      <c r="AI77" s="29" t="str">
        <f aca="false">IF(X77="Not accepted","Maintained",IF(X77="Partially accepted","Partially maintained",IF(X77="Accepted","Reversed",IF(X77="Withdrawn by hospital","Withdrawn by hospital",""))))</f>
        <v/>
      </c>
      <c r="AJ77" s="28" t="str">
        <f aca="false">IF(AI77="","",W77)</f>
        <v/>
      </c>
      <c r="AK77" s="29" t="str">
        <f aca="false">IF(AND(ISNUMBER(T77),ISNUMBER(W77)),W77-T77,"")</f>
        <v/>
      </c>
      <c r="AL77" s="29" t="str">
        <f aca="false">IF(A77="","",SUMIF(Actions!$C$5:$C$1004,A77,Actions!$F$5:$F$1004))</f>
        <v/>
      </c>
      <c r="AM77" s="25"/>
    </row>
    <row r="78" customFormat="false" ht="15" hidden="false" customHeight="false" outlineLevel="0" collapsed="false">
      <c r="A78" s="23"/>
      <c r="B78" s="23"/>
      <c r="C78" s="23"/>
      <c r="D78" s="23"/>
      <c r="E78" s="23"/>
      <c r="F78" s="23"/>
      <c r="G78" s="23"/>
      <c r="H78" s="23"/>
      <c r="I78" s="23"/>
      <c r="J78" s="23"/>
      <c r="K78" s="24"/>
      <c r="L78" s="23"/>
      <c r="M78" s="25"/>
      <c r="N78" s="25"/>
      <c r="O78" s="23"/>
      <c r="P78" s="26"/>
      <c r="Q78" s="26"/>
      <c r="R78" s="27" t="str">
        <f aca="false">IF(AND(ISNUMBER(P78),ISNUMBER(Q78)),P78-Q78,"")</f>
        <v/>
      </c>
      <c r="S78" s="24"/>
      <c r="T78" s="28" t="str">
        <f aca="false">IF(S78&lt;&gt;"",S78,IF(B78="","",IFERROR(IF(INDEX(Batches!$G$5:$G$64,MATCH(B78,Batches!$A$5:$A$64,0))="","",INDEX(Batches!$G$5:$G$64,MATCH(B78,Batches!$A$5:$A$64,0))),"")))</f>
        <v/>
      </c>
      <c r="U78" s="23"/>
      <c r="V78" s="24"/>
      <c r="W78" s="28" t="str">
        <f aca="false">IF(OR(X78="",X78="Pending"),"",IF(V78&lt;&gt;"",V78,IFERROR(IF(INDEX(Batches!$H$5:$H$64,MATCH(B78,Batches!$A$5:$A$64,0))="","",INDEX(Batches!$H$5:$H$64,MATCH(B78,Batches!$A$5:$A$64,0))),"")))</f>
        <v/>
      </c>
      <c r="X78" s="23"/>
      <c r="Y78" s="23"/>
      <c r="Z78" s="26"/>
      <c r="AA78" s="27" t="str">
        <f aca="false">IF(R78="","",IF(X78="Not accepted",R78,IF(OR(X78="Accepted",X78="Withdrawn by hospital"),IF(X78="Accepted",0,R78),IF(ISNUMBER(Z78),R78-Z78,""))))</f>
        <v/>
      </c>
      <c r="AB78" s="23"/>
      <c r="AC78" s="25"/>
      <c r="AD78" s="23"/>
      <c r="AE78" s="23"/>
      <c r="AF78" s="24"/>
      <c r="AG78" s="23"/>
      <c r="AH78" s="24"/>
      <c r="AI78" s="29" t="str">
        <f aca="false">IF(X78="Not accepted","Maintained",IF(X78="Partially accepted","Partially maintained",IF(X78="Accepted","Reversed",IF(X78="Withdrawn by hospital","Withdrawn by hospital",""))))</f>
        <v/>
      </c>
      <c r="AJ78" s="28" t="str">
        <f aca="false">IF(AI78="","",W78)</f>
        <v/>
      </c>
      <c r="AK78" s="29" t="str">
        <f aca="false">IF(AND(ISNUMBER(T78),ISNUMBER(W78)),W78-T78,"")</f>
        <v/>
      </c>
      <c r="AL78" s="29" t="str">
        <f aca="false">IF(A78="","",SUMIF(Actions!$C$5:$C$1004,A78,Actions!$F$5:$F$1004))</f>
        <v/>
      </c>
      <c r="AM78" s="25"/>
    </row>
    <row r="79" customFormat="false" ht="15" hidden="false" customHeight="false" outlineLevel="0" collapsed="false">
      <c r="A79" s="23"/>
      <c r="B79" s="23"/>
      <c r="C79" s="23"/>
      <c r="D79" s="23"/>
      <c r="E79" s="23"/>
      <c r="F79" s="23"/>
      <c r="G79" s="23"/>
      <c r="H79" s="23"/>
      <c r="I79" s="23"/>
      <c r="J79" s="23"/>
      <c r="K79" s="24"/>
      <c r="L79" s="23"/>
      <c r="M79" s="25"/>
      <c r="N79" s="25"/>
      <c r="O79" s="23"/>
      <c r="P79" s="26"/>
      <c r="Q79" s="26"/>
      <c r="R79" s="27" t="str">
        <f aca="false">IF(AND(ISNUMBER(P79),ISNUMBER(Q79)),P79-Q79,"")</f>
        <v/>
      </c>
      <c r="S79" s="24"/>
      <c r="T79" s="28" t="str">
        <f aca="false">IF(S79&lt;&gt;"",S79,IF(B79="","",IFERROR(IF(INDEX(Batches!$G$5:$G$64,MATCH(B79,Batches!$A$5:$A$64,0))="","",INDEX(Batches!$G$5:$G$64,MATCH(B79,Batches!$A$5:$A$64,0))),"")))</f>
        <v/>
      </c>
      <c r="U79" s="23"/>
      <c r="V79" s="24"/>
      <c r="W79" s="28" t="str">
        <f aca="false">IF(OR(X79="",X79="Pending"),"",IF(V79&lt;&gt;"",V79,IFERROR(IF(INDEX(Batches!$H$5:$H$64,MATCH(B79,Batches!$A$5:$A$64,0))="","",INDEX(Batches!$H$5:$H$64,MATCH(B79,Batches!$A$5:$A$64,0))),"")))</f>
        <v/>
      </c>
      <c r="X79" s="23"/>
      <c r="Y79" s="23"/>
      <c r="Z79" s="26"/>
      <c r="AA79" s="27" t="str">
        <f aca="false">IF(R79="","",IF(X79="Not accepted",R79,IF(OR(X79="Accepted",X79="Withdrawn by hospital"),IF(X79="Accepted",0,R79),IF(ISNUMBER(Z79),R79-Z79,""))))</f>
        <v/>
      </c>
      <c r="AB79" s="23"/>
      <c r="AC79" s="25"/>
      <c r="AD79" s="23"/>
      <c r="AE79" s="23"/>
      <c r="AF79" s="24"/>
      <c r="AG79" s="23"/>
      <c r="AH79" s="24"/>
      <c r="AI79" s="29" t="str">
        <f aca="false">IF(X79="Not accepted","Maintained",IF(X79="Partially accepted","Partially maintained",IF(X79="Accepted","Reversed",IF(X79="Withdrawn by hospital","Withdrawn by hospital",""))))</f>
        <v/>
      </c>
      <c r="AJ79" s="28" t="str">
        <f aca="false">IF(AI79="","",W79)</f>
        <v/>
      </c>
      <c r="AK79" s="29" t="str">
        <f aca="false">IF(AND(ISNUMBER(T79),ISNUMBER(W79)),W79-T79,"")</f>
        <v/>
      </c>
      <c r="AL79" s="29" t="str">
        <f aca="false">IF(A79="","",SUMIF(Actions!$C$5:$C$1004,A79,Actions!$F$5:$F$1004))</f>
        <v/>
      </c>
      <c r="AM79" s="25"/>
    </row>
    <row r="80" customFormat="false" ht="15" hidden="false" customHeight="false" outlineLevel="0" collapsed="false">
      <c r="A80" s="23"/>
      <c r="B80" s="23"/>
      <c r="C80" s="23"/>
      <c r="D80" s="23"/>
      <c r="E80" s="23"/>
      <c r="F80" s="23"/>
      <c r="G80" s="23"/>
      <c r="H80" s="23"/>
      <c r="I80" s="23"/>
      <c r="J80" s="23"/>
      <c r="K80" s="24"/>
      <c r="L80" s="23"/>
      <c r="M80" s="25"/>
      <c r="N80" s="25"/>
      <c r="O80" s="23"/>
      <c r="P80" s="26"/>
      <c r="Q80" s="26"/>
      <c r="R80" s="27" t="str">
        <f aca="false">IF(AND(ISNUMBER(P80),ISNUMBER(Q80)),P80-Q80,"")</f>
        <v/>
      </c>
      <c r="S80" s="24"/>
      <c r="T80" s="28" t="str">
        <f aca="false">IF(S80&lt;&gt;"",S80,IF(B80="","",IFERROR(IF(INDEX(Batches!$G$5:$G$64,MATCH(B80,Batches!$A$5:$A$64,0))="","",INDEX(Batches!$G$5:$G$64,MATCH(B80,Batches!$A$5:$A$64,0))),"")))</f>
        <v/>
      </c>
      <c r="U80" s="23"/>
      <c r="V80" s="24"/>
      <c r="W80" s="28" t="str">
        <f aca="false">IF(OR(X80="",X80="Pending"),"",IF(V80&lt;&gt;"",V80,IFERROR(IF(INDEX(Batches!$H$5:$H$64,MATCH(B80,Batches!$A$5:$A$64,0))="","",INDEX(Batches!$H$5:$H$64,MATCH(B80,Batches!$A$5:$A$64,0))),"")))</f>
        <v/>
      </c>
      <c r="X80" s="23"/>
      <c r="Y80" s="23"/>
      <c r="Z80" s="26"/>
      <c r="AA80" s="27" t="str">
        <f aca="false">IF(R80="","",IF(X80="Not accepted",R80,IF(OR(X80="Accepted",X80="Withdrawn by hospital"),IF(X80="Accepted",0,R80),IF(ISNUMBER(Z80),R80-Z80,""))))</f>
        <v/>
      </c>
      <c r="AB80" s="23"/>
      <c r="AC80" s="25"/>
      <c r="AD80" s="23"/>
      <c r="AE80" s="23"/>
      <c r="AF80" s="24"/>
      <c r="AG80" s="23"/>
      <c r="AH80" s="24"/>
      <c r="AI80" s="29" t="str">
        <f aca="false">IF(X80="Not accepted","Maintained",IF(X80="Partially accepted","Partially maintained",IF(X80="Accepted","Reversed",IF(X80="Withdrawn by hospital","Withdrawn by hospital",""))))</f>
        <v/>
      </c>
      <c r="AJ80" s="28" t="str">
        <f aca="false">IF(AI80="","",W80)</f>
        <v/>
      </c>
      <c r="AK80" s="29" t="str">
        <f aca="false">IF(AND(ISNUMBER(T80),ISNUMBER(W80)),W80-T80,"")</f>
        <v/>
      </c>
      <c r="AL80" s="29" t="str">
        <f aca="false">IF(A80="","",SUMIF(Actions!$C$5:$C$1004,A80,Actions!$F$5:$F$1004))</f>
        <v/>
      </c>
      <c r="AM80" s="25"/>
    </row>
    <row r="81" customFormat="false" ht="15" hidden="false" customHeight="false" outlineLevel="0" collapsed="false">
      <c r="A81" s="23"/>
      <c r="B81" s="23"/>
      <c r="C81" s="23"/>
      <c r="D81" s="23"/>
      <c r="E81" s="23"/>
      <c r="F81" s="23"/>
      <c r="G81" s="23"/>
      <c r="H81" s="23"/>
      <c r="I81" s="23"/>
      <c r="J81" s="23"/>
      <c r="K81" s="24"/>
      <c r="L81" s="23"/>
      <c r="M81" s="25"/>
      <c r="N81" s="25"/>
      <c r="O81" s="23"/>
      <c r="P81" s="26"/>
      <c r="Q81" s="26"/>
      <c r="R81" s="27" t="str">
        <f aca="false">IF(AND(ISNUMBER(P81),ISNUMBER(Q81)),P81-Q81,"")</f>
        <v/>
      </c>
      <c r="S81" s="24"/>
      <c r="T81" s="28" t="str">
        <f aca="false">IF(S81&lt;&gt;"",S81,IF(B81="","",IFERROR(IF(INDEX(Batches!$G$5:$G$64,MATCH(B81,Batches!$A$5:$A$64,0))="","",INDEX(Batches!$G$5:$G$64,MATCH(B81,Batches!$A$5:$A$64,0))),"")))</f>
        <v/>
      </c>
      <c r="U81" s="23"/>
      <c r="V81" s="24"/>
      <c r="W81" s="28" t="str">
        <f aca="false">IF(OR(X81="",X81="Pending"),"",IF(V81&lt;&gt;"",V81,IFERROR(IF(INDEX(Batches!$H$5:$H$64,MATCH(B81,Batches!$A$5:$A$64,0))="","",INDEX(Batches!$H$5:$H$64,MATCH(B81,Batches!$A$5:$A$64,0))),"")))</f>
        <v/>
      </c>
      <c r="X81" s="23"/>
      <c r="Y81" s="23"/>
      <c r="Z81" s="26"/>
      <c r="AA81" s="27" t="str">
        <f aca="false">IF(R81="","",IF(X81="Not accepted",R81,IF(OR(X81="Accepted",X81="Withdrawn by hospital"),IF(X81="Accepted",0,R81),IF(ISNUMBER(Z81),R81-Z81,""))))</f>
        <v/>
      </c>
      <c r="AB81" s="23"/>
      <c r="AC81" s="25"/>
      <c r="AD81" s="23"/>
      <c r="AE81" s="23"/>
      <c r="AF81" s="24"/>
      <c r="AG81" s="23"/>
      <c r="AH81" s="24"/>
      <c r="AI81" s="29" t="str">
        <f aca="false">IF(X81="Not accepted","Maintained",IF(X81="Partially accepted","Partially maintained",IF(X81="Accepted","Reversed",IF(X81="Withdrawn by hospital","Withdrawn by hospital",""))))</f>
        <v/>
      </c>
      <c r="AJ81" s="28" t="str">
        <f aca="false">IF(AI81="","",W81)</f>
        <v/>
      </c>
      <c r="AK81" s="29" t="str">
        <f aca="false">IF(AND(ISNUMBER(T81),ISNUMBER(W81)),W81-T81,"")</f>
        <v/>
      </c>
      <c r="AL81" s="29" t="str">
        <f aca="false">IF(A81="","",SUMIF(Actions!$C$5:$C$1004,A81,Actions!$F$5:$F$1004))</f>
        <v/>
      </c>
      <c r="AM81" s="25"/>
    </row>
    <row r="82" customFormat="false" ht="15" hidden="false" customHeight="false" outlineLevel="0" collapsed="false">
      <c r="A82" s="23"/>
      <c r="B82" s="23"/>
      <c r="C82" s="23"/>
      <c r="D82" s="23"/>
      <c r="E82" s="23"/>
      <c r="F82" s="23"/>
      <c r="G82" s="23"/>
      <c r="H82" s="23"/>
      <c r="I82" s="23"/>
      <c r="J82" s="23"/>
      <c r="K82" s="24"/>
      <c r="L82" s="23"/>
      <c r="M82" s="25"/>
      <c r="N82" s="25"/>
      <c r="O82" s="23"/>
      <c r="P82" s="26"/>
      <c r="Q82" s="26"/>
      <c r="R82" s="27" t="str">
        <f aca="false">IF(AND(ISNUMBER(P82),ISNUMBER(Q82)),P82-Q82,"")</f>
        <v/>
      </c>
      <c r="S82" s="24"/>
      <c r="T82" s="28" t="str">
        <f aca="false">IF(S82&lt;&gt;"",S82,IF(B82="","",IFERROR(IF(INDEX(Batches!$G$5:$G$64,MATCH(B82,Batches!$A$5:$A$64,0))="","",INDEX(Batches!$G$5:$G$64,MATCH(B82,Batches!$A$5:$A$64,0))),"")))</f>
        <v/>
      </c>
      <c r="U82" s="23"/>
      <c r="V82" s="24"/>
      <c r="W82" s="28" t="str">
        <f aca="false">IF(OR(X82="",X82="Pending"),"",IF(V82&lt;&gt;"",V82,IFERROR(IF(INDEX(Batches!$H$5:$H$64,MATCH(B82,Batches!$A$5:$A$64,0))="","",INDEX(Batches!$H$5:$H$64,MATCH(B82,Batches!$A$5:$A$64,0))),"")))</f>
        <v/>
      </c>
      <c r="X82" s="23"/>
      <c r="Y82" s="23"/>
      <c r="Z82" s="26"/>
      <c r="AA82" s="27" t="str">
        <f aca="false">IF(R82="","",IF(X82="Not accepted",R82,IF(OR(X82="Accepted",X82="Withdrawn by hospital"),IF(X82="Accepted",0,R82),IF(ISNUMBER(Z82),R82-Z82,""))))</f>
        <v/>
      </c>
      <c r="AB82" s="23"/>
      <c r="AC82" s="25"/>
      <c r="AD82" s="23"/>
      <c r="AE82" s="23"/>
      <c r="AF82" s="24"/>
      <c r="AG82" s="23"/>
      <c r="AH82" s="24"/>
      <c r="AI82" s="29" t="str">
        <f aca="false">IF(X82="Not accepted","Maintained",IF(X82="Partially accepted","Partially maintained",IF(X82="Accepted","Reversed",IF(X82="Withdrawn by hospital","Withdrawn by hospital",""))))</f>
        <v/>
      </c>
      <c r="AJ82" s="28" t="str">
        <f aca="false">IF(AI82="","",W82)</f>
        <v/>
      </c>
      <c r="AK82" s="29" t="str">
        <f aca="false">IF(AND(ISNUMBER(T82),ISNUMBER(W82)),W82-T82,"")</f>
        <v/>
      </c>
      <c r="AL82" s="29" t="str">
        <f aca="false">IF(A82="","",SUMIF(Actions!$C$5:$C$1004,A82,Actions!$F$5:$F$1004))</f>
        <v/>
      </c>
      <c r="AM82" s="25"/>
    </row>
    <row r="83" customFormat="false" ht="15" hidden="false" customHeight="false" outlineLevel="0" collapsed="false">
      <c r="A83" s="23"/>
      <c r="B83" s="23"/>
      <c r="C83" s="23"/>
      <c r="D83" s="23"/>
      <c r="E83" s="23"/>
      <c r="F83" s="23"/>
      <c r="G83" s="23"/>
      <c r="H83" s="23"/>
      <c r="I83" s="23"/>
      <c r="J83" s="23"/>
      <c r="K83" s="24"/>
      <c r="L83" s="23"/>
      <c r="M83" s="25"/>
      <c r="N83" s="25"/>
      <c r="O83" s="23"/>
      <c r="P83" s="26"/>
      <c r="Q83" s="26"/>
      <c r="R83" s="27" t="str">
        <f aca="false">IF(AND(ISNUMBER(P83),ISNUMBER(Q83)),P83-Q83,"")</f>
        <v/>
      </c>
      <c r="S83" s="24"/>
      <c r="T83" s="28" t="str">
        <f aca="false">IF(S83&lt;&gt;"",S83,IF(B83="","",IFERROR(IF(INDEX(Batches!$G$5:$G$64,MATCH(B83,Batches!$A$5:$A$64,0))="","",INDEX(Batches!$G$5:$G$64,MATCH(B83,Batches!$A$5:$A$64,0))),"")))</f>
        <v/>
      </c>
      <c r="U83" s="23"/>
      <c r="V83" s="24"/>
      <c r="W83" s="28" t="str">
        <f aca="false">IF(OR(X83="",X83="Pending"),"",IF(V83&lt;&gt;"",V83,IFERROR(IF(INDEX(Batches!$H$5:$H$64,MATCH(B83,Batches!$A$5:$A$64,0))="","",INDEX(Batches!$H$5:$H$64,MATCH(B83,Batches!$A$5:$A$64,0))),"")))</f>
        <v/>
      </c>
      <c r="X83" s="23"/>
      <c r="Y83" s="23"/>
      <c r="Z83" s="26"/>
      <c r="AA83" s="27" t="str">
        <f aca="false">IF(R83="","",IF(X83="Not accepted",R83,IF(OR(X83="Accepted",X83="Withdrawn by hospital"),IF(X83="Accepted",0,R83),IF(ISNUMBER(Z83),R83-Z83,""))))</f>
        <v/>
      </c>
      <c r="AB83" s="23"/>
      <c r="AC83" s="25"/>
      <c r="AD83" s="23"/>
      <c r="AE83" s="23"/>
      <c r="AF83" s="24"/>
      <c r="AG83" s="23"/>
      <c r="AH83" s="24"/>
      <c r="AI83" s="29" t="str">
        <f aca="false">IF(X83="Not accepted","Maintained",IF(X83="Partially accepted","Partially maintained",IF(X83="Accepted","Reversed",IF(X83="Withdrawn by hospital","Withdrawn by hospital",""))))</f>
        <v/>
      </c>
      <c r="AJ83" s="28" t="str">
        <f aca="false">IF(AI83="","",W83)</f>
        <v/>
      </c>
      <c r="AK83" s="29" t="str">
        <f aca="false">IF(AND(ISNUMBER(T83),ISNUMBER(W83)),W83-T83,"")</f>
        <v/>
      </c>
      <c r="AL83" s="29" t="str">
        <f aca="false">IF(A83="","",SUMIF(Actions!$C$5:$C$1004,A83,Actions!$F$5:$F$1004))</f>
        <v/>
      </c>
      <c r="AM83" s="25"/>
    </row>
    <row r="84" customFormat="false" ht="15" hidden="false" customHeight="false" outlineLevel="0" collapsed="false">
      <c r="A84" s="23"/>
      <c r="B84" s="23"/>
      <c r="C84" s="23"/>
      <c r="D84" s="23"/>
      <c r="E84" s="23"/>
      <c r="F84" s="23"/>
      <c r="G84" s="23"/>
      <c r="H84" s="23"/>
      <c r="I84" s="23"/>
      <c r="J84" s="23"/>
      <c r="K84" s="24"/>
      <c r="L84" s="23"/>
      <c r="M84" s="25"/>
      <c r="N84" s="25"/>
      <c r="O84" s="23"/>
      <c r="P84" s="26"/>
      <c r="Q84" s="26"/>
      <c r="R84" s="27" t="str">
        <f aca="false">IF(AND(ISNUMBER(P84),ISNUMBER(Q84)),P84-Q84,"")</f>
        <v/>
      </c>
      <c r="S84" s="24"/>
      <c r="T84" s="28" t="str">
        <f aca="false">IF(S84&lt;&gt;"",S84,IF(B84="","",IFERROR(IF(INDEX(Batches!$G$5:$G$64,MATCH(B84,Batches!$A$5:$A$64,0))="","",INDEX(Batches!$G$5:$G$64,MATCH(B84,Batches!$A$5:$A$64,0))),"")))</f>
        <v/>
      </c>
      <c r="U84" s="23"/>
      <c r="V84" s="24"/>
      <c r="W84" s="28" t="str">
        <f aca="false">IF(OR(X84="",X84="Pending"),"",IF(V84&lt;&gt;"",V84,IFERROR(IF(INDEX(Batches!$H$5:$H$64,MATCH(B84,Batches!$A$5:$A$64,0))="","",INDEX(Batches!$H$5:$H$64,MATCH(B84,Batches!$A$5:$A$64,0))),"")))</f>
        <v/>
      </c>
      <c r="X84" s="23"/>
      <c r="Y84" s="23"/>
      <c r="Z84" s="26"/>
      <c r="AA84" s="27" t="str">
        <f aca="false">IF(R84="","",IF(X84="Not accepted",R84,IF(OR(X84="Accepted",X84="Withdrawn by hospital"),IF(X84="Accepted",0,R84),IF(ISNUMBER(Z84),R84-Z84,""))))</f>
        <v/>
      </c>
      <c r="AB84" s="23"/>
      <c r="AC84" s="25"/>
      <c r="AD84" s="23"/>
      <c r="AE84" s="23"/>
      <c r="AF84" s="24"/>
      <c r="AG84" s="23"/>
      <c r="AH84" s="24"/>
      <c r="AI84" s="29" t="str">
        <f aca="false">IF(X84="Not accepted","Maintained",IF(X84="Partially accepted","Partially maintained",IF(X84="Accepted","Reversed",IF(X84="Withdrawn by hospital","Withdrawn by hospital",""))))</f>
        <v/>
      </c>
      <c r="AJ84" s="28" t="str">
        <f aca="false">IF(AI84="","",W84)</f>
        <v/>
      </c>
      <c r="AK84" s="29" t="str">
        <f aca="false">IF(AND(ISNUMBER(T84),ISNUMBER(W84)),W84-T84,"")</f>
        <v/>
      </c>
      <c r="AL84" s="29" t="str">
        <f aca="false">IF(A84="","",SUMIF(Actions!$C$5:$C$1004,A84,Actions!$F$5:$F$1004))</f>
        <v/>
      </c>
      <c r="AM84" s="25"/>
    </row>
    <row r="85" customFormat="false" ht="15" hidden="false" customHeight="false" outlineLevel="0" collapsed="false">
      <c r="A85" s="23"/>
      <c r="B85" s="23"/>
      <c r="C85" s="23"/>
      <c r="D85" s="23"/>
      <c r="E85" s="23"/>
      <c r="F85" s="23"/>
      <c r="G85" s="23"/>
      <c r="H85" s="23"/>
      <c r="I85" s="23"/>
      <c r="J85" s="23"/>
      <c r="K85" s="24"/>
      <c r="L85" s="23"/>
      <c r="M85" s="25"/>
      <c r="N85" s="25"/>
      <c r="O85" s="23"/>
      <c r="P85" s="26"/>
      <c r="Q85" s="26"/>
      <c r="R85" s="27" t="str">
        <f aca="false">IF(AND(ISNUMBER(P85),ISNUMBER(Q85)),P85-Q85,"")</f>
        <v/>
      </c>
      <c r="S85" s="24"/>
      <c r="T85" s="28" t="str">
        <f aca="false">IF(S85&lt;&gt;"",S85,IF(B85="","",IFERROR(IF(INDEX(Batches!$G$5:$G$64,MATCH(B85,Batches!$A$5:$A$64,0))="","",INDEX(Batches!$G$5:$G$64,MATCH(B85,Batches!$A$5:$A$64,0))),"")))</f>
        <v/>
      </c>
      <c r="U85" s="23"/>
      <c r="V85" s="24"/>
      <c r="W85" s="28" t="str">
        <f aca="false">IF(OR(X85="",X85="Pending"),"",IF(V85&lt;&gt;"",V85,IFERROR(IF(INDEX(Batches!$H$5:$H$64,MATCH(B85,Batches!$A$5:$A$64,0))="","",INDEX(Batches!$H$5:$H$64,MATCH(B85,Batches!$A$5:$A$64,0))),"")))</f>
        <v/>
      </c>
      <c r="X85" s="23"/>
      <c r="Y85" s="23"/>
      <c r="Z85" s="26"/>
      <c r="AA85" s="27" t="str">
        <f aca="false">IF(R85="","",IF(X85="Not accepted",R85,IF(OR(X85="Accepted",X85="Withdrawn by hospital"),IF(X85="Accepted",0,R85),IF(ISNUMBER(Z85),R85-Z85,""))))</f>
        <v/>
      </c>
      <c r="AB85" s="23"/>
      <c r="AC85" s="25"/>
      <c r="AD85" s="23"/>
      <c r="AE85" s="23"/>
      <c r="AF85" s="24"/>
      <c r="AG85" s="23"/>
      <c r="AH85" s="24"/>
      <c r="AI85" s="29" t="str">
        <f aca="false">IF(X85="Not accepted","Maintained",IF(X85="Partially accepted","Partially maintained",IF(X85="Accepted","Reversed",IF(X85="Withdrawn by hospital","Withdrawn by hospital",""))))</f>
        <v/>
      </c>
      <c r="AJ85" s="28" t="str">
        <f aca="false">IF(AI85="","",W85)</f>
        <v/>
      </c>
      <c r="AK85" s="29" t="str">
        <f aca="false">IF(AND(ISNUMBER(T85),ISNUMBER(W85)),W85-T85,"")</f>
        <v/>
      </c>
      <c r="AL85" s="29" t="str">
        <f aca="false">IF(A85="","",SUMIF(Actions!$C$5:$C$1004,A85,Actions!$F$5:$F$1004))</f>
        <v/>
      </c>
      <c r="AM85" s="25"/>
    </row>
    <row r="86" customFormat="false" ht="15" hidden="false" customHeight="false" outlineLevel="0" collapsed="false">
      <c r="A86" s="23"/>
      <c r="B86" s="23"/>
      <c r="C86" s="23"/>
      <c r="D86" s="23"/>
      <c r="E86" s="23"/>
      <c r="F86" s="23"/>
      <c r="G86" s="23"/>
      <c r="H86" s="23"/>
      <c r="I86" s="23"/>
      <c r="J86" s="23"/>
      <c r="K86" s="24"/>
      <c r="L86" s="23"/>
      <c r="M86" s="25"/>
      <c r="N86" s="25"/>
      <c r="O86" s="23"/>
      <c r="P86" s="26"/>
      <c r="Q86" s="26"/>
      <c r="R86" s="27" t="str">
        <f aca="false">IF(AND(ISNUMBER(P86),ISNUMBER(Q86)),P86-Q86,"")</f>
        <v/>
      </c>
      <c r="S86" s="24"/>
      <c r="T86" s="28" t="str">
        <f aca="false">IF(S86&lt;&gt;"",S86,IF(B86="","",IFERROR(IF(INDEX(Batches!$G$5:$G$64,MATCH(B86,Batches!$A$5:$A$64,0))="","",INDEX(Batches!$G$5:$G$64,MATCH(B86,Batches!$A$5:$A$64,0))),"")))</f>
        <v/>
      </c>
      <c r="U86" s="23"/>
      <c r="V86" s="24"/>
      <c r="W86" s="28" t="str">
        <f aca="false">IF(OR(X86="",X86="Pending"),"",IF(V86&lt;&gt;"",V86,IFERROR(IF(INDEX(Batches!$H$5:$H$64,MATCH(B86,Batches!$A$5:$A$64,0))="","",INDEX(Batches!$H$5:$H$64,MATCH(B86,Batches!$A$5:$A$64,0))),"")))</f>
        <v/>
      </c>
      <c r="X86" s="23"/>
      <c r="Y86" s="23"/>
      <c r="Z86" s="26"/>
      <c r="AA86" s="27" t="str">
        <f aca="false">IF(R86="","",IF(X86="Not accepted",R86,IF(OR(X86="Accepted",X86="Withdrawn by hospital"),IF(X86="Accepted",0,R86),IF(ISNUMBER(Z86),R86-Z86,""))))</f>
        <v/>
      </c>
      <c r="AB86" s="23"/>
      <c r="AC86" s="25"/>
      <c r="AD86" s="23"/>
      <c r="AE86" s="23"/>
      <c r="AF86" s="24"/>
      <c r="AG86" s="23"/>
      <c r="AH86" s="24"/>
      <c r="AI86" s="29" t="str">
        <f aca="false">IF(X86="Not accepted","Maintained",IF(X86="Partially accepted","Partially maintained",IF(X86="Accepted","Reversed",IF(X86="Withdrawn by hospital","Withdrawn by hospital",""))))</f>
        <v/>
      </c>
      <c r="AJ86" s="28" t="str">
        <f aca="false">IF(AI86="","",W86)</f>
        <v/>
      </c>
      <c r="AK86" s="29" t="str">
        <f aca="false">IF(AND(ISNUMBER(T86),ISNUMBER(W86)),W86-T86,"")</f>
        <v/>
      </c>
      <c r="AL86" s="29" t="str">
        <f aca="false">IF(A86="","",SUMIF(Actions!$C$5:$C$1004,A86,Actions!$F$5:$F$1004))</f>
        <v/>
      </c>
      <c r="AM86" s="25"/>
    </row>
    <row r="87" customFormat="false" ht="15" hidden="false" customHeight="false" outlineLevel="0" collapsed="false">
      <c r="A87" s="23"/>
      <c r="B87" s="23"/>
      <c r="C87" s="23"/>
      <c r="D87" s="23"/>
      <c r="E87" s="23"/>
      <c r="F87" s="23"/>
      <c r="G87" s="23"/>
      <c r="H87" s="23"/>
      <c r="I87" s="23"/>
      <c r="J87" s="23"/>
      <c r="K87" s="24"/>
      <c r="L87" s="23"/>
      <c r="M87" s="25"/>
      <c r="N87" s="25"/>
      <c r="O87" s="23"/>
      <c r="P87" s="26"/>
      <c r="Q87" s="26"/>
      <c r="R87" s="27" t="str">
        <f aca="false">IF(AND(ISNUMBER(P87),ISNUMBER(Q87)),P87-Q87,"")</f>
        <v/>
      </c>
      <c r="S87" s="24"/>
      <c r="T87" s="28" t="str">
        <f aca="false">IF(S87&lt;&gt;"",S87,IF(B87="","",IFERROR(IF(INDEX(Batches!$G$5:$G$64,MATCH(B87,Batches!$A$5:$A$64,0))="","",INDEX(Batches!$G$5:$G$64,MATCH(B87,Batches!$A$5:$A$64,0))),"")))</f>
        <v/>
      </c>
      <c r="U87" s="23"/>
      <c r="V87" s="24"/>
      <c r="W87" s="28" t="str">
        <f aca="false">IF(OR(X87="",X87="Pending"),"",IF(V87&lt;&gt;"",V87,IFERROR(IF(INDEX(Batches!$H$5:$H$64,MATCH(B87,Batches!$A$5:$A$64,0))="","",INDEX(Batches!$H$5:$H$64,MATCH(B87,Batches!$A$5:$A$64,0))),"")))</f>
        <v/>
      </c>
      <c r="X87" s="23"/>
      <c r="Y87" s="23"/>
      <c r="Z87" s="26"/>
      <c r="AA87" s="27" t="str">
        <f aca="false">IF(R87="","",IF(X87="Not accepted",R87,IF(OR(X87="Accepted",X87="Withdrawn by hospital"),IF(X87="Accepted",0,R87),IF(ISNUMBER(Z87),R87-Z87,""))))</f>
        <v/>
      </c>
      <c r="AB87" s="23"/>
      <c r="AC87" s="25"/>
      <c r="AD87" s="23"/>
      <c r="AE87" s="23"/>
      <c r="AF87" s="24"/>
      <c r="AG87" s="23"/>
      <c r="AH87" s="24"/>
      <c r="AI87" s="29" t="str">
        <f aca="false">IF(X87="Not accepted","Maintained",IF(X87="Partially accepted","Partially maintained",IF(X87="Accepted","Reversed",IF(X87="Withdrawn by hospital","Withdrawn by hospital",""))))</f>
        <v/>
      </c>
      <c r="AJ87" s="28" t="str">
        <f aca="false">IF(AI87="","",W87)</f>
        <v/>
      </c>
      <c r="AK87" s="29" t="str">
        <f aca="false">IF(AND(ISNUMBER(T87),ISNUMBER(W87)),W87-T87,"")</f>
        <v/>
      </c>
      <c r="AL87" s="29" t="str">
        <f aca="false">IF(A87="","",SUMIF(Actions!$C$5:$C$1004,A87,Actions!$F$5:$F$1004))</f>
        <v/>
      </c>
      <c r="AM87" s="25"/>
    </row>
    <row r="88" customFormat="false" ht="15" hidden="false" customHeight="false" outlineLevel="0" collapsed="false">
      <c r="A88" s="23"/>
      <c r="B88" s="23"/>
      <c r="C88" s="23"/>
      <c r="D88" s="23"/>
      <c r="E88" s="23"/>
      <c r="F88" s="23"/>
      <c r="G88" s="23"/>
      <c r="H88" s="23"/>
      <c r="I88" s="23"/>
      <c r="J88" s="23"/>
      <c r="K88" s="24"/>
      <c r="L88" s="23"/>
      <c r="M88" s="25"/>
      <c r="N88" s="25"/>
      <c r="O88" s="23"/>
      <c r="P88" s="26"/>
      <c r="Q88" s="26"/>
      <c r="R88" s="27" t="str">
        <f aca="false">IF(AND(ISNUMBER(P88),ISNUMBER(Q88)),P88-Q88,"")</f>
        <v/>
      </c>
      <c r="S88" s="24"/>
      <c r="T88" s="28" t="str">
        <f aca="false">IF(S88&lt;&gt;"",S88,IF(B88="","",IFERROR(IF(INDEX(Batches!$G$5:$G$64,MATCH(B88,Batches!$A$5:$A$64,0))="","",INDEX(Batches!$G$5:$G$64,MATCH(B88,Batches!$A$5:$A$64,0))),"")))</f>
        <v/>
      </c>
      <c r="U88" s="23"/>
      <c r="V88" s="24"/>
      <c r="W88" s="28" t="str">
        <f aca="false">IF(OR(X88="",X88="Pending"),"",IF(V88&lt;&gt;"",V88,IFERROR(IF(INDEX(Batches!$H$5:$H$64,MATCH(B88,Batches!$A$5:$A$64,0))="","",INDEX(Batches!$H$5:$H$64,MATCH(B88,Batches!$A$5:$A$64,0))),"")))</f>
        <v/>
      </c>
      <c r="X88" s="23"/>
      <c r="Y88" s="23"/>
      <c r="Z88" s="26"/>
      <c r="AA88" s="27" t="str">
        <f aca="false">IF(R88="","",IF(X88="Not accepted",R88,IF(OR(X88="Accepted",X88="Withdrawn by hospital"),IF(X88="Accepted",0,R88),IF(ISNUMBER(Z88),R88-Z88,""))))</f>
        <v/>
      </c>
      <c r="AB88" s="23"/>
      <c r="AC88" s="25"/>
      <c r="AD88" s="23"/>
      <c r="AE88" s="23"/>
      <c r="AF88" s="24"/>
      <c r="AG88" s="23"/>
      <c r="AH88" s="24"/>
      <c r="AI88" s="29" t="str">
        <f aca="false">IF(X88="Not accepted","Maintained",IF(X88="Partially accepted","Partially maintained",IF(X88="Accepted","Reversed",IF(X88="Withdrawn by hospital","Withdrawn by hospital",""))))</f>
        <v/>
      </c>
      <c r="AJ88" s="28" t="str">
        <f aca="false">IF(AI88="","",W88)</f>
        <v/>
      </c>
      <c r="AK88" s="29" t="str">
        <f aca="false">IF(AND(ISNUMBER(T88),ISNUMBER(W88)),W88-T88,"")</f>
        <v/>
      </c>
      <c r="AL88" s="29" t="str">
        <f aca="false">IF(A88="","",SUMIF(Actions!$C$5:$C$1004,A88,Actions!$F$5:$F$1004))</f>
        <v/>
      </c>
      <c r="AM88" s="25"/>
    </row>
    <row r="89" customFormat="false" ht="15" hidden="false" customHeight="false" outlineLevel="0" collapsed="false">
      <c r="A89" s="23"/>
      <c r="B89" s="23"/>
      <c r="C89" s="23"/>
      <c r="D89" s="23"/>
      <c r="E89" s="23"/>
      <c r="F89" s="23"/>
      <c r="G89" s="23"/>
      <c r="H89" s="23"/>
      <c r="I89" s="23"/>
      <c r="J89" s="23"/>
      <c r="K89" s="24"/>
      <c r="L89" s="23"/>
      <c r="M89" s="25"/>
      <c r="N89" s="25"/>
      <c r="O89" s="23"/>
      <c r="P89" s="26"/>
      <c r="Q89" s="26"/>
      <c r="R89" s="27" t="str">
        <f aca="false">IF(AND(ISNUMBER(P89),ISNUMBER(Q89)),P89-Q89,"")</f>
        <v/>
      </c>
      <c r="S89" s="24"/>
      <c r="T89" s="28" t="str">
        <f aca="false">IF(S89&lt;&gt;"",S89,IF(B89="","",IFERROR(IF(INDEX(Batches!$G$5:$G$64,MATCH(B89,Batches!$A$5:$A$64,0))="","",INDEX(Batches!$G$5:$G$64,MATCH(B89,Batches!$A$5:$A$64,0))),"")))</f>
        <v/>
      </c>
      <c r="U89" s="23"/>
      <c r="V89" s="24"/>
      <c r="W89" s="28" t="str">
        <f aca="false">IF(OR(X89="",X89="Pending"),"",IF(V89&lt;&gt;"",V89,IFERROR(IF(INDEX(Batches!$H$5:$H$64,MATCH(B89,Batches!$A$5:$A$64,0))="","",INDEX(Batches!$H$5:$H$64,MATCH(B89,Batches!$A$5:$A$64,0))),"")))</f>
        <v/>
      </c>
      <c r="X89" s="23"/>
      <c r="Y89" s="23"/>
      <c r="Z89" s="26"/>
      <c r="AA89" s="27" t="str">
        <f aca="false">IF(R89="","",IF(X89="Not accepted",R89,IF(OR(X89="Accepted",X89="Withdrawn by hospital"),IF(X89="Accepted",0,R89),IF(ISNUMBER(Z89),R89-Z89,""))))</f>
        <v/>
      </c>
      <c r="AB89" s="23"/>
      <c r="AC89" s="25"/>
      <c r="AD89" s="23"/>
      <c r="AE89" s="23"/>
      <c r="AF89" s="24"/>
      <c r="AG89" s="23"/>
      <c r="AH89" s="24"/>
      <c r="AI89" s="29" t="str">
        <f aca="false">IF(X89="Not accepted","Maintained",IF(X89="Partially accepted","Partially maintained",IF(X89="Accepted","Reversed",IF(X89="Withdrawn by hospital","Withdrawn by hospital",""))))</f>
        <v/>
      </c>
      <c r="AJ89" s="28" t="str">
        <f aca="false">IF(AI89="","",W89)</f>
        <v/>
      </c>
      <c r="AK89" s="29" t="str">
        <f aca="false">IF(AND(ISNUMBER(T89),ISNUMBER(W89)),W89-T89,"")</f>
        <v/>
      </c>
      <c r="AL89" s="29" t="str">
        <f aca="false">IF(A89="","",SUMIF(Actions!$C$5:$C$1004,A89,Actions!$F$5:$F$1004))</f>
        <v/>
      </c>
      <c r="AM89" s="25"/>
    </row>
    <row r="90" customFormat="false" ht="15" hidden="false" customHeight="false" outlineLevel="0" collapsed="false">
      <c r="A90" s="23"/>
      <c r="B90" s="23"/>
      <c r="C90" s="23"/>
      <c r="D90" s="23"/>
      <c r="E90" s="23"/>
      <c r="F90" s="23"/>
      <c r="G90" s="23"/>
      <c r="H90" s="23"/>
      <c r="I90" s="23"/>
      <c r="J90" s="23"/>
      <c r="K90" s="24"/>
      <c r="L90" s="23"/>
      <c r="M90" s="25"/>
      <c r="N90" s="25"/>
      <c r="O90" s="23"/>
      <c r="P90" s="26"/>
      <c r="Q90" s="26"/>
      <c r="R90" s="27" t="str">
        <f aca="false">IF(AND(ISNUMBER(P90),ISNUMBER(Q90)),P90-Q90,"")</f>
        <v/>
      </c>
      <c r="S90" s="24"/>
      <c r="T90" s="28" t="str">
        <f aca="false">IF(S90&lt;&gt;"",S90,IF(B90="","",IFERROR(IF(INDEX(Batches!$G$5:$G$64,MATCH(B90,Batches!$A$5:$A$64,0))="","",INDEX(Batches!$G$5:$G$64,MATCH(B90,Batches!$A$5:$A$64,0))),"")))</f>
        <v/>
      </c>
      <c r="U90" s="23"/>
      <c r="V90" s="24"/>
      <c r="W90" s="28" t="str">
        <f aca="false">IF(OR(X90="",X90="Pending"),"",IF(V90&lt;&gt;"",V90,IFERROR(IF(INDEX(Batches!$H$5:$H$64,MATCH(B90,Batches!$A$5:$A$64,0))="","",INDEX(Batches!$H$5:$H$64,MATCH(B90,Batches!$A$5:$A$64,0))),"")))</f>
        <v/>
      </c>
      <c r="X90" s="23"/>
      <c r="Y90" s="23"/>
      <c r="Z90" s="26"/>
      <c r="AA90" s="27" t="str">
        <f aca="false">IF(R90="","",IF(X90="Not accepted",R90,IF(OR(X90="Accepted",X90="Withdrawn by hospital"),IF(X90="Accepted",0,R90),IF(ISNUMBER(Z90),R90-Z90,""))))</f>
        <v/>
      </c>
      <c r="AB90" s="23"/>
      <c r="AC90" s="25"/>
      <c r="AD90" s="23"/>
      <c r="AE90" s="23"/>
      <c r="AF90" s="24"/>
      <c r="AG90" s="23"/>
      <c r="AH90" s="24"/>
      <c r="AI90" s="29" t="str">
        <f aca="false">IF(X90="Not accepted","Maintained",IF(X90="Partially accepted","Partially maintained",IF(X90="Accepted","Reversed",IF(X90="Withdrawn by hospital","Withdrawn by hospital",""))))</f>
        <v/>
      </c>
      <c r="AJ90" s="28" t="str">
        <f aca="false">IF(AI90="","",W90)</f>
        <v/>
      </c>
      <c r="AK90" s="29" t="str">
        <f aca="false">IF(AND(ISNUMBER(T90),ISNUMBER(W90)),W90-T90,"")</f>
        <v/>
      </c>
      <c r="AL90" s="29" t="str">
        <f aca="false">IF(A90="","",SUMIF(Actions!$C$5:$C$1004,A90,Actions!$F$5:$F$1004))</f>
        <v/>
      </c>
      <c r="AM90" s="25"/>
    </row>
    <row r="91" customFormat="false" ht="15" hidden="false" customHeight="false" outlineLevel="0" collapsed="false">
      <c r="A91" s="23"/>
      <c r="B91" s="23"/>
      <c r="C91" s="23"/>
      <c r="D91" s="23"/>
      <c r="E91" s="23"/>
      <c r="F91" s="23"/>
      <c r="G91" s="23"/>
      <c r="H91" s="23"/>
      <c r="I91" s="23"/>
      <c r="J91" s="23"/>
      <c r="K91" s="24"/>
      <c r="L91" s="23"/>
      <c r="M91" s="25"/>
      <c r="N91" s="25"/>
      <c r="O91" s="23"/>
      <c r="P91" s="26"/>
      <c r="Q91" s="26"/>
      <c r="R91" s="27" t="str">
        <f aca="false">IF(AND(ISNUMBER(P91),ISNUMBER(Q91)),P91-Q91,"")</f>
        <v/>
      </c>
      <c r="S91" s="24"/>
      <c r="T91" s="28" t="str">
        <f aca="false">IF(S91&lt;&gt;"",S91,IF(B91="","",IFERROR(IF(INDEX(Batches!$G$5:$G$64,MATCH(B91,Batches!$A$5:$A$64,0))="","",INDEX(Batches!$G$5:$G$64,MATCH(B91,Batches!$A$5:$A$64,0))),"")))</f>
        <v/>
      </c>
      <c r="U91" s="23"/>
      <c r="V91" s="24"/>
      <c r="W91" s="28" t="str">
        <f aca="false">IF(OR(X91="",X91="Pending"),"",IF(V91&lt;&gt;"",V91,IFERROR(IF(INDEX(Batches!$H$5:$H$64,MATCH(B91,Batches!$A$5:$A$64,0))="","",INDEX(Batches!$H$5:$H$64,MATCH(B91,Batches!$A$5:$A$64,0))),"")))</f>
        <v/>
      </c>
      <c r="X91" s="23"/>
      <c r="Y91" s="23"/>
      <c r="Z91" s="26"/>
      <c r="AA91" s="27" t="str">
        <f aca="false">IF(R91="","",IF(X91="Not accepted",R91,IF(OR(X91="Accepted",X91="Withdrawn by hospital"),IF(X91="Accepted",0,R91),IF(ISNUMBER(Z91),R91-Z91,""))))</f>
        <v/>
      </c>
      <c r="AB91" s="23"/>
      <c r="AC91" s="25"/>
      <c r="AD91" s="23"/>
      <c r="AE91" s="23"/>
      <c r="AF91" s="24"/>
      <c r="AG91" s="23"/>
      <c r="AH91" s="24"/>
      <c r="AI91" s="29" t="str">
        <f aca="false">IF(X91="Not accepted","Maintained",IF(X91="Partially accepted","Partially maintained",IF(X91="Accepted","Reversed",IF(X91="Withdrawn by hospital","Withdrawn by hospital",""))))</f>
        <v/>
      </c>
      <c r="AJ91" s="28" t="str">
        <f aca="false">IF(AI91="","",W91)</f>
        <v/>
      </c>
      <c r="AK91" s="29" t="str">
        <f aca="false">IF(AND(ISNUMBER(T91),ISNUMBER(W91)),W91-T91,"")</f>
        <v/>
      </c>
      <c r="AL91" s="29" t="str">
        <f aca="false">IF(A91="","",SUMIF(Actions!$C$5:$C$1004,A91,Actions!$F$5:$F$1004))</f>
        <v/>
      </c>
      <c r="AM91" s="25"/>
    </row>
    <row r="92" customFormat="false" ht="15" hidden="false" customHeight="false" outlineLevel="0" collapsed="false">
      <c r="A92" s="23"/>
      <c r="B92" s="23"/>
      <c r="C92" s="23"/>
      <c r="D92" s="23"/>
      <c r="E92" s="23"/>
      <c r="F92" s="23"/>
      <c r="G92" s="23"/>
      <c r="H92" s="23"/>
      <c r="I92" s="23"/>
      <c r="J92" s="23"/>
      <c r="K92" s="24"/>
      <c r="L92" s="23"/>
      <c r="M92" s="25"/>
      <c r="N92" s="25"/>
      <c r="O92" s="23"/>
      <c r="P92" s="26"/>
      <c r="Q92" s="26"/>
      <c r="R92" s="27" t="str">
        <f aca="false">IF(AND(ISNUMBER(P92),ISNUMBER(Q92)),P92-Q92,"")</f>
        <v/>
      </c>
      <c r="S92" s="24"/>
      <c r="T92" s="28" t="str">
        <f aca="false">IF(S92&lt;&gt;"",S92,IF(B92="","",IFERROR(IF(INDEX(Batches!$G$5:$G$64,MATCH(B92,Batches!$A$5:$A$64,0))="","",INDEX(Batches!$G$5:$G$64,MATCH(B92,Batches!$A$5:$A$64,0))),"")))</f>
        <v/>
      </c>
      <c r="U92" s="23"/>
      <c r="V92" s="24"/>
      <c r="W92" s="28" t="str">
        <f aca="false">IF(OR(X92="",X92="Pending"),"",IF(V92&lt;&gt;"",V92,IFERROR(IF(INDEX(Batches!$H$5:$H$64,MATCH(B92,Batches!$A$5:$A$64,0))="","",INDEX(Batches!$H$5:$H$64,MATCH(B92,Batches!$A$5:$A$64,0))),"")))</f>
        <v/>
      </c>
      <c r="X92" s="23"/>
      <c r="Y92" s="23"/>
      <c r="Z92" s="26"/>
      <c r="AA92" s="27" t="str">
        <f aca="false">IF(R92="","",IF(X92="Not accepted",R92,IF(OR(X92="Accepted",X92="Withdrawn by hospital"),IF(X92="Accepted",0,R92),IF(ISNUMBER(Z92),R92-Z92,""))))</f>
        <v/>
      </c>
      <c r="AB92" s="23"/>
      <c r="AC92" s="25"/>
      <c r="AD92" s="23"/>
      <c r="AE92" s="23"/>
      <c r="AF92" s="24"/>
      <c r="AG92" s="23"/>
      <c r="AH92" s="24"/>
      <c r="AI92" s="29" t="str">
        <f aca="false">IF(X92="Not accepted","Maintained",IF(X92="Partially accepted","Partially maintained",IF(X92="Accepted","Reversed",IF(X92="Withdrawn by hospital","Withdrawn by hospital",""))))</f>
        <v/>
      </c>
      <c r="AJ92" s="28" t="str">
        <f aca="false">IF(AI92="","",W92)</f>
        <v/>
      </c>
      <c r="AK92" s="29" t="str">
        <f aca="false">IF(AND(ISNUMBER(T92),ISNUMBER(W92)),W92-T92,"")</f>
        <v/>
      </c>
      <c r="AL92" s="29" t="str">
        <f aca="false">IF(A92="","",SUMIF(Actions!$C$5:$C$1004,A92,Actions!$F$5:$F$1004))</f>
        <v/>
      </c>
      <c r="AM92" s="25"/>
    </row>
    <row r="93" customFormat="false" ht="15" hidden="false" customHeight="false" outlineLevel="0" collapsed="false">
      <c r="A93" s="23"/>
      <c r="B93" s="23"/>
      <c r="C93" s="23"/>
      <c r="D93" s="23"/>
      <c r="E93" s="23"/>
      <c r="F93" s="23"/>
      <c r="G93" s="23"/>
      <c r="H93" s="23"/>
      <c r="I93" s="23"/>
      <c r="J93" s="23"/>
      <c r="K93" s="24"/>
      <c r="L93" s="23"/>
      <c r="M93" s="25"/>
      <c r="N93" s="25"/>
      <c r="O93" s="23"/>
      <c r="P93" s="26"/>
      <c r="Q93" s="26"/>
      <c r="R93" s="27" t="str">
        <f aca="false">IF(AND(ISNUMBER(P93),ISNUMBER(Q93)),P93-Q93,"")</f>
        <v/>
      </c>
      <c r="S93" s="24"/>
      <c r="T93" s="28" t="str">
        <f aca="false">IF(S93&lt;&gt;"",S93,IF(B93="","",IFERROR(IF(INDEX(Batches!$G$5:$G$64,MATCH(B93,Batches!$A$5:$A$64,0))="","",INDEX(Batches!$G$5:$G$64,MATCH(B93,Batches!$A$5:$A$64,0))),"")))</f>
        <v/>
      </c>
      <c r="U93" s="23"/>
      <c r="V93" s="24"/>
      <c r="W93" s="28" t="str">
        <f aca="false">IF(OR(X93="",X93="Pending"),"",IF(V93&lt;&gt;"",V93,IFERROR(IF(INDEX(Batches!$H$5:$H$64,MATCH(B93,Batches!$A$5:$A$64,0))="","",INDEX(Batches!$H$5:$H$64,MATCH(B93,Batches!$A$5:$A$64,0))),"")))</f>
        <v/>
      </c>
      <c r="X93" s="23"/>
      <c r="Y93" s="23"/>
      <c r="Z93" s="26"/>
      <c r="AA93" s="27" t="str">
        <f aca="false">IF(R93="","",IF(X93="Not accepted",R93,IF(OR(X93="Accepted",X93="Withdrawn by hospital"),IF(X93="Accepted",0,R93),IF(ISNUMBER(Z93),R93-Z93,""))))</f>
        <v/>
      </c>
      <c r="AB93" s="23"/>
      <c r="AC93" s="25"/>
      <c r="AD93" s="23"/>
      <c r="AE93" s="23"/>
      <c r="AF93" s="24"/>
      <c r="AG93" s="23"/>
      <c r="AH93" s="24"/>
      <c r="AI93" s="29" t="str">
        <f aca="false">IF(X93="Not accepted","Maintained",IF(X93="Partially accepted","Partially maintained",IF(X93="Accepted","Reversed",IF(X93="Withdrawn by hospital","Withdrawn by hospital",""))))</f>
        <v/>
      </c>
      <c r="AJ93" s="28" t="str">
        <f aca="false">IF(AI93="","",W93)</f>
        <v/>
      </c>
      <c r="AK93" s="29" t="str">
        <f aca="false">IF(AND(ISNUMBER(T93),ISNUMBER(W93)),W93-T93,"")</f>
        <v/>
      </c>
      <c r="AL93" s="29" t="str">
        <f aca="false">IF(A93="","",SUMIF(Actions!$C$5:$C$1004,A93,Actions!$F$5:$F$1004))</f>
        <v/>
      </c>
      <c r="AM93" s="25"/>
    </row>
    <row r="94" customFormat="false" ht="15" hidden="false" customHeight="false" outlineLevel="0" collapsed="false">
      <c r="A94" s="23"/>
      <c r="B94" s="23"/>
      <c r="C94" s="23"/>
      <c r="D94" s="23"/>
      <c r="E94" s="23"/>
      <c r="F94" s="23"/>
      <c r="G94" s="23"/>
      <c r="H94" s="23"/>
      <c r="I94" s="23"/>
      <c r="J94" s="23"/>
      <c r="K94" s="24"/>
      <c r="L94" s="23"/>
      <c r="M94" s="25"/>
      <c r="N94" s="25"/>
      <c r="O94" s="23"/>
      <c r="P94" s="26"/>
      <c r="Q94" s="26"/>
      <c r="R94" s="27" t="str">
        <f aca="false">IF(AND(ISNUMBER(P94),ISNUMBER(Q94)),P94-Q94,"")</f>
        <v/>
      </c>
      <c r="S94" s="24"/>
      <c r="T94" s="28" t="str">
        <f aca="false">IF(S94&lt;&gt;"",S94,IF(B94="","",IFERROR(IF(INDEX(Batches!$G$5:$G$64,MATCH(B94,Batches!$A$5:$A$64,0))="","",INDEX(Batches!$G$5:$G$64,MATCH(B94,Batches!$A$5:$A$64,0))),"")))</f>
        <v/>
      </c>
      <c r="U94" s="23"/>
      <c r="V94" s="24"/>
      <c r="W94" s="28" t="str">
        <f aca="false">IF(OR(X94="",X94="Pending"),"",IF(V94&lt;&gt;"",V94,IFERROR(IF(INDEX(Batches!$H$5:$H$64,MATCH(B94,Batches!$A$5:$A$64,0))="","",INDEX(Batches!$H$5:$H$64,MATCH(B94,Batches!$A$5:$A$64,0))),"")))</f>
        <v/>
      </c>
      <c r="X94" s="23"/>
      <c r="Y94" s="23"/>
      <c r="Z94" s="26"/>
      <c r="AA94" s="27" t="str">
        <f aca="false">IF(R94="","",IF(X94="Not accepted",R94,IF(OR(X94="Accepted",X94="Withdrawn by hospital"),IF(X94="Accepted",0,R94),IF(ISNUMBER(Z94),R94-Z94,""))))</f>
        <v/>
      </c>
      <c r="AB94" s="23"/>
      <c r="AC94" s="25"/>
      <c r="AD94" s="23"/>
      <c r="AE94" s="23"/>
      <c r="AF94" s="24"/>
      <c r="AG94" s="23"/>
      <c r="AH94" s="24"/>
      <c r="AI94" s="29" t="str">
        <f aca="false">IF(X94="Not accepted","Maintained",IF(X94="Partially accepted","Partially maintained",IF(X94="Accepted","Reversed",IF(X94="Withdrawn by hospital","Withdrawn by hospital",""))))</f>
        <v/>
      </c>
      <c r="AJ94" s="28" t="str">
        <f aca="false">IF(AI94="","",W94)</f>
        <v/>
      </c>
      <c r="AK94" s="29" t="str">
        <f aca="false">IF(AND(ISNUMBER(T94),ISNUMBER(W94)),W94-T94,"")</f>
        <v/>
      </c>
      <c r="AL94" s="29" t="str">
        <f aca="false">IF(A94="","",SUMIF(Actions!$C$5:$C$1004,A94,Actions!$F$5:$F$1004))</f>
        <v/>
      </c>
      <c r="AM94" s="25"/>
    </row>
    <row r="95" customFormat="false" ht="15" hidden="false" customHeight="false" outlineLevel="0" collapsed="false">
      <c r="A95" s="23"/>
      <c r="B95" s="23"/>
      <c r="C95" s="23"/>
      <c r="D95" s="23"/>
      <c r="E95" s="23"/>
      <c r="F95" s="23"/>
      <c r="G95" s="23"/>
      <c r="H95" s="23"/>
      <c r="I95" s="23"/>
      <c r="J95" s="23"/>
      <c r="K95" s="24"/>
      <c r="L95" s="23"/>
      <c r="M95" s="25"/>
      <c r="N95" s="25"/>
      <c r="O95" s="23"/>
      <c r="P95" s="26"/>
      <c r="Q95" s="26"/>
      <c r="R95" s="27" t="str">
        <f aca="false">IF(AND(ISNUMBER(P95),ISNUMBER(Q95)),P95-Q95,"")</f>
        <v/>
      </c>
      <c r="S95" s="24"/>
      <c r="T95" s="28" t="str">
        <f aca="false">IF(S95&lt;&gt;"",S95,IF(B95="","",IFERROR(IF(INDEX(Batches!$G$5:$G$64,MATCH(B95,Batches!$A$5:$A$64,0))="","",INDEX(Batches!$G$5:$G$64,MATCH(B95,Batches!$A$5:$A$64,0))),"")))</f>
        <v/>
      </c>
      <c r="U95" s="23"/>
      <c r="V95" s="24"/>
      <c r="W95" s="28" t="str">
        <f aca="false">IF(OR(X95="",X95="Pending"),"",IF(V95&lt;&gt;"",V95,IFERROR(IF(INDEX(Batches!$H$5:$H$64,MATCH(B95,Batches!$A$5:$A$64,0))="","",INDEX(Batches!$H$5:$H$64,MATCH(B95,Batches!$A$5:$A$64,0))),"")))</f>
        <v/>
      </c>
      <c r="X95" s="23"/>
      <c r="Y95" s="23"/>
      <c r="Z95" s="26"/>
      <c r="AA95" s="27" t="str">
        <f aca="false">IF(R95="","",IF(X95="Not accepted",R95,IF(OR(X95="Accepted",X95="Withdrawn by hospital"),IF(X95="Accepted",0,R95),IF(ISNUMBER(Z95),R95-Z95,""))))</f>
        <v/>
      </c>
      <c r="AB95" s="23"/>
      <c r="AC95" s="25"/>
      <c r="AD95" s="23"/>
      <c r="AE95" s="23"/>
      <c r="AF95" s="24"/>
      <c r="AG95" s="23"/>
      <c r="AH95" s="24"/>
      <c r="AI95" s="29" t="str">
        <f aca="false">IF(X95="Not accepted","Maintained",IF(X95="Partially accepted","Partially maintained",IF(X95="Accepted","Reversed",IF(X95="Withdrawn by hospital","Withdrawn by hospital",""))))</f>
        <v/>
      </c>
      <c r="AJ95" s="28" t="str">
        <f aca="false">IF(AI95="","",W95)</f>
        <v/>
      </c>
      <c r="AK95" s="29" t="str">
        <f aca="false">IF(AND(ISNUMBER(T95),ISNUMBER(W95)),W95-T95,"")</f>
        <v/>
      </c>
      <c r="AL95" s="29" t="str">
        <f aca="false">IF(A95="","",SUMIF(Actions!$C$5:$C$1004,A95,Actions!$F$5:$F$1004))</f>
        <v/>
      </c>
      <c r="AM95" s="25"/>
    </row>
    <row r="96" customFormat="false" ht="15" hidden="false" customHeight="false" outlineLevel="0" collapsed="false">
      <c r="A96" s="23"/>
      <c r="B96" s="23"/>
      <c r="C96" s="23"/>
      <c r="D96" s="23"/>
      <c r="E96" s="23"/>
      <c r="F96" s="23"/>
      <c r="G96" s="23"/>
      <c r="H96" s="23"/>
      <c r="I96" s="23"/>
      <c r="J96" s="23"/>
      <c r="K96" s="24"/>
      <c r="L96" s="23"/>
      <c r="M96" s="25"/>
      <c r="N96" s="25"/>
      <c r="O96" s="23"/>
      <c r="P96" s="26"/>
      <c r="Q96" s="26"/>
      <c r="R96" s="27" t="str">
        <f aca="false">IF(AND(ISNUMBER(P96),ISNUMBER(Q96)),P96-Q96,"")</f>
        <v/>
      </c>
      <c r="S96" s="24"/>
      <c r="T96" s="28" t="str">
        <f aca="false">IF(S96&lt;&gt;"",S96,IF(B96="","",IFERROR(IF(INDEX(Batches!$G$5:$G$64,MATCH(B96,Batches!$A$5:$A$64,0))="","",INDEX(Batches!$G$5:$G$64,MATCH(B96,Batches!$A$5:$A$64,0))),"")))</f>
        <v/>
      </c>
      <c r="U96" s="23"/>
      <c r="V96" s="24"/>
      <c r="W96" s="28" t="str">
        <f aca="false">IF(OR(X96="",X96="Pending"),"",IF(V96&lt;&gt;"",V96,IFERROR(IF(INDEX(Batches!$H$5:$H$64,MATCH(B96,Batches!$A$5:$A$64,0))="","",INDEX(Batches!$H$5:$H$64,MATCH(B96,Batches!$A$5:$A$64,0))),"")))</f>
        <v/>
      </c>
      <c r="X96" s="23"/>
      <c r="Y96" s="23"/>
      <c r="Z96" s="26"/>
      <c r="AA96" s="27" t="str">
        <f aca="false">IF(R96="","",IF(X96="Not accepted",R96,IF(OR(X96="Accepted",X96="Withdrawn by hospital"),IF(X96="Accepted",0,R96),IF(ISNUMBER(Z96),R96-Z96,""))))</f>
        <v/>
      </c>
      <c r="AB96" s="23"/>
      <c r="AC96" s="25"/>
      <c r="AD96" s="23"/>
      <c r="AE96" s="23"/>
      <c r="AF96" s="24"/>
      <c r="AG96" s="23"/>
      <c r="AH96" s="24"/>
      <c r="AI96" s="29" t="str">
        <f aca="false">IF(X96="Not accepted","Maintained",IF(X96="Partially accepted","Partially maintained",IF(X96="Accepted","Reversed",IF(X96="Withdrawn by hospital","Withdrawn by hospital",""))))</f>
        <v/>
      </c>
      <c r="AJ96" s="28" t="str">
        <f aca="false">IF(AI96="","",W96)</f>
        <v/>
      </c>
      <c r="AK96" s="29" t="str">
        <f aca="false">IF(AND(ISNUMBER(T96),ISNUMBER(W96)),W96-T96,"")</f>
        <v/>
      </c>
      <c r="AL96" s="29" t="str">
        <f aca="false">IF(A96="","",SUMIF(Actions!$C$5:$C$1004,A96,Actions!$F$5:$F$1004))</f>
        <v/>
      </c>
      <c r="AM96" s="25"/>
    </row>
    <row r="97" customFormat="false" ht="15" hidden="false" customHeight="false" outlineLevel="0" collapsed="false">
      <c r="A97" s="23"/>
      <c r="B97" s="23"/>
      <c r="C97" s="23"/>
      <c r="D97" s="23"/>
      <c r="E97" s="23"/>
      <c r="F97" s="23"/>
      <c r="G97" s="23"/>
      <c r="H97" s="23"/>
      <c r="I97" s="23"/>
      <c r="J97" s="23"/>
      <c r="K97" s="24"/>
      <c r="L97" s="23"/>
      <c r="M97" s="25"/>
      <c r="N97" s="25"/>
      <c r="O97" s="23"/>
      <c r="P97" s="26"/>
      <c r="Q97" s="26"/>
      <c r="R97" s="27" t="str">
        <f aca="false">IF(AND(ISNUMBER(P97),ISNUMBER(Q97)),P97-Q97,"")</f>
        <v/>
      </c>
      <c r="S97" s="24"/>
      <c r="T97" s="28" t="str">
        <f aca="false">IF(S97&lt;&gt;"",S97,IF(B97="","",IFERROR(IF(INDEX(Batches!$G$5:$G$64,MATCH(B97,Batches!$A$5:$A$64,0))="","",INDEX(Batches!$G$5:$G$64,MATCH(B97,Batches!$A$5:$A$64,0))),"")))</f>
        <v/>
      </c>
      <c r="U97" s="23"/>
      <c r="V97" s="24"/>
      <c r="W97" s="28" t="str">
        <f aca="false">IF(OR(X97="",X97="Pending"),"",IF(V97&lt;&gt;"",V97,IFERROR(IF(INDEX(Batches!$H$5:$H$64,MATCH(B97,Batches!$A$5:$A$64,0))="","",INDEX(Batches!$H$5:$H$64,MATCH(B97,Batches!$A$5:$A$64,0))),"")))</f>
        <v/>
      </c>
      <c r="X97" s="23"/>
      <c r="Y97" s="23"/>
      <c r="Z97" s="26"/>
      <c r="AA97" s="27" t="str">
        <f aca="false">IF(R97="","",IF(X97="Not accepted",R97,IF(OR(X97="Accepted",X97="Withdrawn by hospital"),IF(X97="Accepted",0,R97),IF(ISNUMBER(Z97),R97-Z97,""))))</f>
        <v/>
      </c>
      <c r="AB97" s="23"/>
      <c r="AC97" s="25"/>
      <c r="AD97" s="23"/>
      <c r="AE97" s="23"/>
      <c r="AF97" s="24"/>
      <c r="AG97" s="23"/>
      <c r="AH97" s="24"/>
      <c r="AI97" s="29" t="str">
        <f aca="false">IF(X97="Not accepted","Maintained",IF(X97="Partially accepted","Partially maintained",IF(X97="Accepted","Reversed",IF(X97="Withdrawn by hospital","Withdrawn by hospital",""))))</f>
        <v/>
      </c>
      <c r="AJ97" s="28" t="str">
        <f aca="false">IF(AI97="","",W97)</f>
        <v/>
      </c>
      <c r="AK97" s="29" t="str">
        <f aca="false">IF(AND(ISNUMBER(T97),ISNUMBER(W97)),W97-T97,"")</f>
        <v/>
      </c>
      <c r="AL97" s="29" t="str">
        <f aca="false">IF(A97="","",SUMIF(Actions!$C$5:$C$1004,A97,Actions!$F$5:$F$1004))</f>
        <v/>
      </c>
      <c r="AM97" s="25"/>
    </row>
    <row r="98" customFormat="false" ht="15" hidden="false" customHeight="false" outlineLevel="0" collapsed="false">
      <c r="A98" s="23"/>
      <c r="B98" s="23"/>
      <c r="C98" s="23"/>
      <c r="D98" s="23"/>
      <c r="E98" s="23"/>
      <c r="F98" s="23"/>
      <c r="G98" s="23"/>
      <c r="H98" s="23"/>
      <c r="I98" s="23"/>
      <c r="J98" s="23"/>
      <c r="K98" s="24"/>
      <c r="L98" s="23"/>
      <c r="M98" s="25"/>
      <c r="N98" s="25"/>
      <c r="O98" s="23"/>
      <c r="P98" s="26"/>
      <c r="Q98" s="26"/>
      <c r="R98" s="27" t="str">
        <f aca="false">IF(AND(ISNUMBER(P98),ISNUMBER(Q98)),P98-Q98,"")</f>
        <v/>
      </c>
      <c r="S98" s="24"/>
      <c r="T98" s="28" t="str">
        <f aca="false">IF(S98&lt;&gt;"",S98,IF(B98="","",IFERROR(IF(INDEX(Batches!$G$5:$G$64,MATCH(B98,Batches!$A$5:$A$64,0))="","",INDEX(Batches!$G$5:$G$64,MATCH(B98,Batches!$A$5:$A$64,0))),"")))</f>
        <v/>
      </c>
      <c r="U98" s="23"/>
      <c r="V98" s="24"/>
      <c r="W98" s="28" t="str">
        <f aca="false">IF(OR(X98="",X98="Pending"),"",IF(V98&lt;&gt;"",V98,IFERROR(IF(INDEX(Batches!$H$5:$H$64,MATCH(B98,Batches!$A$5:$A$64,0))="","",INDEX(Batches!$H$5:$H$64,MATCH(B98,Batches!$A$5:$A$64,0))),"")))</f>
        <v/>
      </c>
      <c r="X98" s="23"/>
      <c r="Y98" s="23"/>
      <c r="Z98" s="26"/>
      <c r="AA98" s="27" t="str">
        <f aca="false">IF(R98="","",IF(X98="Not accepted",R98,IF(OR(X98="Accepted",X98="Withdrawn by hospital"),IF(X98="Accepted",0,R98),IF(ISNUMBER(Z98),R98-Z98,""))))</f>
        <v/>
      </c>
      <c r="AB98" s="23"/>
      <c r="AC98" s="25"/>
      <c r="AD98" s="23"/>
      <c r="AE98" s="23"/>
      <c r="AF98" s="24"/>
      <c r="AG98" s="23"/>
      <c r="AH98" s="24"/>
      <c r="AI98" s="29" t="str">
        <f aca="false">IF(X98="Not accepted","Maintained",IF(X98="Partially accepted","Partially maintained",IF(X98="Accepted","Reversed",IF(X98="Withdrawn by hospital","Withdrawn by hospital",""))))</f>
        <v/>
      </c>
      <c r="AJ98" s="28" t="str">
        <f aca="false">IF(AI98="","",W98)</f>
        <v/>
      </c>
      <c r="AK98" s="29" t="str">
        <f aca="false">IF(AND(ISNUMBER(T98),ISNUMBER(W98)),W98-T98,"")</f>
        <v/>
      </c>
      <c r="AL98" s="29" t="str">
        <f aca="false">IF(A98="","",SUMIF(Actions!$C$5:$C$1004,A98,Actions!$F$5:$F$1004))</f>
        <v/>
      </c>
      <c r="AM98" s="25"/>
    </row>
    <row r="99" customFormat="false" ht="15" hidden="false" customHeight="false" outlineLevel="0" collapsed="false">
      <c r="A99" s="23"/>
      <c r="B99" s="23"/>
      <c r="C99" s="23"/>
      <c r="D99" s="23"/>
      <c r="E99" s="23"/>
      <c r="F99" s="23"/>
      <c r="G99" s="23"/>
      <c r="H99" s="23"/>
      <c r="I99" s="23"/>
      <c r="J99" s="23"/>
      <c r="K99" s="24"/>
      <c r="L99" s="23"/>
      <c r="M99" s="25"/>
      <c r="N99" s="25"/>
      <c r="O99" s="23"/>
      <c r="P99" s="26"/>
      <c r="Q99" s="26"/>
      <c r="R99" s="27" t="str">
        <f aca="false">IF(AND(ISNUMBER(P99),ISNUMBER(Q99)),P99-Q99,"")</f>
        <v/>
      </c>
      <c r="S99" s="24"/>
      <c r="T99" s="28" t="str">
        <f aca="false">IF(S99&lt;&gt;"",S99,IF(B99="","",IFERROR(IF(INDEX(Batches!$G$5:$G$64,MATCH(B99,Batches!$A$5:$A$64,0))="","",INDEX(Batches!$G$5:$G$64,MATCH(B99,Batches!$A$5:$A$64,0))),"")))</f>
        <v/>
      </c>
      <c r="U99" s="23"/>
      <c r="V99" s="24"/>
      <c r="W99" s="28" t="str">
        <f aca="false">IF(OR(X99="",X99="Pending"),"",IF(V99&lt;&gt;"",V99,IFERROR(IF(INDEX(Batches!$H$5:$H$64,MATCH(B99,Batches!$A$5:$A$64,0))="","",INDEX(Batches!$H$5:$H$64,MATCH(B99,Batches!$A$5:$A$64,0))),"")))</f>
        <v/>
      </c>
      <c r="X99" s="23"/>
      <c r="Y99" s="23"/>
      <c r="Z99" s="26"/>
      <c r="AA99" s="27" t="str">
        <f aca="false">IF(R99="","",IF(X99="Not accepted",R99,IF(OR(X99="Accepted",X99="Withdrawn by hospital"),IF(X99="Accepted",0,R99),IF(ISNUMBER(Z99),R99-Z99,""))))</f>
        <v/>
      </c>
      <c r="AB99" s="23"/>
      <c r="AC99" s="25"/>
      <c r="AD99" s="23"/>
      <c r="AE99" s="23"/>
      <c r="AF99" s="24"/>
      <c r="AG99" s="23"/>
      <c r="AH99" s="24"/>
      <c r="AI99" s="29" t="str">
        <f aca="false">IF(X99="Not accepted","Maintained",IF(X99="Partially accepted","Partially maintained",IF(X99="Accepted","Reversed",IF(X99="Withdrawn by hospital","Withdrawn by hospital",""))))</f>
        <v/>
      </c>
      <c r="AJ99" s="28" t="str">
        <f aca="false">IF(AI99="","",W99)</f>
        <v/>
      </c>
      <c r="AK99" s="29" t="str">
        <f aca="false">IF(AND(ISNUMBER(T99),ISNUMBER(W99)),W99-T99,"")</f>
        <v/>
      </c>
      <c r="AL99" s="29" t="str">
        <f aca="false">IF(A99="","",SUMIF(Actions!$C$5:$C$1004,A99,Actions!$F$5:$F$1004))</f>
        <v/>
      </c>
      <c r="AM99" s="25"/>
    </row>
    <row r="100" customFormat="false" ht="15" hidden="false" customHeight="false" outlineLevel="0" collapsed="false">
      <c r="A100" s="23"/>
      <c r="B100" s="23"/>
      <c r="C100" s="23"/>
      <c r="D100" s="23"/>
      <c r="E100" s="23"/>
      <c r="F100" s="23"/>
      <c r="G100" s="23"/>
      <c r="H100" s="23"/>
      <c r="I100" s="23"/>
      <c r="J100" s="23"/>
      <c r="K100" s="24"/>
      <c r="L100" s="23"/>
      <c r="M100" s="25"/>
      <c r="N100" s="25"/>
      <c r="O100" s="23"/>
      <c r="P100" s="26"/>
      <c r="Q100" s="26"/>
      <c r="R100" s="27" t="str">
        <f aca="false">IF(AND(ISNUMBER(P100),ISNUMBER(Q100)),P100-Q100,"")</f>
        <v/>
      </c>
      <c r="S100" s="24"/>
      <c r="T100" s="28" t="str">
        <f aca="false">IF(S100&lt;&gt;"",S100,IF(B100="","",IFERROR(IF(INDEX(Batches!$G$5:$G$64,MATCH(B100,Batches!$A$5:$A$64,0))="","",INDEX(Batches!$G$5:$G$64,MATCH(B100,Batches!$A$5:$A$64,0))),"")))</f>
        <v/>
      </c>
      <c r="U100" s="23"/>
      <c r="V100" s="24"/>
      <c r="W100" s="28" t="str">
        <f aca="false">IF(OR(X100="",X100="Pending"),"",IF(V100&lt;&gt;"",V100,IFERROR(IF(INDEX(Batches!$H$5:$H$64,MATCH(B100,Batches!$A$5:$A$64,0))="","",INDEX(Batches!$H$5:$H$64,MATCH(B100,Batches!$A$5:$A$64,0))),"")))</f>
        <v/>
      </c>
      <c r="X100" s="23"/>
      <c r="Y100" s="23"/>
      <c r="Z100" s="26"/>
      <c r="AA100" s="27" t="str">
        <f aca="false">IF(R100="","",IF(X100="Not accepted",R100,IF(OR(X100="Accepted",X100="Withdrawn by hospital"),IF(X100="Accepted",0,R100),IF(ISNUMBER(Z100),R100-Z100,""))))</f>
        <v/>
      </c>
      <c r="AB100" s="23"/>
      <c r="AC100" s="25"/>
      <c r="AD100" s="23"/>
      <c r="AE100" s="23"/>
      <c r="AF100" s="24"/>
      <c r="AG100" s="23"/>
      <c r="AH100" s="24"/>
      <c r="AI100" s="29" t="str">
        <f aca="false">IF(X100="Not accepted","Maintained",IF(X100="Partially accepted","Partially maintained",IF(X100="Accepted","Reversed",IF(X100="Withdrawn by hospital","Withdrawn by hospital",""))))</f>
        <v/>
      </c>
      <c r="AJ100" s="28" t="str">
        <f aca="false">IF(AI100="","",W100)</f>
        <v/>
      </c>
      <c r="AK100" s="29" t="str">
        <f aca="false">IF(AND(ISNUMBER(T100),ISNUMBER(W100)),W100-T100,"")</f>
        <v/>
      </c>
      <c r="AL100" s="29" t="str">
        <f aca="false">IF(A100="","",SUMIF(Actions!$C$5:$C$1004,A100,Actions!$F$5:$F$1004))</f>
        <v/>
      </c>
      <c r="AM100" s="25"/>
    </row>
    <row r="101" customFormat="false" ht="15" hidden="false" customHeight="false" outlineLevel="0" collapsed="false">
      <c r="A101" s="23"/>
      <c r="B101" s="23"/>
      <c r="C101" s="23"/>
      <c r="D101" s="23"/>
      <c r="E101" s="23"/>
      <c r="F101" s="23"/>
      <c r="G101" s="23"/>
      <c r="H101" s="23"/>
      <c r="I101" s="23"/>
      <c r="J101" s="23"/>
      <c r="K101" s="24"/>
      <c r="L101" s="23"/>
      <c r="M101" s="25"/>
      <c r="N101" s="25"/>
      <c r="O101" s="23"/>
      <c r="P101" s="26"/>
      <c r="Q101" s="26"/>
      <c r="R101" s="27" t="str">
        <f aca="false">IF(AND(ISNUMBER(P101),ISNUMBER(Q101)),P101-Q101,"")</f>
        <v/>
      </c>
      <c r="S101" s="24"/>
      <c r="T101" s="28" t="str">
        <f aca="false">IF(S101&lt;&gt;"",S101,IF(B101="","",IFERROR(IF(INDEX(Batches!$G$5:$G$64,MATCH(B101,Batches!$A$5:$A$64,0))="","",INDEX(Batches!$G$5:$G$64,MATCH(B101,Batches!$A$5:$A$64,0))),"")))</f>
        <v/>
      </c>
      <c r="U101" s="23"/>
      <c r="V101" s="24"/>
      <c r="W101" s="28" t="str">
        <f aca="false">IF(OR(X101="",X101="Pending"),"",IF(V101&lt;&gt;"",V101,IFERROR(IF(INDEX(Batches!$H$5:$H$64,MATCH(B101,Batches!$A$5:$A$64,0))="","",INDEX(Batches!$H$5:$H$64,MATCH(B101,Batches!$A$5:$A$64,0))),"")))</f>
        <v/>
      </c>
      <c r="X101" s="23"/>
      <c r="Y101" s="23"/>
      <c r="Z101" s="26"/>
      <c r="AA101" s="27" t="str">
        <f aca="false">IF(R101="","",IF(X101="Not accepted",R101,IF(OR(X101="Accepted",X101="Withdrawn by hospital"),IF(X101="Accepted",0,R101),IF(ISNUMBER(Z101),R101-Z101,""))))</f>
        <v/>
      </c>
      <c r="AB101" s="23"/>
      <c r="AC101" s="25"/>
      <c r="AD101" s="23"/>
      <c r="AE101" s="23"/>
      <c r="AF101" s="24"/>
      <c r="AG101" s="23"/>
      <c r="AH101" s="24"/>
      <c r="AI101" s="29" t="str">
        <f aca="false">IF(X101="Not accepted","Maintained",IF(X101="Partially accepted","Partially maintained",IF(X101="Accepted","Reversed",IF(X101="Withdrawn by hospital","Withdrawn by hospital",""))))</f>
        <v/>
      </c>
      <c r="AJ101" s="28" t="str">
        <f aca="false">IF(AI101="","",W101)</f>
        <v/>
      </c>
      <c r="AK101" s="29" t="str">
        <f aca="false">IF(AND(ISNUMBER(T101),ISNUMBER(W101)),W101-T101,"")</f>
        <v/>
      </c>
      <c r="AL101" s="29" t="str">
        <f aca="false">IF(A101="","",SUMIF(Actions!$C$5:$C$1004,A101,Actions!$F$5:$F$1004))</f>
        <v/>
      </c>
      <c r="AM101" s="25"/>
    </row>
    <row r="102" customFormat="false" ht="15" hidden="false" customHeight="false" outlineLevel="0" collapsed="false">
      <c r="A102" s="23"/>
      <c r="B102" s="23"/>
      <c r="C102" s="23"/>
      <c r="D102" s="23"/>
      <c r="E102" s="23"/>
      <c r="F102" s="23"/>
      <c r="G102" s="23"/>
      <c r="H102" s="23"/>
      <c r="I102" s="23"/>
      <c r="J102" s="23"/>
      <c r="K102" s="24"/>
      <c r="L102" s="23"/>
      <c r="M102" s="25"/>
      <c r="N102" s="25"/>
      <c r="O102" s="23"/>
      <c r="P102" s="26"/>
      <c r="Q102" s="26"/>
      <c r="R102" s="27" t="str">
        <f aca="false">IF(AND(ISNUMBER(P102),ISNUMBER(Q102)),P102-Q102,"")</f>
        <v/>
      </c>
      <c r="S102" s="24"/>
      <c r="T102" s="28" t="str">
        <f aca="false">IF(S102&lt;&gt;"",S102,IF(B102="","",IFERROR(IF(INDEX(Batches!$G$5:$G$64,MATCH(B102,Batches!$A$5:$A$64,0))="","",INDEX(Batches!$G$5:$G$64,MATCH(B102,Batches!$A$5:$A$64,0))),"")))</f>
        <v/>
      </c>
      <c r="U102" s="23"/>
      <c r="V102" s="24"/>
      <c r="W102" s="28" t="str">
        <f aca="false">IF(OR(X102="",X102="Pending"),"",IF(V102&lt;&gt;"",V102,IFERROR(IF(INDEX(Batches!$H$5:$H$64,MATCH(B102,Batches!$A$5:$A$64,0))="","",INDEX(Batches!$H$5:$H$64,MATCH(B102,Batches!$A$5:$A$64,0))),"")))</f>
        <v/>
      </c>
      <c r="X102" s="23"/>
      <c r="Y102" s="23"/>
      <c r="Z102" s="26"/>
      <c r="AA102" s="27" t="str">
        <f aca="false">IF(R102="","",IF(X102="Not accepted",R102,IF(OR(X102="Accepted",X102="Withdrawn by hospital"),IF(X102="Accepted",0,R102),IF(ISNUMBER(Z102),R102-Z102,""))))</f>
        <v/>
      </c>
      <c r="AB102" s="23"/>
      <c r="AC102" s="25"/>
      <c r="AD102" s="23"/>
      <c r="AE102" s="23"/>
      <c r="AF102" s="24"/>
      <c r="AG102" s="23"/>
      <c r="AH102" s="24"/>
      <c r="AI102" s="29" t="str">
        <f aca="false">IF(X102="Not accepted","Maintained",IF(X102="Partially accepted","Partially maintained",IF(X102="Accepted","Reversed",IF(X102="Withdrawn by hospital","Withdrawn by hospital",""))))</f>
        <v/>
      </c>
      <c r="AJ102" s="28" t="str">
        <f aca="false">IF(AI102="","",W102)</f>
        <v/>
      </c>
      <c r="AK102" s="29" t="str">
        <f aca="false">IF(AND(ISNUMBER(T102),ISNUMBER(W102)),W102-T102,"")</f>
        <v/>
      </c>
      <c r="AL102" s="29" t="str">
        <f aca="false">IF(A102="","",SUMIF(Actions!$C$5:$C$1004,A102,Actions!$F$5:$F$1004))</f>
        <v/>
      </c>
      <c r="AM102" s="25"/>
    </row>
    <row r="103" customFormat="false" ht="15" hidden="false" customHeight="false" outlineLevel="0" collapsed="false">
      <c r="A103" s="23"/>
      <c r="B103" s="23"/>
      <c r="C103" s="23"/>
      <c r="D103" s="23"/>
      <c r="E103" s="23"/>
      <c r="F103" s="23"/>
      <c r="G103" s="23"/>
      <c r="H103" s="23"/>
      <c r="I103" s="23"/>
      <c r="J103" s="23"/>
      <c r="K103" s="24"/>
      <c r="L103" s="23"/>
      <c r="M103" s="25"/>
      <c r="N103" s="25"/>
      <c r="O103" s="23"/>
      <c r="P103" s="26"/>
      <c r="Q103" s="26"/>
      <c r="R103" s="27" t="str">
        <f aca="false">IF(AND(ISNUMBER(P103),ISNUMBER(Q103)),P103-Q103,"")</f>
        <v/>
      </c>
      <c r="S103" s="24"/>
      <c r="T103" s="28" t="str">
        <f aca="false">IF(S103&lt;&gt;"",S103,IF(B103="","",IFERROR(IF(INDEX(Batches!$G$5:$G$64,MATCH(B103,Batches!$A$5:$A$64,0))="","",INDEX(Batches!$G$5:$G$64,MATCH(B103,Batches!$A$5:$A$64,0))),"")))</f>
        <v/>
      </c>
      <c r="U103" s="23"/>
      <c r="V103" s="24"/>
      <c r="W103" s="28" t="str">
        <f aca="false">IF(OR(X103="",X103="Pending"),"",IF(V103&lt;&gt;"",V103,IFERROR(IF(INDEX(Batches!$H$5:$H$64,MATCH(B103,Batches!$A$5:$A$64,0))="","",INDEX(Batches!$H$5:$H$64,MATCH(B103,Batches!$A$5:$A$64,0))),"")))</f>
        <v/>
      </c>
      <c r="X103" s="23"/>
      <c r="Y103" s="23"/>
      <c r="Z103" s="26"/>
      <c r="AA103" s="27" t="str">
        <f aca="false">IF(R103="","",IF(X103="Not accepted",R103,IF(OR(X103="Accepted",X103="Withdrawn by hospital"),IF(X103="Accepted",0,R103),IF(ISNUMBER(Z103),R103-Z103,""))))</f>
        <v/>
      </c>
      <c r="AB103" s="23"/>
      <c r="AC103" s="25"/>
      <c r="AD103" s="23"/>
      <c r="AE103" s="23"/>
      <c r="AF103" s="24"/>
      <c r="AG103" s="23"/>
      <c r="AH103" s="24"/>
      <c r="AI103" s="29" t="str">
        <f aca="false">IF(X103="Not accepted","Maintained",IF(X103="Partially accepted","Partially maintained",IF(X103="Accepted","Reversed",IF(X103="Withdrawn by hospital","Withdrawn by hospital",""))))</f>
        <v/>
      </c>
      <c r="AJ103" s="28" t="str">
        <f aca="false">IF(AI103="","",W103)</f>
        <v/>
      </c>
      <c r="AK103" s="29" t="str">
        <f aca="false">IF(AND(ISNUMBER(T103),ISNUMBER(W103)),W103-T103,"")</f>
        <v/>
      </c>
      <c r="AL103" s="29" t="str">
        <f aca="false">IF(A103="","",SUMIF(Actions!$C$5:$C$1004,A103,Actions!$F$5:$F$1004))</f>
        <v/>
      </c>
      <c r="AM103" s="25"/>
    </row>
    <row r="104" customFormat="false" ht="15" hidden="false" customHeight="false" outlineLevel="0" collapsed="false">
      <c r="A104" s="23"/>
      <c r="B104" s="23"/>
      <c r="C104" s="23"/>
      <c r="D104" s="23"/>
      <c r="E104" s="23"/>
      <c r="F104" s="23"/>
      <c r="G104" s="23"/>
      <c r="H104" s="23"/>
      <c r="I104" s="23"/>
      <c r="J104" s="23"/>
      <c r="K104" s="24"/>
      <c r="L104" s="23"/>
      <c r="M104" s="25"/>
      <c r="N104" s="25"/>
      <c r="O104" s="23"/>
      <c r="P104" s="26"/>
      <c r="Q104" s="26"/>
      <c r="R104" s="27" t="str">
        <f aca="false">IF(AND(ISNUMBER(P104),ISNUMBER(Q104)),P104-Q104,"")</f>
        <v/>
      </c>
      <c r="S104" s="24"/>
      <c r="T104" s="28" t="str">
        <f aca="false">IF(S104&lt;&gt;"",S104,IF(B104="","",IFERROR(IF(INDEX(Batches!$G$5:$G$64,MATCH(B104,Batches!$A$5:$A$64,0))="","",INDEX(Batches!$G$5:$G$64,MATCH(B104,Batches!$A$5:$A$64,0))),"")))</f>
        <v/>
      </c>
      <c r="U104" s="23"/>
      <c r="V104" s="24"/>
      <c r="W104" s="28" t="str">
        <f aca="false">IF(OR(X104="",X104="Pending"),"",IF(V104&lt;&gt;"",V104,IFERROR(IF(INDEX(Batches!$H$5:$H$64,MATCH(B104,Batches!$A$5:$A$64,0))="","",INDEX(Batches!$H$5:$H$64,MATCH(B104,Batches!$A$5:$A$64,0))),"")))</f>
        <v/>
      </c>
      <c r="X104" s="23"/>
      <c r="Y104" s="23"/>
      <c r="Z104" s="26"/>
      <c r="AA104" s="27" t="str">
        <f aca="false">IF(R104="","",IF(X104="Not accepted",R104,IF(OR(X104="Accepted",X104="Withdrawn by hospital"),IF(X104="Accepted",0,R104),IF(ISNUMBER(Z104),R104-Z104,""))))</f>
        <v/>
      </c>
      <c r="AB104" s="23"/>
      <c r="AC104" s="25"/>
      <c r="AD104" s="23"/>
      <c r="AE104" s="23"/>
      <c r="AF104" s="24"/>
      <c r="AG104" s="23"/>
      <c r="AH104" s="24"/>
      <c r="AI104" s="29" t="str">
        <f aca="false">IF(X104="Not accepted","Maintained",IF(X104="Partially accepted","Partially maintained",IF(X104="Accepted","Reversed",IF(X104="Withdrawn by hospital","Withdrawn by hospital",""))))</f>
        <v/>
      </c>
      <c r="AJ104" s="28" t="str">
        <f aca="false">IF(AI104="","",W104)</f>
        <v/>
      </c>
      <c r="AK104" s="29" t="str">
        <f aca="false">IF(AND(ISNUMBER(T104),ISNUMBER(W104)),W104-T104,"")</f>
        <v/>
      </c>
      <c r="AL104" s="29" t="str">
        <f aca="false">IF(A104="","",SUMIF(Actions!$C$5:$C$1004,A104,Actions!$F$5:$F$1004))</f>
        <v/>
      </c>
      <c r="AM104" s="25"/>
    </row>
    <row r="105" customFormat="false" ht="15" hidden="false" customHeight="false" outlineLevel="0" collapsed="false">
      <c r="A105" s="23"/>
      <c r="B105" s="23"/>
      <c r="C105" s="23"/>
      <c r="D105" s="23"/>
      <c r="E105" s="23"/>
      <c r="F105" s="23"/>
      <c r="G105" s="23"/>
      <c r="H105" s="23"/>
      <c r="I105" s="23"/>
      <c r="J105" s="23"/>
      <c r="K105" s="24"/>
      <c r="L105" s="23"/>
      <c r="M105" s="25"/>
      <c r="N105" s="25"/>
      <c r="O105" s="23"/>
      <c r="P105" s="26"/>
      <c r="Q105" s="26"/>
      <c r="R105" s="27" t="str">
        <f aca="false">IF(AND(ISNUMBER(P105),ISNUMBER(Q105)),P105-Q105,"")</f>
        <v/>
      </c>
      <c r="S105" s="24"/>
      <c r="T105" s="28" t="str">
        <f aca="false">IF(S105&lt;&gt;"",S105,IF(B105="","",IFERROR(IF(INDEX(Batches!$G$5:$G$64,MATCH(B105,Batches!$A$5:$A$64,0))="","",INDEX(Batches!$G$5:$G$64,MATCH(B105,Batches!$A$5:$A$64,0))),"")))</f>
        <v/>
      </c>
      <c r="U105" s="23"/>
      <c r="V105" s="24"/>
      <c r="W105" s="28" t="str">
        <f aca="false">IF(OR(X105="",X105="Pending"),"",IF(V105&lt;&gt;"",V105,IFERROR(IF(INDEX(Batches!$H$5:$H$64,MATCH(B105,Batches!$A$5:$A$64,0))="","",INDEX(Batches!$H$5:$H$64,MATCH(B105,Batches!$A$5:$A$64,0))),"")))</f>
        <v/>
      </c>
      <c r="X105" s="23"/>
      <c r="Y105" s="23"/>
      <c r="Z105" s="26"/>
      <c r="AA105" s="27" t="str">
        <f aca="false">IF(R105="","",IF(X105="Not accepted",R105,IF(OR(X105="Accepted",X105="Withdrawn by hospital"),IF(X105="Accepted",0,R105),IF(ISNUMBER(Z105),R105-Z105,""))))</f>
        <v/>
      </c>
      <c r="AB105" s="23"/>
      <c r="AC105" s="25"/>
      <c r="AD105" s="23"/>
      <c r="AE105" s="23"/>
      <c r="AF105" s="24"/>
      <c r="AG105" s="23"/>
      <c r="AH105" s="24"/>
      <c r="AI105" s="29" t="str">
        <f aca="false">IF(X105="Not accepted","Maintained",IF(X105="Partially accepted","Partially maintained",IF(X105="Accepted","Reversed",IF(X105="Withdrawn by hospital","Withdrawn by hospital",""))))</f>
        <v/>
      </c>
      <c r="AJ105" s="28" t="str">
        <f aca="false">IF(AI105="","",W105)</f>
        <v/>
      </c>
      <c r="AK105" s="29" t="str">
        <f aca="false">IF(AND(ISNUMBER(T105),ISNUMBER(W105)),W105-T105,"")</f>
        <v/>
      </c>
      <c r="AL105" s="29" t="str">
        <f aca="false">IF(A105="","",SUMIF(Actions!$C$5:$C$1004,A105,Actions!$F$5:$F$1004))</f>
        <v/>
      </c>
      <c r="AM105" s="25"/>
    </row>
    <row r="106" customFormat="false" ht="15" hidden="false" customHeight="false" outlineLevel="0" collapsed="false">
      <c r="A106" s="23"/>
      <c r="B106" s="23"/>
      <c r="C106" s="23"/>
      <c r="D106" s="23"/>
      <c r="E106" s="23"/>
      <c r="F106" s="23"/>
      <c r="G106" s="23"/>
      <c r="H106" s="23"/>
      <c r="I106" s="23"/>
      <c r="J106" s="23"/>
      <c r="K106" s="24"/>
      <c r="L106" s="23"/>
      <c r="M106" s="25"/>
      <c r="N106" s="25"/>
      <c r="O106" s="23"/>
      <c r="P106" s="26"/>
      <c r="Q106" s="26"/>
      <c r="R106" s="27" t="str">
        <f aca="false">IF(AND(ISNUMBER(P106),ISNUMBER(Q106)),P106-Q106,"")</f>
        <v/>
      </c>
      <c r="S106" s="24"/>
      <c r="T106" s="28" t="str">
        <f aca="false">IF(S106&lt;&gt;"",S106,IF(B106="","",IFERROR(IF(INDEX(Batches!$G$5:$G$64,MATCH(B106,Batches!$A$5:$A$64,0))="","",INDEX(Batches!$G$5:$G$64,MATCH(B106,Batches!$A$5:$A$64,0))),"")))</f>
        <v/>
      </c>
      <c r="U106" s="23"/>
      <c r="V106" s="24"/>
      <c r="W106" s="28" t="str">
        <f aca="false">IF(OR(X106="",X106="Pending"),"",IF(V106&lt;&gt;"",V106,IFERROR(IF(INDEX(Batches!$H$5:$H$64,MATCH(B106,Batches!$A$5:$A$64,0))="","",INDEX(Batches!$H$5:$H$64,MATCH(B106,Batches!$A$5:$A$64,0))),"")))</f>
        <v/>
      </c>
      <c r="X106" s="23"/>
      <c r="Y106" s="23"/>
      <c r="Z106" s="26"/>
      <c r="AA106" s="27" t="str">
        <f aca="false">IF(R106="","",IF(X106="Not accepted",R106,IF(OR(X106="Accepted",X106="Withdrawn by hospital"),IF(X106="Accepted",0,R106),IF(ISNUMBER(Z106),R106-Z106,""))))</f>
        <v/>
      </c>
      <c r="AB106" s="23"/>
      <c r="AC106" s="25"/>
      <c r="AD106" s="23"/>
      <c r="AE106" s="23"/>
      <c r="AF106" s="24"/>
      <c r="AG106" s="23"/>
      <c r="AH106" s="24"/>
      <c r="AI106" s="29" t="str">
        <f aca="false">IF(X106="Not accepted","Maintained",IF(X106="Partially accepted","Partially maintained",IF(X106="Accepted","Reversed",IF(X106="Withdrawn by hospital","Withdrawn by hospital",""))))</f>
        <v/>
      </c>
      <c r="AJ106" s="28" t="str">
        <f aca="false">IF(AI106="","",W106)</f>
        <v/>
      </c>
      <c r="AK106" s="29" t="str">
        <f aca="false">IF(AND(ISNUMBER(T106),ISNUMBER(W106)),W106-T106,"")</f>
        <v/>
      </c>
      <c r="AL106" s="29" t="str">
        <f aca="false">IF(A106="","",SUMIF(Actions!$C$5:$C$1004,A106,Actions!$F$5:$F$1004))</f>
        <v/>
      </c>
      <c r="AM106" s="25"/>
    </row>
    <row r="107" customFormat="false" ht="15" hidden="false" customHeight="false" outlineLevel="0" collapsed="false">
      <c r="A107" s="23"/>
      <c r="B107" s="23"/>
      <c r="C107" s="23"/>
      <c r="D107" s="23"/>
      <c r="E107" s="23"/>
      <c r="F107" s="23"/>
      <c r="G107" s="23"/>
      <c r="H107" s="23"/>
      <c r="I107" s="23"/>
      <c r="J107" s="23"/>
      <c r="K107" s="24"/>
      <c r="L107" s="23"/>
      <c r="M107" s="25"/>
      <c r="N107" s="25"/>
      <c r="O107" s="23"/>
      <c r="P107" s="26"/>
      <c r="Q107" s="26"/>
      <c r="R107" s="27" t="str">
        <f aca="false">IF(AND(ISNUMBER(P107),ISNUMBER(Q107)),P107-Q107,"")</f>
        <v/>
      </c>
      <c r="S107" s="24"/>
      <c r="T107" s="28" t="str">
        <f aca="false">IF(S107&lt;&gt;"",S107,IF(B107="","",IFERROR(IF(INDEX(Batches!$G$5:$G$64,MATCH(B107,Batches!$A$5:$A$64,0))="","",INDEX(Batches!$G$5:$G$64,MATCH(B107,Batches!$A$5:$A$64,0))),"")))</f>
        <v/>
      </c>
      <c r="U107" s="23"/>
      <c r="V107" s="24"/>
      <c r="W107" s="28" t="str">
        <f aca="false">IF(OR(X107="",X107="Pending"),"",IF(V107&lt;&gt;"",V107,IFERROR(IF(INDEX(Batches!$H$5:$H$64,MATCH(B107,Batches!$A$5:$A$64,0))="","",INDEX(Batches!$H$5:$H$64,MATCH(B107,Batches!$A$5:$A$64,0))),"")))</f>
        <v/>
      </c>
      <c r="X107" s="23"/>
      <c r="Y107" s="23"/>
      <c r="Z107" s="26"/>
      <c r="AA107" s="27" t="str">
        <f aca="false">IF(R107="","",IF(X107="Not accepted",R107,IF(OR(X107="Accepted",X107="Withdrawn by hospital"),IF(X107="Accepted",0,R107),IF(ISNUMBER(Z107),R107-Z107,""))))</f>
        <v/>
      </c>
      <c r="AB107" s="23"/>
      <c r="AC107" s="25"/>
      <c r="AD107" s="23"/>
      <c r="AE107" s="23"/>
      <c r="AF107" s="24"/>
      <c r="AG107" s="23"/>
      <c r="AH107" s="24"/>
      <c r="AI107" s="29" t="str">
        <f aca="false">IF(X107="Not accepted","Maintained",IF(X107="Partially accepted","Partially maintained",IF(X107="Accepted","Reversed",IF(X107="Withdrawn by hospital","Withdrawn by hospital",""))))</f>
        <v/>
      </c>
      <c r="AJ107" s="28" t="str">
        <f aca="false">IF(AI107="","",W107)</f>
        <v/>
      </c>
      <c r="AK107" s="29" t="str">
        <f aca="false">IF(AND(ISNUMBER(T107),ISNUMBER(W107)),W107-T107,"")</f>
        <v/>
      </c>
      <c r="AL107" s="29" t="str">
        <f aca="false">IF(A107="","",SUMIF(Actions!$C$5:$C$1004,A107,Actions!$F$5:$F$1004))</f>
        <v/>
      </c>
      <c r="AM107" s="25"/>
    </row>
    <row r="108" customFormat="false" ht="15" hidden="false" customHeight="false" outlineLevel="0" collapsed="false">
      <c r="A108" s="23"/>
      <c r="B108" s="23"/>
      <c r="C108" s="23"/>
      <c r="D108" s="23"/>
      <c r="E108" s="23"/>
      <c r="F108" s="23"/>
      <c r="G108" s="23"/>
      <c r="H108" s="23"/>
      <c r="I108" s="23"/>
      <c r="J108" s="23"/>
      <c r="K108" s="24"/>
      <c r="L108" s="23"/>
      <c r="M108" s="25"/>
      <c r="N108" s="25"/>
      <c r="O108" s="23"/>
      <c r="P108" s="26"/>
      <c r="Q108" s="26"/>
      <c r="R108" s="27" t="str">
        <f aca="false">IF(AND(ISNUMBER(P108),ISNUMBER(Q108)),P108-Q108,"")</f>
        <v/>
      </c>
      <c r="S108" s="24"/>
      <c r="T108" s="28" t="str">
        <f aca="false">IF(S108&lt;&gt;"",S108,IF(B108="","",IFERROR(IF(INDEX(Batches!$G$5:$G$64,MATCH(B108,Batches!$A$5:$A$64,0))="","",INDEX(Batches!$G$5:$G$64,MATCH(B108,Batches!$A$5:$A$64,0))),"")))</f>
        <v/>
      </c>
      <c r="U108" s="23"/>
      <c r="V108" s="24"/>
      <c r="W108" s="28" t="str">
        <f aca="false">IF(OR(X108="",X108="Pending"),"",IF(V108&lt;&gt;"",V108,IFERROR(IF(INDEX(Batches!$H$5:$H$64,MATCH(B108,Batches!$A$5:$A$64,0))="","",INDEX(Batches!$H$5:$H$64,MATCH(B108,Batches!$A$5:$A$64,0))),"")))</f>
        <v/>
      </c>
      <c r="X108" s="23"/>
      <c r="Y108" s="23"/>
      <c r="Z108" s="26"/>
      <c r="AA108" s="27" t="str">
        <f aca="false">IF(R108="","",IF(X108="Not accepted",R108,IF(OR(X108="Accepted",X108="Withdrawn by hospital"),IF(X108="Accepted",0,R108),IF(ISNUMBER(Z108),R108-Z108,""))))</f>
        <v/>
      </c>
      <c r="AB108" s="23"/>
      <c r="AC108" s="25"/>
      <c r="AD108" s="23"/>
      <c r="AE108" s="23"/>
      <c r="AF108" s="24"/>
      <c r="AG108" s="23"/>
      <c r="AH108" s="24"/>
      <c r="AI108" s="29" t="str">
        <f aca="false">IF(X108="Not accepted","Maintained",IF(X108="Partially accepted","Partially maintained",IF(X108="Accepted","Reversed",IF(X108="Withdrawn by hospital","Withdrawn by hospital",""))))</f>
        <v/>
      </c>
      <c r="AJ108" s="28" t="str">
        <f aca="false">IF(AI108="","",W108)</f>
        <v/>
      </c>
      <c r="AK108" s="29" t="str">
        <f aca="false">IF(AND(ISNUMBER(T108),ISNUMBER(W108)),W108-T108,"")</f>
        <v/>
      </c>
      <c r="AL108" s="29" t="str">
        <f aca="false">IF(A108="","",SUMIF(Actions!$C$5:$C$1004,A108,Actions!$F$5:$F$1004))</f>
        <v/>
      </c>
      <c r="AM108" s="25"/>
    </row>
    <row r="109" customFormat="false" ht="15" hidden="false" customHeight="false" outlineLevel="0" collapsed="false">
      <c r="A109" s="23"/>
      <c r="B109" s="23"/>
      <c r="C109" s="23"/>
      <c r="D109" s="23"/>
      <c r="E109" s="23"/>
      <c r="F109" s="23"/>
      <c r="G109" s="23"/>
      <c r="H109" s="23"/>
      <c r="I109" s="23"/>
      <c r="J109" s="23"/>
      <c r="K109" s="24"/>
      <c r="L109" s="23"/>
      <c r="M109" s="25"/>
      <c r="N109" s="25"/>
      <c r="O109" s="23"/>
      <c r="P109" s="26"/>
      <c r="Q109" s="26"/>
      <c r="R109" s="27" t="str">
        <f aca="false">IF(AND(ISNUMBER(P109),ISNUMBER(Q109)),P109-Q109,"")</f>
        <v/>
      </c>
      <c r="S109" s="24"/>
      <c r="T109" s="28" t="str">
        <f aca="false">IF(S109&lt;&gt;"",S109,IF(B109="","",IFERROR(IF(INDEX(Batches!$G$5:$G$64,MATCH(B109,Batches!$A$5:$A$64,0))="","",INDEX(Batches!$G$5:$G$64,MATCH(B109,Batches!$A$5:$A$64,0))),"")))</f>
        <v/>
      </c>
      <c r="U109" s="23"/>
      <c r="V109" s="24"/>
      <c r="W109" s="28" t="str">
        <f aca="false">IF(OR(X109="",X109="Pending"),"",IF(V109&lt;&gt;"",V109,IFERROR(IF(INDEX(Batches!$H$5:$H$64,MATCH(B109,Batches!$A$5:$A$64,0))="","",INDEX(Batches!$H$5:$H$64,MATCH(B109,Batches!$A$5:$A$64,0))),"")))</f>
        <v/>
      </c>
      <c r="X109" s="23"/>
      <c r="Y109" s="23"/>
      <c r="Z109" s="26"/>
      <c r="AA109" s="27" t="str">
        <f aca="false">IF(R109="","",IF(X109="Not accepted",R109,IF(OR(X109="Accepted",X109="Withdrawn by hospital"),IF(X109="Accepted",0,R109),IF(ISNUMBER(Z109),R109-Z109,""))))</f>
        <v/>
      </c>
      <c r="AB109" s="23"/>
      <c r="AC109" s="25"/>
      <c r="AD109" s="23"/>
      <c r="AE109" s="23"/>
      <c r="AF109" s="24"/>
      <c r="AG109" s="23"/>
      <c r="AH109" s="24"/>
      <c r="AI109" s="29" t="str">
        <f aca="false">IF(X109="Not accepted","Maintained",IF(X109="Partially accepted","Partially maintained",IF(X109="Accepted","Reversed",IF(X109="Withdrawn by hospital","Withdrawn by hospital",""))))</f>
        <v/>
      </c>
      <c r="AJ109" s="28" t="str">
        <f aca="false">IF(AI109="","",W109)</f>
        <v/>
      </c>
      <c r="AK109" s="29" t="str">
        <f aca="false">IF(AND(ISNUMBER(T109),ISNUMBER(W109)),W109-T109,"")</f>
        <v/>
      </c>
      <c r="AL109" s="29" t="str">
        <f aca="false">IF(A109="","",SUMIF(Actions!$C$5:$C$1004,A109,Actions!$F$5:$F$1004))</f>
        <v/>
      </c>
      <c r="AM109" s="25"/>
    </row>
    <row r="110" customFormat="false" ht="15" hidden="false" customHeight="false" outlineLevel="0" collapsed="false">
      <c r="A110" s="23"/>
      <c r="B110" s="23"/>
      <c r="C110" s="23"/>
      <c r="D110" s="23"/>
      <c r="E110" s="23"/>
      <c r="F110" s="23"/>
      <c r="G110" s="23"/>
      <c r="H110" s="23"/>
      <c r="I110" s="23"/>
      <c r="J110" s="23"/>
      <c r="K110" s="24"/>
      <c r="L110" s="23"/>
      <c r="M110" s="25"/>
      <c r="N110" s="25"/>
      <c r="O110" s="23"/>
      <c r="P110" s="26"/>
      <c r="Q110" s="26"/>
      <c r="R110" s="27" t="str">
        <f aca="false">IF(AND(ISNUMBER(P110),ISNUMBER(Q110)),P110-Q110,"")</f>
        <v/>
      </c>
      <c r="S110" s="24"/>
      <c r="T110" s="28" t="str">
        <f aca="false">IF(S110&lt;&gt;"",S110,IF(B110="","",IFERROR(IF(INDEX(Batches!$G$5:$G$64,MATCH(B110,Batches!$A$5:$A$64,0))="","",INDEX(Batches!$G$5:$G$64,MATCH(B110,Batches!$A$5:$A$64,0))),"")))</f>
        <v/>
      </c>
      <c r="U110" s="23"/>
      <c r="V110" s="24"/>
      <c r="W110" s="28" t="str">
        <f aca="false">IF(OR(X110="",X110="Pending"),"",IF(V110&lt;&gt;"",V110,IFERROR(IF(INDEX(Batches!$H$5:$H$64,MATCH(B110,Batches!$A$5:$A$64,0))="","",INDEX(Batches!$H$5:$H$64,MATCH(B110,Batches!$A$5:$A$64,0))),"")))</f>
        <v/>
      </c>
      <c r="X110" s="23"/>
      <c r="Y110" s="23"/>
      <c r="Z110" s="26"/>
      <c r="AA110" s="27" t="str">
        <f aca="false">IF(R110="","",IF(X110="Not accepted",R110,IF(OR(X110="Accepted",X110="Withdrawn by hospital"),IF(X110="Accepted",0,R110),IF(ISNUMBER(Z110),R110-Z110,""))))</f>
        <v/>
      </c>
      <c r="AB110" s="23"/>
      <c r="AC110" s="25"/>
      <c r="AD110" s="23"/>
      <c r="AE110" s="23"/>
      <c r="AF110" s="24"/>
      <c r="AG110" s="23"/>
      <c r="AH110" s="24"/>
      <c r="AI110" s="29" t="str">
        <f aca="false">IF(X110="Not accepted","Maintained",IF(X110="Partially accepted","Partially maintained",IF(X110="Accepted","Reversed",IF(X110="Withdrawn by hospital","Withdrawn by hospital",""))))</f>
        <v/>
      </c>
      <c r="AJ110" s="28" t="str">
        <f aca="false">IF(AI110="","",W110)</f>
        <v/>
      </c>
      <c r="AK110" s="29" t="str">
        <f aca="false">IF(AND(ISNUMBER(T110),ISNUMBER(W110)),W110-T110,"")</f>
        <v/>
      </c>
      <c r="AL110" s="29" t="str">
        <f aca="false">IF(A110="","",SUMIF(Actions!$C$5:$C$1004,A110,Actions!$F$5:$F$1004))</f>
        <v/>
      </c>
      <c r="AM110" s="25"/>
    </row>
    <row r="111" customFormat="false" ht="15" hidden="false" customHeight="false" outlineLevel="0" collapsed="false">
      <c r="A111" s="23"/>
      <c r="B111" s="23"/>
      <c r="C111" s="23"/>
      <c r="D111" s="23"/>
      <c r="E111" s="23"/>
      <c r="F111" s="23"/>
      <c r="G111" s="23"/>
      <c r="H111" s="23"/>
      <c r="I111" s="23"/>
      <c r="J111" s="23"/>
      <c r="K111" s="24"/>
      <c r="L111" s="23"/>
      <c r="M111" s="25"/>
      <c r="N111" s="25"/>
      <c r="O111" s="23"/>
      <c r="P111" s="26"/>
      <c r="Q111" s="26"/>
      <c r="R111" s="27" t="str">
        <f aca="false">IF(AND(ISNUMBER(P111),ISNUMBER(Q111)),P111-Q111,"")</f>
        <v/>
      </c>
      <c r="S111" s="24"/>
      <c r="T111" s="28" t="str">
        <f aca="false">IF(S111&lt;&gt;"",S111,IF(B111="","",IFERROR(IF(INDEX(Batches!$G$5:$G$64,MATCH(B111,Batches!$A$5:$A$64,0))="","",INDEX(Batches!$G$5:$G$64,MATCH(B111,Batches!$A$5:$A$64,0))),"")))</f>
        <v/>
      </c>
      <c r="U111" s="23"/>
      <c r="V111" s="24"/>
      <c r="W111" s="28" t="str">
        <f aca="false">IF(OR(X111="",X111="Pending"),"",IF(V111&lt;&gt;"",V111,IFERROR(IF(INDEX(Batches!$H$5:$H$64,MATCH(B111,Batches!$A$5:$A$64,0))="","",INDEX(Batches!$H$5:$H$64,MATCH(B111,Batches!$A$5:$A$64,0))),"")))</f>
        <v/>
      </c>
      <c r="X111" s="23"/>
      <c r="Y111" s="23"/>
      <c r="Z111" s="26"/>
      <c r="AA111" s="27" t="str">
        <f aca="false">IF(R111="","",IF(X111="Not accepted",R111,IF(OR(X111="Accepted",X111="Withdrawn by hospital"),IF(X111="Accepted",0,R111),IF(ISNUMBER(Z111),R111-Z111,""))))</f>
        <v/>
      </c>
      <c r="AB111" s="23"/>
      <c r="AC111" s="25"/>
      <c r="AD111" s="23"/>
      <c r="AE111" s="23"/>
      <c r="AF111" s="24"/>
      <c r="AG111" s="23"/>
      <c r="AH111" s="24"/>
      <c r="AI111" s="29" t="str">
        <f aca="false">IF(X111="Not accepted","Maintained",IF(X111="Partially accepted","Partially maintained",IF(X111="Accepted","Reversed",IF(X111="Withdrawn by hospital","Withdrawn by hospital",""))))</f>
        <v/>
      </c>
      <c r="AJ111" s="28" t="str">
        <f aca="false">IF(AI111="","",W111)</f>
        <v/>
      </c>
      <c r="AK111" s="29" t="str">
        <f aca="false">IF(AND(ISNUMBER(T111),ISNUMBER(W111)),W111-T111,"")</f>
        <v/>
      </c>
      <c r="AL111" s="29" t="str">
        <f aca="false">IF(A111="","",SUMIF(Actions!$C$5:$C$1004,A111,Actions!$F$5:$F$1004))</f>
        <v/>
      </c>
      <c r="AM111" s="25"/>
    </row>
    <row r="112" customFormat="false" ht="15" hidden="false" customHeight="false" outlineLevel="0" collapsed="false">
      <c r="A112" s="23"/>
      <c r="B112" s="23"/>
      <c r="C112" s="23"/>
      <c r="D112" s="23"/>
      <c r="E112" s="23"/>
      <c r="F112" s="23"/>
      <c r="G112" s="23"/>
      <c r="H112" s="23"/>
      <c r="I112" s="23"/>
      <c r="J112" s="23"/>
      <c r="K112" s="24"/>
      <c r="L112" s="23"/>
      <c r="M112" s="25"/>
      <c r="N112" s="25"/>
      <c r="O112" s="23"/>
      <c r="P112" s="26"/>
      <c r="Q112" s="26"/>
      <c r="R112" s="27" t="str">
        <f aca="false">IF(AND(ISNUMBER(P112),ISNUMBER(Q112)),P112-Q112,"")</f>
        <v/>
      </c>
      <c r="S112" s="24"/>
      <c r="T112" s="28" t="str">
        <f aca="false">IF(S112&lt;&gt;"",S112,IF(B112="","",IFERROR(IF(INDEX(Batches!$G$5:$G$64,MATCH(B112,Batches!$A$5:$A$64,0))="","",INDEX(Batches!$G$5:$G$64,MATCH(B112,Batches!$A$5:$A$64,0))),"")))</f>
        <v/>
      </c>
      <c r="U112" s="23"/>
      <c r="V112" s="24"/>
      <c r="W112" s="28" t="str">
        <f aca="false">IF(OR(X112="",X112="Pending"),"",IF(V112&lt;&gt;"",V112,IFERROR(IF(INDEX(Batches!$H$5:$H$64,MATCH(B112,Batches!$A$5:$A$64,0))="","",INDEX(Batches!$H$5:$H$64,MATCH(B112,Batches!$A$5:$A$64,0))),"")))</f>
        <v/>
      </c>
      <c r="X112" s="23"/>
      <c r="Y112" s="23"/>
      <c r="Z112" s="26"/>
      <c r="AA112" s="27" t="str">
        <f aca="false">IF(R112="","",IF(X112="Not accepted",R112,IF(OR(X112="Accepted",X112="Withdrawn by hospital"),IF(X112="Accepted",0,R112),IF(ISNUMBER(Z112),R112-Z112,""))))</f>
        <v/>
      </c>
      <c r="AB112" s="23"/>
      <c r="AC112" s="25"/>
      <c r="AD112" s="23"/>
      <c r="AE112" s="23"/>
      <c r="AF112" s="24"/>
      <c r="AG112" s="23"/>
      <c r="AH112" s="24"/>
      <c r="AI112" s="29" t="str">
        <f aca="false">IF(X112="Not accepted","Maintained",IF(X112="Partially accepted","Partially maintained",IF(X112="Accepted","Reversed",IF(X112="Withdrawn by hospital","Withdrawn by hospital",""))))</f>
        <v/>
      </c>
      <c r="AJ112" s="28" t="str">
        <f aca="false">IF(AI112="","",W112)</f>
        <v/>
      </c>
      <c r="AK112" s="29" t="str">
        <f aca="false">IF(AND(ISNUMBER(T112),ISNUMBER(W112)),W112-T112,"")</f>
        <v/>
      </c>
      <c r="AL112" s="29" t="str">
        <f aca="false">IF(A112="","",SUMIF(Actions!$C$5:$C$1004,A112,Actions!$F$5:$F$1004))</f>
        <v/>
      </c>
      <c r="AM112" s="25"/>
    </row>
    <row r="113" customFormat="false" ht="15" hidden="false" customHeight="false" outlineLevel="0" collapsed="false">
      <c r="A113" s="23"/>
      <c r="B113" s="23"/>
      <c r="C113" s="23"/>
      <c r="D113" s="23"/>
      <c r="E113" s="23"/>
      <c r="F113" s="23"/>
      <c r="G113" s="23"/>
      <c r="H113" s="23"/>
      <c r="I113" s="23"/>
      <c r="J113" s="23"/>
      <c r="K113" s="24"/>
      <c r="L113" s="23"/>
      <c r="M113" s="25"/>
      <c r="N113" s="25"/>
      <c r="O113" s="23"/>
      <c r="P113" s="26"/>
      <c r="Q113" s="26"/>
      <c r="R113" s="27" t="str">
        <f aca="false">IF(AND(ISNUMBER(P113),ISNUMBER(Q113)),P113-Q113,"")</f>
        <v/>
      </c>
      <c r="S113" s="24"/>
      <c r="T113" s="28" t="str">
        <f aca="false">IF(S113&lt;&gt;"",S113,IF(B113="","",IFERROR(IF(INDEX(Batches!$G$5:$G$64,MATCH(B113,Batches!$A$5:$A$64,0))="","",INDEX(Batches!$G$5:$G$64,MATCH(B113,Batches!$A$5:$A$64,0))),"")))</f>
        <v/>
      </c>
      <c r="U113" s="23"/>
      <c r="V113" s="24"/>
      <c r="W113" s="28" t="str">
        <f aca="false">IF(OR(X113="",X113="Pending"),"",IF(V113&lt;&gt;"",V113,IFERROR(IF(INDEX(Batches!$H$5:$H$64,MATCH(B113,Batches!$A$5:$A$64,0))="","",INDEX(Batches!$H$5:$H$64,MATCH(B113,Batches!$A$5:$A$64,0))),"")))</f>
        <v/>
      </c>
      <c r="X113" s="23"/>
      <c r="Y113" s="23"/>
      <c r="Z113" s="26"/>
      <c r="AA113" s="27" t="str">
        <f aca="false">IF(R113="","",IF(X113="Not accepted",R113,IF(OR(X113="Accepted",X113="Withdrawn by hospital"),IF(X113="Accepted",0,R113),IF(ISNUMBER(Z113),R113-Z113,""))))</f>
        <v/>
      </c>
      <c r="AB113" s="23"/>
      <c r="AC113" s="25"/>
      <c r="AD113" s="23"/>
      <c r="AE113" s="23"/>
      <c r="AF113" s="24"/>
      <c r="AG113" s="23"/>
      <c r="AH113" s="24"/>
      <c r="AI113" s="29" t="str">
        <f aca="false">IF(X113="Not accepted","Maintained",IF(X113="Partially accepted","Partially maintained",IF(X113="Accepted","Reversed",IF(X113="Withdrawn by hospital","Withdrawn by hospital",""))))</f>
        <v/>
      </c>
      <c r="AJ113" s="28" t="str">
        <f aca="false">IF(AI113="","",W113)</f>
        <v/>
      </c>
      <c r="AK113" s="29" t="str">
        <f aca="false">IF(AND(ISNUMBER(T113),ISNUMBER(W113)),W113-T113,"")</f>
        <v/>
      </c>
      <c r="AL113" s="29" t="str">
        <f aca="false">IF(A113="","",SUMIF(Actions!$C$5:$C$1004,A113,Actions!$F$5:$F$1004))</f>
        <v/>
      </c>
      <c r="AM113" s="25"/>
    </row>
    <row r="114" customFormat="false" ht="15" hidden="false" customHeight="false" outlineLevel="0" collapsed="false">
      <c r="A114" s="23"/>
      <c r="B114" s="23"/>
      <c r="C114" s="23"/>
      <c r="D114" s="23"/>
      <c r="E114" s="23"/>
      <c r="F114" s="23"/>
      <c r="G114" s="23"/>
      <c r="H114" s="23"/>
      <c r="I114" s="23"/>
      <c r="J114" s="23"/>
      <c r="K114" s="24"/>
      <c r="L114" s="23"/>
      <c r="M114" s="25"/>
      <c r="N114" s="25"/>
      <c r="O114" s="23"/>
      <c r="P114" s="26"/>
      <c r="Q114" s="26"/>
      <c r="R114" s="27" t="str">
        <f aca="false">IF(AND(ISNUMBER(P114),ISNUMBER(Q114)),P114-Q114,"")</f>
        <v/>
      </c>
      <c r="S114" s="24"/>
      <c r="T114" s="28" t="str">
        <f aca="false">IF(S114&lt;&gt;"",S114,IF(B114="","",IFERROR(IF(INDEX(Batches!$G$5:$G$64,MATCH(B114,Batches!$A$5:$A$64,0))="","",INDEX(Batches!$G$5:$G$64,MATCH(B114,Batches!$A$5:$A$64,0))),"")))</f>
        <v/>
      </c>
      <c r="U114" s="23"/>
      <c r="V114" s="24"/>
      <c r="W114" s="28" t="str">
        <f aca="false">IF(OR(X114="",X114="Pending"),"",IF(V114&lt;&gt;"",V114,IFERROR(IF(INDEX(Batches!$H$5:$H$64,MATCH(B114,Batches!$A$5:$A$64,0))="","",INDEX(Batches!$H$5:$H$64,MATCH(B114,Batches!$A$5:$A$64,0))),"")))</f>
        <v/>
      </c>
      <c r="X114" s="23"/>
      <c r="Y114" s="23"/>
      <c r="Z114" s="26"/>
      <c r="AA114" s="27" t="str">
        <f aca="false">IF(R114="","",IF(X114="Not accepted",R114,IF(OR(X114="Accepted",X114="Withdrawn by hospital"),IF(X114="Accepted",0,R114),IF(ISNUMBER(Z114),R114-Z114,""))))</f>
        <v/>
      </c>
      <c r="AB114" s="23"/>
      <c r="AC114" s="25"/>
      <c r="AD114" s="23"/>
      <c r="AE114" s="23"/>
      <c r="AF114" s="24"/>
      <c r="AG114" s="23"/>
      <c r="AH114" s="24"/>
      <c r="AI114" s="29" t="str">
        <f aca="false">IF(X114="Not accepted","Maintained",IF(X114="Partially accepted","Partially maintained",IF(X114="Accepted","Reversed",IF(X114="Withdrawn by hospital","Withdrawn by hospital",""))))</f>
        <v/>
      </c>
      <c r="AJ114" s="28" t="str">
        <f aca="false">IF(AI114="","",W114)</f>
        <v/>
      </c>
      <c r="AK114" s="29" t="str">
        <f aca="false">IF(AND(ISNUMBER(T114),ISNUMBER(W114)),W114-T114,"")</f>
        <v/>
      </c>
      <c r="AL114" s="29" t="str">
        <f aca="false">IF(A114="","",SUMIF(Actions!$C$5:$C$1004,A114,Actions!$F$5:$F$1004))</f>
        <v/>
      </c>
      <c r="AM114" s="25"/>
    </row>
    <row r="115" customFormat="false" ht="15" hidden="false" customHeight="false" outlineLevel="0" collapsed="false">
      <c r="A115" s="23"/>
      <c r="B115" s="23"/>
      <c r="C115" s="23"/>
      <c r="D115" s="23"/>
      <c r="E115" s="23"/>
      <c r="F115" s="23"/>
      <c r="G115" s="23"/>
      <c r="H115" s="23"/>
      <c r="I115" s="23"/>
      <c r="J115" s="23"/>
      <c r="K115" s="24"/>
      <c r="L115" s="23"/>
      <c r="M115" s="25"/>
      <c r="N115" s="25"/>
      <c r="O115" s="23"/>
      <c r="P115" s="26"/>
      <c r="Q115" s="26"/>
      <c r="R115" s="27" t="str">
        <f aca="false">IF(AND(ISNUMBER(P115),ISNUMBER(Q115)),P115-Q115,"")</f>
        <v/>
      </c>
      <c r="S115" s="24"/>
      <c r="T115" s="28" t="str">
        <f aca="false">IF(S115&lt;&gt;"",S115,IF(B115="","",IFERROR(IF(INDEX(Batches!$G$5:$G$64,MATCH(B115,Batches!$A$5:$A$64,0))="","",INDEX(Batches!$G$5:$G$64,MATCH(B115,Batches!$A$5:$A$64,0))),"")))</f>
        <v/>
      </c>
      <c r="U115" s="23"/>
      <c r="V115" s="24"/>
      <c r="W115" s="28" t="str">
        <f aca="false">IF(OR(X115="",X115="Pending"),"",IF(V115&lt;&gt;"",V115,IFERROR(IF(INDEX(Batches!$H$5:$H$64,MATCH(B115,Batches!$A$5:$A$64,0))="","",INDEX(Batches!$H$5:$H$64,MATCH(B115,Batches!$A$5:$A$64,0))),"")))</f>
        <v/>
      </c>
      <c r="X115" s="23"/>
      <c r="Y115" s="23"/>
      <c r="Z115" s="26"/>
      <c r="AA115" s="27" t="str">
        <f aca="false">IF(R115="","",IF(X115="Not accepted",R115,IF(OR(X115="Accepted",X115="Withdrawn by hospital"),IF(X115="Accepted",0,R115),IF(ISNUMBER(Z115),R115-Z115,""))))</f>
        <v/>
      </c>
      <c r="AB115" s="23"/>
      <c r="AC115" s="25"/>
      <c r="AD115" s="23"/>
      <c r="AE115" s="23"/>
      <c r="AF115" s="24"/>
      <c r="AG115" s="23"/>
      <c r="AH115" s="24"/>
      <c r="AI115" s="29" t="str">
        <f aca="false">IF(X115="Not accepted","Maintained",IF(X115="Partially accepted","Partially maintained",IF(X115="Accepted","Reversed",IF(X115="Withdrawn by hospital","Withdrawn by hospital",""))))</f>
        <v/>
      </c>
      <c r="AJ115" s="28" t="str">
        <f aca="false">IF(AI115="","",W115)</f>
        <v/>
      </c>
      <c r="AK115" s="29" t="str">
        <f aca="false">IF(AND(ISNUMBER(T115),ISNUMBER(W115)),W115-T115,"")</f>
        <v/>
      </c>
      <c r="AL115" s="29" t="str">
        <f aca="false">IF(A115="","",SUMIF(Actions!$C$5:$C$1004,A115,Actions!$F$5:$F$1004))</f>
        <v/>
      </c>
      <c r="AM115" s="25"/>
    </row>
    <row r="116" customFormat="false" ht="15" hidden="false" customHeight="false" outlineLevel="0" collapsed="false">
      <c r="A116" s="23"/>
      <c r="B116" s="23"/>
      <c r="C116" s="23"/>
      <c r="D116" s="23"/>
      <c r="E116" s="23"/>
      <c r="F116" s="23"/>
      <c r="G116" s="23"/>
      <c r="H116" s="23"/>
      <c r="I116" s="23"/>
      <c r="J116" s="23"/>
      <c r="K116" s="24"/>
      <c r="L116" s="23"/>
      <c r="M116" s="25"/>
      <c r="N116" s="25"/>
      <c r="O116" s="23"/>
      <c r="P116" s="26"/>
      <c r="Q116" s="26"/>
      <c r="R116" s="27" t="str">
        <f aca="false">IF(AND(ISNUMBER(P116),ISNUMBER(Q116)),P116-Q116,"")</f>
        <v/>
      </c>
      <c r="S116" s="24"/>
      <c r="T116" s="28" t="str">
        <f aca="false">IF(S116&lt;&gt;"",S116,IF(B116="","",IFERROR(IF(INDEX(Batches!$G$5:$G$64,MATCH(B116,Batches!$A$5:$A$64,0))="","",INDEX(Batches!$G$5:$G$64,MATCH(B116,Batches!$A$5:$A$64,0))),"")))</f>
        <v/>
      </c>
      <c r="U116" s="23"/>
      <c r="V116" s="24"/>
      <c r="W116" s="28" t="str">
        <f aca="false">IF(OR(X116="",X116="Pending"),"",IF(V116&lt;&gt;"",V116,IFERROR(IF(INDEX(Batches!$H$5:$H$64,MATCH(B116,Batches!$A$5:$A$64,0))="","",INDEX(Batches!$H$5:$H$64,MATCH(B116,Batches!$A$5:$A$64,0))),"")))</f>
        <v/>
      </c>
      <c r="X116" s="23"/>
      <c r="Y116" s="23"/>
      <c r="Z116" s="26"/>
      <c r="AA116" s="27" t="str">
        <f aca="false">IF(R116="","",IF(X116="Not accepted",R116,IF(OR(X116="Accepted",X116="Withdrawn by hospital"),IF(X116="Accepted",0,R116),IF(ISNUMBER(Z116),R116-Z116,""))))</f>
        <v/>
      </c>
      <c r="AB116" s="23"/>
      <c r="AC116" s="25"/>
      <c r="AD116" s="23"/>
      <c r="AE116" s="23"/>
      <c r="AF116" s="24"/>
      <c r="AG116" s="23"/>
      <c r="AH116" s="24"/>
      <c r="AI116" s="29" t="str">
        <f aca="false">IF(X116="Not accepted","Maintained",IF(X116="Partially accepted","Partially maintained",IF(X116="Accepted","Reversed",IF(X116="Withdrawn by hospital","Withdrawn by hospital",""))))</f>
        <v/>
      </c>
      <c r="AJ116" s="28" t="str">
        <f aca="false">IF(AI116="","",W116)</f>
        <v/>
      </c>
      <c r="AK116" s="29" t="str">
        <f aca="false">IF(AND(ISNUMBER(T116),ISNUMBER(W116)),W116-T116,"")</f>
        <v/>
      </c>
      <c r="AL116" s="29" t="str">
        <f aca="false">IF(A116="","",SUMIF(Actions!$C$5:$C$1004,A116,Actions!$F$5:$F$1004))</f>
        <v/>
      </c>
      <c r="AM116" s="25"/>
    </row>
    <row r="117" customFormat="false" ht="15" hidden="false" customHeight="false" outlineLevel="0" collapsed="false">
      <c r="A117" s="23"/>
      <c r="B117" s="23"/>
      <c r="C117" s="23"/>
      <c r="D117" s="23"/>
      <c r="E117" s="23"/>
      <c r="F117" s="23"/>
      <c r="G117" s="23"/>
      <c r="H117" s="23"/>
      <c r="I117" s="23"/>
      <c r="J117" s="23"/>
      <c r="K117" s="24"/>
      <c r="L117" s="23"/>
      <c r="M117" s="25"/>
      <c r="N117" s="25"/>
      <c r="O117" s="23"/>
      <c r="P117" s="26"/>
      <c r="Q117" s="26"/>
      <c r="R117" s="27" t="str">
        <f aca="false">IF(AND(ISNUMBER(P117),ISNUMBER(Q117)),P117-Q117,"")</f>
        <v/>
      </c>
      <c r="S117" s="24"/>
      <c r="T117" s="28" t="str">
        <f aca="false">IF(S117&lt;&gt;"",S117,IF(B117="","",IFERROR(IF(INDEX(Batches!$G$5:$G$64,MATCH(B117,Batches!$A$5:$A$64,0))="","",INDEX(Batches!$G$5:$G$64,MATCH(B117,Batches!$A$5:$A$64,0))),"")))</f>
        <v/>
      </c>
      <c r="U117" s="23"/>
      <c r="V117" s="24"/>
      <c r="W117" s="28" t="str">
        <f aca="false">IF(OR(X117="",X117="Pending"),"",IF(V117&lt;&gt;"",V117,IFERROR(IF(INDEX(Batches!$H$5:$H$64,MATCH(B117,Batches!$A$5:$A$64,0))="","",INDEX(Batches!$H$5:$H$64,MATCH(B117,Batches!$A$5:$A$64,0))),"")))</f>
        <v/>
      </c>
      <c r="X117" s="23"/>
      <c r="Y117" s="23"/>
      <c r="Z117" s="26"/>
      <c r="AA117" s="27" t="str">
        <f aca="false">IF(R117="","",IF(X117="Not accepted",R117,IF(OR(X117="Accepted",X117="Withdrawn by hospital"),IF(X117="Accepted",0,R117),IF(ISNUMBER(Z117),R117-Z117,""))))</f>
        <v/>
      </c>
      <c r="AB117" s="23"/>
      <c r="AC117" s="25"/>
      <c r="AD117" s="23"/>
      <c r="AE117" s="23"/>
      <c r="AF117" s="24"/>
      <c r="AG117" s="23"/>
      <c r="AH117" s="24"/>
      <c r="AI117" s="29" t="str">
        <f aca="false">IF(X117="Not accepted","Maintained",IF(X117="Partially accepted","Partially maintained",IF(X117="Accepted","Reversed",IF(X117="Withdrawn by hospital","Withdrawn by hospital",""))))</f>
        <v/>
      </c>
      <c r="AJ117" s="28" t="str">
        <f aca="false">IF(AI117="","",W117)</f>
        <v/>
      </c>
      <c r="AK117" s="29" t="str">
        <f aca="false">IF(AND(ISNUMBER(T117),ISNUMBER(W117)),W117-T117,"")</f>
        <v/>
      </c>
      <c r="AL117" s="29" t="str">
        <f aca="false">IF(A117="","",SUMIF(Actions!$C$5:$C$1004,A117,Actions!$F$5:$F$1004))</f>
        <v/>
      </c>
      <c r="AM117" s="25"/>
    </row>
    <row r="118" customFormat="false" ht="15" hidden="false" customHeight="false" outlineLevel="0" collapsed="false">
      <c r="A118" s="23"/>
      <c r="B118" s="23"/>
      <c r="C118" s="23"/>
      <c r="D118" s="23"/>
      <c r="E118" s="23"/>
      <c r="F118" s="23"/>
      <c r="G118" s="23"/>
      <c r="H118" s="23"/>
      <c r="I118" s="23"/>
      <c r="J118" s="23"/>
      <c r="K118" s="24"/>
      <c r="L118" s="23"/>
      <c r="M118" s="25"/>
      <c r="N118" s="25"/>
      <c r="O118" s="23"/>
      <c r="P118" s="26"/>
      <c r="Q118" s="26"/>
      <c r="R118" s="27" t="str">
        <f aca="false">IF(AND(ISNUMBER(P118),ISNUMBER(Q118)),P118-Q118,"")</f>
        <v/>
      </c>
      <c r="S118" s="24"/>
      <c r="T118" s="28" t="str">
        <f aca="false">IF(S118&lt;&gt;"",S118,IF(B118="","",IFERROR(IF(INDEX(Batches!$G$5:$G$64,MATCH(B118,Batches!$A$5:$A$64,0))="","",INDEX(Batches!$G$5:$G$64,MATCH(B118,Batches!$A$5:$A$64,0))),"")))</f>
        <v/>
      </c>
      <c r="U118" s="23"/>
      <c r="V118" s="24"/>
      <c r="W118" s="28" t="str">
        <f aca="false">IF(OR(X118="",X118="Pending"),"",IF(V118&lt;&gt;"",V118,IFERROR(IF(INDEX(Batches!$H$5:$H$64,MATCH(B118,Batches!$A$5:$A$64,0))="","",INDEX(Batches!$H$5:$H$64,MATCH(B118,Batches!$A$5:$A$64,0))),"")))</f>
        <v/>
      </c>
      <c r="X118" s="23"/>
      <c r="Y118" s="23"/>
      <c r="Z118" s="26"/>
      <c r="AA118" s="27" t="str">
        <f aca="false">IF(R118="","",IF(X118="Not accepted",R118,IF(OR(X118="Accepted",X118="Withdrawn by hospital"),IF(X118="Accepted",0,R118),IF(ISNUMBER(Z118),R118-Z118,""))))</f>
        <v/>
      </c>
      <c r="AB118" s="23"/>
      <c r="AC118" s="25"/>
      <c r="AD118" s="23"/>
      <c r="AE118" s="23"/>
      <c r="AF118" s="24"/>
      <c r="AG118" s="23"/>
      <c r="AH118" s="24"/>
      <c r="AI118" s="29" t="str">
        <f aca="false">IF(X118="Not accepted","Maintained",IF(X118="Partially accepted","Partially maintained",IF(X118="Accepted","Reversed",IF(X118="Withdrawn by hospital","Withdrawn by hospital",""))))</f>
        <v/>
      </c>
      <c r="AJ118" s="28" t="str">
        <f aca="false">IF(AI118="","",W118)</f>
        <v/>
      </c>
      <c r="AK118" s="29" t="str">
        <f aca="false">IF(AND(ISNUMBER(T118),ISNUMBER(W118)),W118-T118,"")</f>
        <v/>
      </c>
      <c r="AL118" s="29" t="str">
        <f aca="false">IF(A118="","",SUMIF(Actions!$C$5:$C$1004,A118,Actions!$F$5:$F$1004))</f>
        <v/>
      </c>
      <c r="AM118" s="25"/>
    </row>
    <row r="119" customFormat="false" ht="15" hidden="false" customHeight="false" outlineLevel="0" collapsed="false">
      <c r="A119" s="23"/>
      <c r="B119" s="23"/>
      <c r="C119" s="23"/>
      <c r="D119" s="23"/>
      <c r="E119" s="23"/>
      <c r="F119" s="23"/>
      <c r="G119" s="23"/>
      <c r="H119" s="23"/>
      <c r="I119" s="23"/>
      <c r="J119" s="23"/>
      <c r="K119" s="24"/>
      <c r="L119" s="23"/>
      <c r="M119" s="25"/>
      <c r="N119" s="25"/>
      <c r="O119" s="23"/>
      <c r="P119" s="26"/>
      <c r="Q119" s="26"/>
      <c r="R119" s="27" t="str">
        <f aca="false">IF(AND(ISNUMBER(P119),ISNUMBER(Q119)),P119-Q119,"")</f>
        <v/>
      </c>
      <c r="S119" s="24"/>
      <c r="T119" s="28" t="str">
        <f aca="false">IF(S119&lt;&gt;"",S119,IF(B119="","",IFERROR(IF(INDEX(Batches!$G$5:$G$64,MATCH(B119,Batches!$A$5:$A$64,0))="","",INDEX(Batches!$G$5:$G$64,MATCH(B119,Batches!$A$5:$A$64,0))),"")))</f>
        <v/>
      </c>
      <c r="U119" s="23"/>
      <c r="V119" s="24"/>
      <c r="W119" s="28" t="str">
        <f aca="false">IF(OR(X119="",X119="Pending"),"",IF(V119&lt;&gt;"",V119,IFERROR(IF(INDEX(Batches!$H$5:$H$64,MATCH(B119,Batches!$A$5:$A$64,0))="","",INDEX(Batches!$H$5:$H$64,MATCH(B119,Batches!$A$5:$A$64,0))),"")))</f>
        <v/>
      </c>
      <c r="X119" s="23"/>
      <c r="Y119" s="23"/>
      <c r="Z119" s="26"/>
      <c r="AA119" s="27" t="str">
        <f aca="false">IF(R119="","",IF(X119="Not accepted",R119,IF(OR(X119="Accepted",X119="Withdrawn by hospital"),IF(X119="Accepted",0,R119),IF(ISNUMBER(Z119),R119-Z119,""))))</f>
        <v/>
      </c>
      <c r="AB119" s="23"/>
      <c r="AC119" s="25"/>
      <c r="AD119" s="23"/>
      <c r="AE119" s="23"/>
      <c r="AF119" s="24"/>
      <c r="AG119" s="23"/>
      <c r="AH119" s="24"/>
      <c r="AI119" s="29" t="str">
        <f aca="false">IF(X119="Not accepted","Maintained",IF(X119="Partially accepted","Partially maintained",IF(X119="Accepted","Reversed",IF(X119="Withdrawn by hospital","Withdrawn by hospital",""))))</f>
        <v/>
      </c>
      <c r="AJ119" s="28" t="str">
        <f aca="false">IF(AI119="","",W119)</f>
        <v/>
      </c>
      <c r="AK119" s="29" t="str">
        <f aca="false">IF(AND(ISNUMBER(T119),ISNUMBER(W119)),W119-T119,"")</f>
        <v/>
      </c>
      <c r="AL119" s="29" t="str">
        <f aca="false">IF(A119="","",SUMIF(Actions!$C$5:$C$1004,A119,Actions!$F$5:$F$1004))</f>
        <v/>
      </c>
      <c r="AM119" s="25"/>
    </row>
    <row r="120" customFormat="false" ht="15" hidden="false" customHeight="false" outlineLevel="0" collapsed="false">
      <c r="A120" s="23"/>
      <c r="B120" s="23"/>
      <c r="C120" s="23"/>
      <c r="D120" s="23"/>
      <c r="E120" s="23"/>
      <c r="F120" s="23"/>
      <c r="G120" s="23"/>
      <c r="H120" s="23"/>
      <c r="I120" s="23"/>
      <c r="J120" s="23"/>
      <c r="K120" s="24"/>
      <c r="L120" s="23"/>
      <c r="M120" s="25"/>
      <c r="N120" s="25"/>
      <c r="O120" s="23"/>
      <c r="P120" s="26"/>
      <c r="Q120" s="26"/>
      <c r="R120" s="27" t="str">
        <f aca="false">IF(AND(ISNUMBER(P120),ISNUMBER(Q120)),P120-Q120,"")</f>
        <v/>
      </c>
      <c r="S120" s="24"/>
      <c r="T120" s="28" t="str">
        <f aca="false">IF(S120&lt;&gt;"",S120,IF(B120="","",IFERROR(IF(INDEX(Batches!$G$5:$G$64,MATCH(B120,Batches!$A$5:$A$64,0))="","",INDEX(Batches!$G$5:$G$64,MATCH(B120,Batches!$A$5:$A$64,0))),"")))</f>
        <v/>
      </c>
      <c r="U120" s="23"/>
      <c r="V120" s="24"/>
      <c r="W120" s="28" t="str">
        <f aca="false">IF(OR(X120="",X120="Pending"),"",IF(V120&lt;&gt;"",V120,IFERROR(IF(INDEX(Batches!$H$5:$H$64,MATCH(B120,Batches!$A$5:$A$64,0))="","",INDEX(Batches!$H$5:$H$64,MATCH(B120,Batches!$A$5:$A$64,0))),"")))</f>
        <v/>
      </c>
      <c r="X120" s="23"/>
      <c r="Y120" s="23"/>
      <c r="Z120" s="26"/>
      <c r="AA120" s="27" t="str">
        <f aca="false">IF(R120="","",IF(X120="Not accepted",R120,IF(OR(X120="Accepted",X120="Withdrawn by hospital"),IF(X120="Accepted",0,R120),IF(ISNUMBER(Z120),R120-Z120,""))))</f>
        <v/>
      </c>
      <c r="AB120" s="23"/>
      <c r="AC120" s="25"/>
      <c r="AD120" s="23"/>
      <c r="AE120" s="23"/>
      <c r="AF120" s="24"/>
      <c r="AG120" s="23"/>
      <c r="AH120" s="24"/>
      <c r="AI120" s="29" t="str">
        <f aca="false">IF(X120="Not accepted","Maintained",IF(X120="Partially accepted","Partially maintained",IF(X120="Accepted","Reversed",IF(X120="Withdrawn by hospital","Withdrawn by hospital",""))))</f>
        <v/>
      </c>
      <c r="AJ120" s="28" t="str">
        <f aca="false">IF(AI120="","",W120)</f>
        <v/>
      </c>
      <c r="AK120" s="29" t="str">
        <f aca="false">IF(AND(ISNUMBER(T120),ISNUMBER(W120)),W120-T120,"")</f>
        <v/>
      </c>
      <c r="AL120" s="29" t="str">
        <f aca="false">IF(A120="","",SUMIF(Actions!$C$5:$C$1004,A120,Actions!$F$5:$F$1004))</f>
        <v/>
      </c>
      <c r="AM120" s="25"/>
    </row>
    <row r="121" customFormat="false" ht="15" hidden="false" customHeight="false" outlineLevel="0" collapsed="false">
      <c r="A121" s="23"/>
      <c r="B121" s="23"/>
      <c r="C121" s="23"/>
      <c r="D121" s="23"/>
      <c r="E121" s="23"/>
      <c r="F121" s="23"/>
      <c r="G121" s="23"/>
      <c r="H121" s="23"/>
      <c r="I121" s="23"/>
      <c r="J121" s="23"/>
      <c r="K121" s="24"/>
      <c r="L121" s="23"/>
      <c r="M121" s="25"/>
      <c r="N121" s="25"/>
      <c r="O121" s="23"/>
      <c r="P121" s="26"/>
      <c r="Q121" s="26"/>
      <c r="R121" s="27" t="str">
        <f aca="false">IF(AND(ISNUMBER(P121),ISNUMBER(Q121)),P121-Q121,"")</f>
        <v/>
      </c>
      <c r="S121" s="24"/>
      <c r="T121" s="28" t="str">
        <f aca="false">IF(S121&lt;&gt;"",S121,IF(B121="","",IFERROR(IF(INDEX(Batches!$G$5:$G$64,MATCH(B121,Batches!$A$5:$A$64,0))="","",INDEX(Batches!$G$5:$G$64,MATCH(B121,Batches!$A$5:$A$64,0))),"")))</f>
        <v/>
      </c>
      <c r="U121" s="23"/>
      <c r="V121" s="24"/>
      <c r="W121" s="28" t="str">
        <f aca="false">IF(OR(X121="",X121="Pending"),"",IF(V121&lt;&gt;"",V121,IFERROR(IF(INDEX(Batches!$H$5:$H$64,MATCH(B121,Batches!$A$5:$A$64,0))="","",INDEX(Batches!$H$5:$H$64,MATCH(B121,Batches!$A$5:$A$64,0))),"")))</f>
        <v/>
      </c>
      <c r="X121" s="23"/>
      <c r="Y121" s="23"/>
      <c r="Z121" s="26"/>
      <c r="AA121" s="27" t="str">
        <f aca="false">IF(R121="","",IF(X121="Not accepted",R121,IF(OR(X121="Accepted",X121="Withdrawn by hospital"),IF(X121="Accepted",0,R121),IF(ISNUMBER(Z121),R121-Z121,""))))</f>
        <v/>
      </c>
      <c r="AB121" s="23"/>
      <c r="AC121" s="25"/>
      <c r="AD121" s="23"/>
      <c r="AE121" s="23"/>
      <c r="AF121" s="24"/>
      <c r="AG121" s="23"/>
      <c r="AH121" s="24"/>
      <c r="AI121" s="29" t="str">
        <f aca="false">IF(X121="Not accepted","Maintained",IF(X121="Partially accepted","Partially maintained",IF(X121="Accepted","Reversed",IF(X121="Withdrawn by hospital","Withdrawn by hospital",""))))</f>
        <v/>
      </c>
      <c r="AJ121" s="28" t="str">
        <f aca="false">IF(AI121="","",W121)</f>
        <v/>
      </c>
      <c r="AK121" s="29" t="str">
        <f aca="false">IF(AND(ISNUMBER(T121),ISNUMBER(W121)),W121-T121,"")</f>
        <v/>
      </c>
      <c r="AL121" s="29" t="str">
        <f aca="false">IF(A121="","",SUMIF(Actions!$C$5:$C$1004,A121,Actions!$F$5:$F$1004))</f>
        <v/>
      </c>
      <c r="AM121" s="25"/>
    </row>
    <row r="122" customFormat="false" ht="15" hidden="false" customHeight="false" outlineLevel="0" collapsed="false">
      <c r="A122" s="23"/>
      <c r="B122" s="23"/>
      <c r="C122" s="23"/>
      <c r="D122" s="23"/>
      <c r="E122" s="23"/>
      <c r="F122" s="23"/>
      <c r="G122" s="23"/>
      <c r="H122" s="23"/>
      <c r="I122" s="23"/>
      <c r="J122" s="23"/>
      <c r="K122" s="24"/>
      <c r="L122" s="23"/>
      <c r="M122" s="25"/>
      <c r="N122" s="25"/>
      <c r="O122" s="23"/>
      <c r="P122" s="26"/>
      <c r="Q122" s="26"/>
      <c r="R122" s="27" t="str">
        <f aca="false">IF(AND(ISNUMBER(P122),ISNUMBER(Q122)),P122-Q122,"")</f>
        <v/>
      </c>
      <c r="S122" s="24"/>
      <c r="T122" s="28" t="str">
        <f aca="false">IF(S122&lt;&gt;"",S122,IF(B122="","",IFERROR(IF(INDEX(Batches!$G$5:$G$64,MATCH(B122,Batches!$A$5:$A$64,0))="","",INDEX(Batches!$G$5:$G$64,MATCH(B122,Batches!$A$5:$A$64,0))),"")))</f>
        <v/>
      </c>
      <c r="U122" s="23"/>
      <c r="V122" s="24"/>
      <c r="W122" s="28" t="str">
        <f aca="false">IF(OR(X122="",X122="Pending"),"",IF(V122&lt;&gt;"",V122,IFERROR(IF(INDEX(Batches!$H$5:$H$64,MATCH(B122,Batches!$A$5:$A$64,0))="","",INDEX(Batches!$H$5:$H$64,MATCH(B122,Batches!$A$5:$A$64,0))),"")))</f>
        <v/>
      </c>
      <c r="X122" s="23"/>
      <c r="Y122" s="23"/>
      <c r="Z122" s="26"/>
      <c r="AA122" s="27" t="str">
        <f aca="false">IF(R122="","",IF(X122="Not accepted",R122,IF(OR(X122="Accepted",X122="Withdrawn by hospital"),IF(X122="Accepted",0,R122),IF(ISNUMBER(Z122),R122-Z122,""))))</f>
        <v/>
      </c>
      <c r="AB122" s="23"/>
      <c r="AC122" s="25"/>
      <c r="AD122" s="23"/>
      <c r="AE122" s="23"/>
      <c r="AF122" s="24"/>
      <c r="AG122" s="23"/>
      <c r="AH122" s="24"/>
      <c r="AI122" s="29" t="str">
        <f aca="false">IF(X122="Not accepted","Maintained",IF(X122="Partially accepted","Partially maintained",IF(X122="Accepted","Reversed",IF(X122="Withdrawn by hospital","Withdrawn by hospital",""))))</f>
        <v/>
      </c>
      <c r="AJ122" s="28" t="str">
        <f aca="false">IF(AI122="","",W122)</f>
        <v/>
      </c>
      <c r="AK122" s="29" t="str">
        <f aca="false">IF(AND(ISNUMBER(T122),ISNUMBER(W122)),W122-T122,"")</f>
        <v/>
      </c>
      <c r="AL122" s="29" t="str">
        <f aca="false">IF(A122="","",SUMIF(Actions!$C$5:$C$1004,A122,Actions!$F$5:$F$1004))</f>
        <v/>
      </c>
      <c r="AM122" s="25"/>
    </row>
    <row r="123" customFormat="false" ht="15" hidden="false" customHeight="false" outlineLevel="0" collapsed="false">
      <c r="A123" s="23"/>
      <c r="B123" s="23"/>
      <c r="C123" s="23"/>
      <c r="D123" s="23"/>
      <c r="E123" s="23"/>
      <c r="F123" s="23"/>
      <c r="G123" s="23"/>
      <c r="H123" s="23"/>
      <c r="I123" s="23"/>
      <c r="J123" s="23"/>
      <c r="K123" s="24"/>
      <c r="L123" s="23"/>
      <c r="M123" s="25"/>
      <c r="N123" s="25"/>
      <c r="O123" s="23"/>
      <c r="P123" s="26"/>
      <c r="Q123" s="26"/>
      <c r="R123" s="27" t="str">
        <f aca="false">IF(AND(ISNUMBER(P123),ISNUMBER(Q123)),P123-Q123,"")</f>
        <v/>
      </c>
      <c r="S123" s="24"/>
      <c r="T123" s="28" t="str">
        <f aca="false">IF(S123&lt;&gt;"",S123,IF(B123="","",IFERROR(IF(INDEX(Batches!$G$5:$G$64,MATCH(B123,Batches!$A$5:$A$64,0))="","",INDEX(Batches!$G$5:$G$64,MATCH(B123,Batches!$A$5:$A$64,0))),"")))</f>
        <v/>
      </c>
      <c r="U123" s="23"/>
      <c r="V123" s="24"/>
      <c r="W123" s="28" t="str">
        <f aca="false">IF(OR(X123="",X123="Pending"),"",IF(V123&lt;&gt;"",V123,IFERROR(IF(INDEX(Batches!$H$5:$H$64,MATCH(B123,Batches!$A$5:$A$64,0))="","",INDEX(Batches!$H$5:$H$64,MATCH(B123,Batches!$A$5:$A$64,0))),"")))</f>
        <v/>
      </c>
      <c r="X123" s="23"/>
      <c r="Y123" s="23"/>
      <c r="Z123" s="26"/>
      <c r="AA123" s="27" t="str">
        <f aca="false">IF(R123="","",IF(X123="Not accepted",R123,IF(OR(X123="Accepted",X123="Withdrawn by hospital"),IF(X123="Accepted",0,R123),IF(ISNUMBER(Z123),R123-Z123,""))))</f>
        <v/>
      </c>
      <c r="AB123" s="23"/>
      <c r="AC123" s="25"/>
      <c r="AD123" s="23"/>
      <c r="AE123" s="23"/>
      <c r="AF123" s="24"/>
      <c r="AG123" s="23"/>
      <c r="AH123" s="24"/>
      <c r="AI123" s="29" t="str">
        <f aca="false">IF(X123="Not accepted","Maintained",IF(X123="Partially accepted","Partially maintained",IF(X123="Accepted","Reversed",IF(X123="Withdrawn by hospital","Withdrawn by hospital",""))))</f>
        <v/>
      </c>
      <c r="AJ123" s="28" t="str">
        <f aca="false">IF(AI123="","",W123)</f>
        <v/>
      </c>
      <c r="AK123" s="29" t="str">
        <f aca="false">IF(AND(ISNUMBER(T123),ISNUMBER(W123)),W123-T123,"")</f>
        <v/>
      </c>
      <c r="AL123" s="29" t="str">
        <f aca="false">IF(A123="","",SUMIF(Actions!$C$5:$C$1004,A123,Actions!$F$5:$F$1004))</f>
        <v/>
      </c>
      <c r="AM123" s="25"/>
    </row>
    <row r="124" customFormat="false" ht="15" hidden="false" customHeight="false" outlineLevel="0" collapsed="false">
      <c r="A124" s="23"/>
      <c r="B124" s="23"/>
      <c r="C124" s="23"/>
      <c r="D124" s="23"/>
      <c r="E124" s="23"/>
      <c r="F124" s="23"/>
      <c r="G124" s="23"/>
      <c r="H124" s="23"/>
      <c r="I124" s="23"/>
      <c r="J124" s="23"/>
      <c r="K124" s="24"/>
      <c r="L124" s="23"/>
      <c r="M124" s="25"/>
      <c r="N124" s="25"/>
      <c r="O124" s="23"/>
      <c r="P124" s="26"/>
      <c r="Q124" s="26"/>
      <c r="R124" s="27" t="str">
        <f aca="false">IF(AND(ISNUMBER(P124),ISNUMBER(Q124)),P124-Q124,"")</f>
        <v/>
      </c>
      <c r="S124" s="24"/>
      <c r="T124" s="28" t="str">
        <f aca="false">IF(S124&lt;&gt;"",S124,IF(B124="","",IFERROR(IF(INDEX(Batches!$G$5:$G$64,MATCH(B124,Batches!$A$5:$A$64,0))="","",INDEX(Batches!$G$5:$G$64,MATCH(B124,Batches!$A$5:$A$64,0))),"")))</f>
        <v/>
      </c>
      <c r="U124" s="23"/>
      <c r="V124" s="24"/>
      <c r="W124" s="28" t="str">
        <f aca="false">IF(OR(X124="",X124="Pending"),"",IF(V124&lt;&gt;"",V124,IFERROR(IF(INDEX(Batches!$H$5:$H$64,MATCH(B124,Batches!$A$5:$A$64,0))="","",INDEX(Batches!$H$5:$H$64,MATCH(B124,Batches!$A$5:$A$64,0))),"")))</f>
        <v/>
      </c>
      <c r="X124" s="23"/>
      <c r="Y124" s="23"/>
      <c r="Z124" s="26"/>
      <c r="AA124" s="27" t="str">
        <f aca="false">IF(R124="","",IF(X124="Not accepted",R124,IF(OR(X124="Accepted",X124="Withdrawn by hospital"),IF(X124="Accepted",0,R124),IF(ISNUMBER(Z124),R124-Z124,""))))</f>
        <v/>
      </c>
      <c r="AB124" s="23"/>
      <c r="AC124" s="25"/>
      <c r="AD124" s="23"/>
      <c r="AE124" s="23"/>
      <c r="AF124" s="24"/>
      <c r="AG124" s="23"/>
      <c r="AH124" s="24"/>
      <c r="AI124" s="29" t="str">
        <f aca="false">IF(X124="Not accepted","Maintained",IF(X124="Partially accepted","Partially maintained",IF(X124="Accepted","Reversed",IF(X124="Withdrawn by hospital","Withdrawn by hospital",""))))</f>
        <v/>
      </c>
      <c r="AJ124" s="28" t="str">
        <f aca="false">IF(AI124="","",W124)</f>
        <v/>
      </c>
      <c r="AK124" s="29" t="str">
        <f aca="false">IF(AND(ISNUMBER(T124),ISNUMBER(W124)),W124-T124,"")</f>
        <v/>
      </c>
      <c r="AL124" s="29" t="str">
        <f aca="false">IF(A124="","",SUMIF(Actions!$C$5:$C$1004,A124,Actions!$F$5:$F$1004))</f>
        <v/>
      </c>
      <c r="AM124" s="25"/>
    </row>
    <row r="125" customFormat="false" ht="15" hidden="false" customHeight="false" outlineLevel="0" collapsed="false">
      <c r="A125" s="23"/>
      <c r="B125" s="23"/>
      <c r="C125" s="23"/>
      <c r="D125" s="23"/>
      <c r="E125" s="23"/>
      <c r="F125" s="23"/>
      <c r="G125" s="23"/>
      <c r="H125" s="23"/>
      <c r="I125" s="23"/>
      <c r="J125" s="23"/>
      <c r="K125" s="24"/>
      <c r="L125" s="23"/>
      <c r="M125" s="25"/>
      <c r="N125" s="25"/>
      <c r="O125" s="23"/>
      <c r="P125" s="26"/>
      <c r="Q125" s="26"/>
      <c r="R125" s="27" t="str">
        <f aca="false">IF(AND(ISNUMBER(P125),ISNUMBER(Q125)),P125-Q125,"")</f>
        <v/>
      </c>
      <c r="S125" s="24"/>
      <c r="T125" s="28" t="str">
        <f aca="false">IF(S125&lt;&gt;"",S125,IF(B125="","",IFERROR(IF(INDEX(Batches!$G$5:$G$64,MATCH(B125,Batches!$A$5:$A$64,0))="","",INDEX(Batches!$G$5:$G$64,MATCH(B125,Batches!$A$5:$A$64,0))),"")))</f>
        <v/>
      </c>
      <c r="U125" s="23"/>
      <c r="V125" s="24"/>
      <c r="W125" s="28" t="str">
        <f aca="false">IF(OR(X125="",X125="Pending"),"",IF(V125&lt;&gt;"",V125,IFERROR(IF(INDEX(Batches!$H$5:$H$64,MATCH(B125,Batches!$A$5:$A$64,0))="","",INDEX(Batches!$H$5:$H$64,MATCH(B125,Batches!$A$5:$A$64,0))),"")))</f>
        <v/>
      </c>
      <c r="X125" s="23"/>
      <c r="Y125" s="23"/>
      <c r="Z125" s="26"/>
      <c r="AA125" s="27" t="str">
        <f aca="false">IF(R125="","",IF(X125="Not accepted",R125,IF(OR(X125="Accepted",X125="Withdrawn by hospital"),IF(X125="Accepted",0,R125),IF(ISNUMBER(Z125),R125-Z125,""))))</f>
        <v/>
      </c>
      <c r="AB125" s="23"/>
      <c r="AC125" s="25"/>
      <c r="AD125" s="23"/>
      <c r="AE125" s="23"/>
      <c r="AF125" s="24"/>
      <c r="AG125" s="23"/>
      <c r="AH125" s="24"/>
      <c r="AI125" s="29" t="str">
        <f aca="false">IF(X125="Not accepted","Maintained",IF(X125="Partially accepted","Partially maintained",IF(X125="Accepted","Reversed",IF(X125="Withdrawn by hospital","Withdrawn by hospital",""))))</f>
        <v/>
      </c>
      <c r="AJ125" s="28" t="str">
        <f aca="false">IF(AI125="","",W125)</f>
        <v/>
      </c>
      <c r="AK125" s="29" t="str">
        <f aca="false">IF(AND(ISNUMBER(T125),ISNUMBER(W125)),W125-T125,"")</f>
        <v/>
      </c>
      <c r="AL125" s="29" t="str">
        <f aca="false">IF(A125="","",SUMIF(Actions!$C$5:$C$1004,A125,Actions!$F$5:$F$1004))</f>
        <v/>
      </c>
      <c r="AM125" s="25"/>
    </row>
    <row r="126" customFormat="false" ht="15" hidden="false" customHeight="false" outlineLevel="0" collapsed="false">
      <c r="A126" s="23"/>
      <c r="B126" s="23"/>
      <c r="C126" s="23"/>
      <c r="D126" s="23"/>
      <c r="E126" s="23"/>
      <c r="F126" s="23"/>
      <c r="G126" s="23"/>
      <c r="H126" s="23"/>
      <c r="I126" s="23"/>
      <c r="J126" s="23"/>
      <c r="K126" s="24"/>
      <c r="L126" s="23"/>
      <c r="M126" s="25"/>
      <c r="N126" s="25"/>
      <c r="O126" s="23"/>
      <c r="P126" s="26"/>
      <c r="Q126" s="26"/>
      <c r="R126" s="27" t="str">
        <f aca="false">IF(AND(ISNUMBER(P126),ISNUMBER(Q126)),P126-Q126,"")</f>
        <v/>
      </c>
      <c r="S126" s="24"/>
      <c r="T126" s="28" t="str">
        <f aca="false">IF(S126&lt;&gt;"",S126,IF(B126="","",IFERROR(IF(INDEX(Batches!$G$5:$G$64,MATCH(B126,Batches!$A$5:$A$64,0))="","",INDEX(Batches!$G$5:$G$64,MATCH(B126,Batches!$A$5:$A$64,0))),"")))</f>
        <v/>
      </c>
      <c r="U126" s="23"/>
      <c r="V126" s="24"/>
      <c r="W126" s="28" t="str">
        <f aca="false">IF(OR(X126="",X126="Pending"),"",IF(V126&lt;&gt;"",V126,IFERROR(IF(INDEX(Batches!$H$5:$H$64,MATCH(B126,Batches!$A$5:$A$64,0))="","",INDEX(Batches!$H$5:$H$64,MATCH(B126,Batches!$A$5:$A$64,0))),"")))</f>
        <v/>
      </c>
      <c r="X126" s="23"/>
      <c r="Y126" s="23"/>
      <c r="Z126" s="26"/>
      <c r="AA126" s="27" t="str">
        <f aca="false">IF(R126="","",IF(X126="Not accepted",R126,IF(OR(X126="Accepted",X126="Withdrawn by hospital"),IF(X126="Accepted",0,R126),IF(ISNUMBER(Z126),R126-Z126,""))))</f>
        <v/>
      </c>
      <c r="AB126" s="23"/>
      <c r="AC126" s="25"/>
      <c r="AD126" s="23"/>
      <c r="AE126" s="23"/>
      <c r="AF126" s="24"/>
      <c r="AG126" s="23"/>
      <c r="AH126" s="24"/>
      <c r="AI126" s="29" t="str">
        <f aca="false">IF(X126="Not accepted","Maintained",IF(X126="Partially accepted","Partially maintained",IF(X126="Accepted","Reversed",IF(X126="Withdrawn by hospital","Withdrawn by hospital",""))))</f>
        <v/>
      </c>
      <c r="AJ126" s="28" t="str">
        <f aca="false">IF(AI126="","",W126)</f>
        <v/>
      </c>
      <c r="AK126" s="29" t="str">
        <f aca="false">IF(AND(ISNUMBER(T126),ISNUMBER(W126)),W126-T126,"")</f>
        <v/>
      </c>
      <c r="AL126" s="29" t="str">
        <f aca="false">IF(A126="","",SUMIF(Actions!$C$5:$C$1004,A126,Actions!$F$5:$F$1004))</f>
        <v/>
      </c>
      <c r="AM126" s="25"/>
    </row>
    <row r="127" customFormat="false" ht="15" hidden="false" customHeight="false" outlineLevel="0" collapsed="false">
      <c r="A127" s="23"/>
      <c r="B127" s="23"/>
      <c r="C127" s="23"/>
      <c r="D127" s="23"/>
      <c r="E127" s="23"/>
      <c r="F127" s="23"/>
      <c r="G127" s="23"/>
      <c r="H127" s="23"/>
      <c r="I127" s="23"/>
      <c r="J127" s="23"/>
      <c r="K127" s="24"/>
      <c r="L127" s="23"/>
      <c r="M127" s="25"/>
      <c r="N127" s="25"/>
      <c r="O127" s="23"/>
      <c r="P127" s="26"/>
      <c r="Q127" s="26"/>
      <c r="R127" s="27" t="str">
        <f aca="false">IF(AND(ISNUMBER(P127),ISNUMBER(Q127)),P127-Q127,"")</f>
        <v/>
      </c>
      <c r="S127" s="24"/>
      <c r="T127" s="28" t="str">
        <f aca="false">IF(S127&lt;&gt;"",S127,IF(B127="","",IFERROR(IF(INDEX(Batches!$G$5:$G$64,MATCH(B127,Batches!$A$5:$A$64,0))="","",INDEX(Batches!$G$5:$G$64,MATCH(B127,Batches!$A$5:$A$64,0))),"")))</f>
        <v/>
      </c>
      <c r="U127" s="23"/>
      <c r="V127" s="24"/>
      <c r="W127" s="28" t="str">
        <f aca="false">IF(OR(X127="",X127="Pending"),"",IF(V127&lt;&gt;"",V127,IFERROR(IF(INDEX(Batches!$H$5:$H$64,MATCH(B127,Batches!$A$5:$A$64,0))="","",INDEX(Batches!$H$5:$H$64,MATCH(B127,Batches!$A$5:$A$64,0))),"")))</f>
        <v/>
      </c>
      <c r="X127" s="23"/>
      <c r="Y127" s="23"/>
      <c r="Z127" s="26"/>
      <c r="AA127" s="27" t="str">
        <f aca="false">IF(R127="","",IF(X127="Not accepted",R127,IF(OR(X127="Accepted",X127="Withdrawn by hospital"),IF(X127="Accepted",0,R127),IF(ISNUMBER(Z127),R127-Z127,""))))</f>
        <v/>
      </c>
      <c r="AB127" s="23"/>
      <c r="AC127" s="25"/>
      <c r="AD127" s="23"/>
      <c r="AE127" s="23"/>
      <c r="AF127" s="24"/>
      <c r="AG127" s="23"/>
      <c r="AH127" s="24"/>
      <c r="AI127" s="29" t="str">
        <f aca="false">IF(X127="Not accepted","Maintained",IF(X127="Partially accepted","Partially maintained",IF(X127="Accepted","Reversed",IF(X127="Withdrawn by hospital","Withdrawn by hospital",""))))</f>
        <v/>
      </c>
      <c r="AJ127" s="28" t="str">
        <f aca="false">IF(AI127="","",W127)</f>
        <v/>
      </c>
      <c r="AK127" s="29" t="str">
        <f aca="false">IF(AND(ISNUMBER(T127),ISNUMBER(W127)),W127-T127,"")</f>
        <v/>
      </c>
      <c r="AL127" s="29" t="str">
        <f aca="false">IF(A127="","",SUMIF(Actions!$C$5:$C$1004,A127,Actions!$F$5:$F$1004))</f>
        <v/>
      </c>
      <c r="AM127" s="25"/>
    </row>
    <row r="128" customFormat="false" ht="15" hidden="false" customHeight="false" outlineLevel="0" collapsed="false">
      <c r="A128" s="23"/>
      <c r="B128" s="23"/>
      <c r="C128" s="23"/>
      <c r="D128" s="23"/>
      <c r="E128" s="23"/>
      <c r="F128" s="23"/>
      <c r="G128" s="23"/>
      <c r="H128" s="23"/>
      <c r="I128" s="23"/>
      <c r="J128" s="23"/>
      <c r="K128" s="24"/>
      <c r="L128" s="23"/>
      <c r="M128" s="25"/>
      <c r="N128" s="25"/>
      <c r="O128" s="23"/>
      <c r="P128" s="26"/>
      <c r="Q128" s="26"/>
      <c r="R128" s="27" t="str">
        <f aca="false">IF(AND(ISNUMBER(P128),ISNUMBER(Q128)),P128-Q128,"")</f>
        <v/>
      </c>
      <c r="S128" s="24"/>
      <c r="T128" s="28" t="str">
        <f aca="false">IF(S128&lt;&gt;"",S128,IF(B128="","",IFERROR(IF(INDEX(Batches!$G$5:$G$64,MATCH(B128,Batches!$A$5:$A$64,0))="","",INDEX(Batches!$G$5:$G$64,MATCH(B128,Batches!$A$5:$A$64,0))),"")))</f>
        <v/>
      </c>
      <c r="U128" s="23"/>
      <c r="V128" s="24"/>
      <c r="W128" s="28" t="str">
        <f aca="false">IF(OR(X128="",X128="Pending"),"",IF(V128&lt;&gt;"",V128,IFERROR(IF(INDEX(Batches!$H$5:$H$64,MATCH(B128,Batches!$A$5:$A$64,0))="","",INDEX(Batches!$H$5:$H$64,MATCH(B128,Batches!$A$5:$A$64,0))),"")))</f>
        <v/>
      </c>
      <c r="X128" s="23"/>
      <c r="Y128" s="23"/>
      <c r="Z128" s="26"/>
      <c r="AA128" s="27" t="str">
        <f aca="false">IF(R128="","",IF(X128="Not accepted",R128,IF(OR(X128="Accepted",X128="Withdrawn by hospital"),IF(X128="Accepted",0,R128),IF(ISNUMBER(Z128),R128-Z128,""))))</f>
        <v/>
      </c>
      <c r="AB128" s="23"/>
      <c r="AC128" s="25"/>
      <c r="AD128" s="23"/>
      <c r="AE128" s="23"/>
      <c r="AF128" s="24"/>
      <c r="AG128" s="23"/>
      <c r="AH128" s="24"/>
      <c r="AI128" s="29" t="str">
        <f aca="false">IF(X128="Not accepted","Maintained",IF(X128="Partially accepted","Partially maintained",IF(X128="Accepted","Reversed",IF(X128="Withdrawn by hospital","Withdrawn by hospital",""))))</f>
        <v/>
      </c>
      <c r="AJ128" s="28" t="str">
        <f aca="false">IF(AI128="","",W128)</f>
        <v/>
      </c>
      <c r="AK128" s="29" t="str">
        <f aca="false">IF(AND(ISNUMBER(T128),ISNUMBER(W128)),W128-T128,"")</f>
        <v/>
      </c>
      <c r="AL128" s="29" t="str">
        <f aca="false">IF(A128="","",SUMIF(Actions!$C$5:$C$1004,A128,Actions!$F$5:$F$1004))</f>
        <v/>
      </c>
      <c r="AM128" s="25"/>
    </row>
    <row r="129" customFormat="false" ht="15" hidden="false" customHeight="false" outlineLevel="0" collapsed="false">
      <c r="A129" s="23"/>
      <c r="B129" s="23"/>
      <c r="C129" s="23"/>
      <c r="D129" s="23"/>
      <c r="E129" s="23"/>
      <c r="F129" s="23"/>
      <c r="G129" s="23"/>
      <c r="H129" s="23"/>
      <c r="I129" s="23"/>
      <c r="J129" s="23"/>
      <c r="K129" s="24"/>
      <c r="L129" s="23"/>
      <c r="M129" s="25"/>
      <c r="N129" s="25"/>
      <c r="O129" s="23"/>
      <c r="P129" s="26"/>
      <c r="Q129" s="26"/>
      <c r="R129" s="27" t="str">
        <f aca="false">IF(AND(ISNUMBER(P129),ISNUMBER(Q129)),P129-Q129,"")</f>
        <v/>
      </c>
      <c r="S129" s="24"/>
      <c r="T129" s="28" t="str">
        <f aca="false">IF(S129&lt;&gt;"",S129,IF(B129="","",IFERROR(IF(INDEX(Batches!$G$5:$G$64,MATCH(B129,Batches!$A$5:$A$64,0))="","",INDEX(Batches!$G$5:$G$64,MATCH(B129,Batches!$A$5:$A$64,0))),"")))</f>
        <v/>
      </c>
      <c r="U129" s="23"/>
      <c r="V129" s="24"/>
      <c r="W129" s="28" t="str">
        <f aca="false">IF(OR(X129="",X129="Pending"),"",IF(V129&lt;&gt;"",V129,IFERROR(IF(INDEX(Batches!$H$5:$H$64,MATCH(B129,Batches!$A$5:$A$64,0))="","",INDEX(Batches!$H$5:$H$64,MATCH(B129,Batches!$A$5:$A$64,0))),"")))</f>
        <v/>
      </c>
      <c r="X129" s="23"/>
      <c r="Y129" s="23"/>
      <c r="Z129" s="26"/>
      <c r="AA129" s="27" t="str">
        <f aca="false">IF(R129="","",IF(X129="Not accepted",R129,IF(OR(X129="Accepted",X129="Withdrawn by hospital"),IF(X129="Accepted",0,R129),IF(ISNUMBER(Z129),R129-Z129,""))))</f>
        <v/>
      </c>
      <c r="AB129" s="23"/>
      <c r="AC129" s="25"/>
      <c r="AD129" s="23"/>
      <c r="AE129" s="23"/>
      <c r="AF129" s="24"/>
      <c r="AG129" s="23"/>
      <c r="AH129" s="24"/>
      <c r="AI129" s="29" t="str">
        <f aca="false">IF(X129="Not accepted","Maintained",IF(X129="Partially accepted","Partially maintained",IF(X129="Accepted","Reversed",IF(X129="Withdrawn by hospital","Withdrawn by hospital",""))))</f>
        <v/>
      </c>
      <c r="AJ129" s="28" t="str">
        <f aca="false">IF(AI129="","",W129)</f>
        <v/>
      </c>
      <c r="AK129" s="29" t="str">
        <f aca="false">IF(AND(ISNUMBER(T129),ISNUMBER(W129)),W129-T129,"")</f>
        <v/>
      </c>
      <c r="AL129" s="29" t="str">
        <f aca="false">IF(A129="","",SUMIF(Actions!$C$5:$C$1004,A129,Actions!$F$5:$F$1004))</f>
        <v/>
      </c>
      <c r="AM129" s="25"/>
    </row>
    <row r="130" customFormat="false" ht="15" hidden="false" customHeight="false" outlineLevel="0" collapsed="false">
      <c r="A130" s="23"/>
      <c r="B130" s="23"/>
      <c r="C130" s="23"/>
      <c r="D130" s="23"/>
      <c r="E130" s="23"/>
      <c r="F130" s="23"/>
      <c r="G130" s="23"/>
      <c r="H130" s="23"/>
      <c r="I130" s="23"/>
      <c r="J130" s="23"/>
      <c r="K130" s="24"/>
      <c r="L130" s="23"/>
      <c r="M130" s="25"/>
      <c r="N130" s="25"/>
      <c r="O130" s="23"/>
      <c r="P130" s="26"/>
      <c r="Q130" s="26"/>
      <c r="R130" s="27" t="str">
        <f aca="false">IF(AND(ISNUMBER(P130),ISNUMBER(Q130)),P130-Q130,"")</f>
        <v/>
      </c>
      <c r="S130" s="24"/>
      <c r="T130" s="28" t="str">
        <f aca="false">IF(S130&lt;&gt;"",S130,IF(B130="","",IFERROR(IF(INDEX(Batches!$G$5:$G$64,MATCH(B130,Batches!$A$5:$A$64,0))="","",INDEX(Batches!$G$5:$G$64,MATCH(B130,Batches!$A$5:$A$64,0))),"")))</f>
        <v/>
      </c>
      <c r="U130" s="23"/>
      <c r="V130" s="24"/>
      <c r="W130" s="28" t="str">
        <f aca="false">IF(OR(X130="",X130="Pending"),"",IF(V130&lt;&gt;"",V130,IFERROR(IF(INDEX(Batches!$H$5:$H$64,MATCH(B130,Batches!$A$5:$A$64,0))="","",INDEX(Batches!$H$5:$H$64,MATCH(B130,Batches!$A$5:$A$64,0))),"")))</f>
        <v/>
      </c>
      <c r="X130" s="23"/>
      <c r="Y130" s="23"/>
      <c r="Z130" s="26"/>
      <c r="AA130" s="27" t="str">
        <f aca="false">IF(R130="","",IF(X130="Not accepted",R130,IF(OR(X130="Accepted",X130="Withdrawn by hospital"),IF(X130="Accepted",0,R130),IF(ISNUMBER(Z130),R130-Z130,""))))</f>
        <v/>
      </c>
      <c r="AB130" s="23"/>
      <c r="AC130" s="25"/>
      <c r="AD130" s="23"/>
      <c r="AE130" s="23"/>
      <c r="AF130" s="24"/>
      <c r="AG130" s="23"/>
      <c r="AH130" s="24"/>
      <c r="AI130" s="29" t="str">
        <f aca="false">IF(X130="Not accepted","Maintained",IF(X130="Partially accepted","Partially maintained",IF(X130="Accepted","Reversed",IF(X130="Withdrawn by hospital","Withdrawn by hospital",""))))</f>
        <v/>
      </c>
      <c r="AJ130" s="28" t="str">
        <f aca="false">IF(AI130="","",W130)</f>
        <v/>
      </c>
      <c r="AK130" s="29" t="str">
        <f aca="false">IF(AND(ISNUMBER(T130),ISNUMBER(W130)),W130-T130,"")</f>
        <v/>
      </c>
      <c r="AL130" s="29" t="str">
        <f aca="false">IF(A130="","",SUMIF(Actions!$C$5:$C$1004,A130,Actions!$F$5:$F$1004))</f>
        <v/>
      </c>
      <c r="AM130" s="25"/>
    </row>
    <row r="131" customFormat="false" ht="15" hidden="false" customHeight="false" outlineLevel="0" collapsed="false">
      <c r="A131" s="23"/>
      <c r="B131" s="23"/>
      <c r="C131" s="23"/>
      <c r="D131" s="23"/>
      <c r="E131" s="23"/>
      <c r="F131" s="23"/>
      <c r="G131" s="23"/>
      <c r="H131" s="23"/>
      <c r="I131" s="23"/>
      <c r="J131" s="23"/>
      <c r="K131" s="24"/>
      <c r="L131" s="23"/>
      <c r="M131" s="25"/>
      <c r="N131" s="25"/>
      <c r="O131" s="23"/>
      <c r="P131" s="26"/>
      <c r="Q131" s="26"/>
      <c r="R131" s="27" t="str">
        <f aca="false">IF(AND(ISNUMBER(P131),ISNUMBER(Q131)),P131-Q131,"")</f>
        <v/>
      </c>
      <c r="S131" s="24"/>
      <c r="T131" s="28" t="str">
        <f aca="false">IF(S131&lt;&gt;"",S131,IF(B131="","",IFERROR(IF(INDEX(Batches!$G$5:$G$64,MATCH(B131,Batches!$A$5:$A$64,0))="","",INDEX(Batches!$G$5:$G$64,MATCH(B131,Batches!$A$5:$A$64,0))),"")))</f>
        <v/>
      </c>
      <c r="U131" s="23"/>
      <c r="V131" s="24"/>
      <c r="W131" s="28" t="str">
        <f aca="false">IF(OR(X131="",X131="Pending"),"",IF(V131&lt;&gt;"",V131,IFERROR(IF(INDEX(Batches!$H$5:$H$64,MATCH(B131,Batches!$A$5:$A$64,0))="","",INDEX(Batches!$H$5:$H$64,MATCH(B131,Batches!$A$5:$A$64,0))),"")))</f>
        <v/>
      </c>
      <c r="X131" s="23"/>
      <c r="Y131" s="23"/>
      <c r="Z131" s="26"/>
      <c r="AA131" s="27" t="str">
        <f aca="false">IF(R131="","",IF(X131="Not accepted",R131,IF(OR(X131="Accepted",X131="Withdrawn by hospital"),IF(X131="Accepted",0,R131),IF(ISNUMBER(Z131),R131-Z131,""))))</f>
        <v/>
      </c>
      <c r="AB131" s="23"/>
      <c r="AC131" s="25"/>
      <c r="AD131" s="23"/>
      <c r="AE131" s="23"/>
      <c r="AF131" s="24"/>
      <c r="AG131" s="23"/>
      <c r="AH131" s="24"/>
      <c r="AI131" s="29" t="str">
        <f aca="false">IF(X131="Not accepted","Maintained",IF(X131="Partially accepted","Partially maintained",IF(X131="Accepted","Reversed",IF(X131="Withdrawn by hospital","Withdrawn by hospital",""))))</f>
        <v/>
      </c>
      <c r="AJ131" s="28" t="str">
        <f aca="false">IF(AI131="","",W131)</f>
        <v/>
      </c>
      <c r="AK131" s="29" t="str">
        <f aca="false">IF(AND(ISNUMBER(T131),ISNUMBER(W131)),W131-T131,"")</f>
        <v/>
      </c>
      <c r="AL131" s="29" t="str">
        <f aca="false">IF(A131="","",SUMIF(Actions!$C$5:$C$1004,A131,Actions!$F$5:$F$1004))</f>
        <v/>
      </c>
      <c r="AM131" s="25"/>
    </row>
    <row r="132" customFormat="false" ht="15" hidden="false" customHeight="false" outlineLevel="0" collapsed="false">
      <c r="A132" s="23"/>
      <c r="B132" s="23"/>
      <c r="C132" s="23"/>
      <c r="D132" s="23"/>
      <c r="E132" s="23"/>
      <c r="F132" s="23"/>
      <c r="G132" s="23"/>
      <c r="H132" s="23"/>
      <c r="I132" s="23"/>
      <c r="J132" s="23"/>
      <c r="K132" s="24"/>
      <c r="L132" s="23"/>
      <c r="M132" s="25"/>
      <c r="N132" s="25"/>
      <c r="O132" s="23"/>
      <c r="P132" s="26"/>
      <c r="Q132" s="26"/>
      <c r="R132" s="27" t="str">
        <f aca="false">IF(AND(ISNUMBER(P132),ISNUMBER(Q132)),P132-Q132,"")</f>
        <v/>
      </c>
      <c r="S132" s="24"/>
      <c r="T132" s="28" t="str">
        <f aca="false">IF(S132&lt;&gt;"",S132,IF(B132="","",IFERROR(IF(INDEX(Batches!$G$5:$G$64,MATCH(B132,Batches!$A$5:$A$64,0))="","",INDEX(Batches!$G$5:$G$64,MATCH(B132,Batches!$A$5:$A$64,0))),"")))</f>
        <v/>
      </c>
      <c r="U132" s="23"/>
      <c r="V132" s="24"/>
      <c r="W132" s="28" t="str">
        <f aca="false">IF(OR(X132="",X132="Pending"),"",IF(V132&lt;&gt;"",V132,IFERROR(IF(INDEX(Batches!$H$5:$H$64,MATCH(B132,Batches!$A$5:$A$64,0))="","",INDEX(Batches!$H$5:$H$64,MATCH(B132,Batches!$A$5:$A$64,0))),"")))</f>
        <v/>
      </c>
      <c r="X132" s="23"/>
      <c r="Y132" s="23"/>
      <c r="Z132" s="26"/>
      <c r="AA132" s="27" t="str">
        <f aca="false">IF(R132="","",IF(X132="Not accepted",R132,IF(OR(X132="Accepted",X132="Withdrawn by hospital"),IF(X132="Accepted",0,R132),IF(ISNUMBER(Z132),R132-Z132,""))))</f>
        <v/>
      </c>
      <c r="AB132" s="23"/>
      <c r="AC132" s="25"/>
      <c r="AD132" s="23"/>
      <c r="AE132" s="23"/>
      <c r="AF132" s="24"/>
      <c r="AG132" s="23"/>
      <c r="AH132" s="24"/>
      <c r="AI132" s="29" t="str">
        <f aca="false">IF(X132="Not accepted","Maintained",IF(X132="Partially accepted","Partially maintained",IF(X132="Accepted","Reversed",IF(X132="Withdrawn by hospital","Withdrawn by hospital",""))))</f>
        <v/>
      </c>
      <c r="AJ132" s="28" t="str">
        <f aca="false">IF(AI132="","",W132)</f>
        <v/>
      </c>
      <c r="AK132" s="29" t="str">
        <f aca="false">IF(AND(ISNUMBER(T132),ISNUMBER(W132)),W132-T132,"")</f>
        <v/>
      </c>
      <c r="AL132" s="29" t="str">
        <f aca="false">IF(A132="","",SUMIF(Actions!$C$5:$C$1004,A132,Actions!$F$5:$F$1004))</f>
        <v/>
      </c>
      <c r="AM132" s="25"/>
    </row>
    <row r="133" customFormat="false" ht="15" hidden="false" customHeight="false" outlineLevel="0" collapsed="false">
      <c r="A133" s="23"/>
      <c r="B133" s="23"/>
      <c r="C133" s="23"/>
      <c r="D133" s="23"/>
      <c r="E133" s="23"/>
      <c r="F133" s="23"/>
      <c r="G133" s="23"/>
      <c r="H133" s="23"/>
      <c r="I133" s="23"/>
      <c r="J133" s="23"/>
      <c r="K133" s="24"/>
      <c r="L133" s="23"/>
      <c r="M133" s="25"/>
      <c r="N133" s="25"/>
      <c r="O133" s="23"/>
      <c r="P133" s="26"/>
      <c r="Q133" s="26"/>
      <c r="R133" s="27" t="str">
        <f aca="false">IF(AND(ISNUMBER(P133),ISNUMBER(Q133)),P133-Q133,"")</f>
        <v/>
      </c>
      <c r="S133" s="24"/>
      <c r="T133" s="28" t="str">
        <f aca="false">IF(S133&lt;&gt;"",S133,IF(B133="","",IFERROR(IF(INDEX(Batches!$G$5:$G$64,MATCH(B133,Batches!$A$5:$A$64,0))="","",INDEX(Batches!$G$5:$G$64,MATCH(B133,Batches!$A$5:$A$64,0))),"")))</f>
        <v/>
      </c>
      <c r="U133" s="23"/>
      <c r="V133" s="24"/>
      <c r="W133" s="28" t="str">
        <f aca="false">IF(OR(X133="",X133="Pending"),"",IF(V133&lt;&gt;"",V133,IFERROR(IF(INDEX(Batches!$H$5:$H$64,MATCH(B133,Batches!$A$5:$A$64,0))="","",INDEX(Batches!$H$5:$H$64,MATCH(B133,Batches!$A$5:$A$64,0))),"")))</f>
        <v/>
      </c>
      <c r="X133" s="23"/>
      <c r="Y133" s="23"/>
      <c r="Z133" s="26"/>
      <c r="AA133" s="27" t="str">
        <f aca="false">IF(R133="","",IF(X133="Not accepted",R133,IF(OR(X133="Accepted",X133="Withdrawn by hospital"),IF(X133="Accepted",0,R133),IF(ISNUMBER(Z133),R133-Z133,""))))</f>
        <v/>
      </c>
      <c r="AB133" s="23"/>
      <c r="AC133" s="25"/>
      <c r="AD133" s="23"/>
      <c r="AE133" s="23"/>
      <c r="AF133" s="24"/>
      <c r="AG133" s="23"/>
      <c r="AH133" s="24"/>
      <c r="AI133" s="29" t="str">
        <f aca="false">IF(X133="Not accepted","Maintained",IF(X133="Partially accepted","Partially maintained",IF(X133="Accepted","Reversed",IF(X133="Withdrawn by hospital","Withdrawn by hospital",""))))</f>
        <v/>
      </c>
      <c r="AJ133" s="28" t="str">
        <f aca="false">IF(AI133="","",W133)</f>
        <v/>
      </c>
      <c r="AK133" s="29" t="str">
        <f aca="false">IF(AND(ISNUMBER(T133),ISNUMBER(W133)),W133-T133,"")</f>
        <v/>
      </c>
      <c r="AL133" s="29" t="str">
        <f aca="false">IF(A133="","",SUMIF(Actions!$C$5:$C$1004,A133,Actions!$F$5:$F$1004))</f>
        <v/>
      </c>
      <c r="AM133" s="25"/>
    </row>
    <row r="134" customFormat="false" ht="15" hidden="false" customHeight="false" outlineLevel="0" collapsed="false">
      <c r="A134" s="23"/>
      <c r="B134" s="23"/>
      <c r="C134" s="23"/>
      <c r="D134" s="23"/>
      <c r="E134" s="23"/>
      <c r="F134" s="23"/>
      <c r="G134" s="23"/>
      <c r="H134" s="23"/>
      <c r="I134" s="23"/>
      <c r="J134" s="23"/>
      <c r="K134" s="24"/>
      <c r="L134" s="23"/>
      <c r="M134" s="25"/>
      <c r="N134" s="25"/>
      <c r="O134" s="23"/>
      <c r="P134" s="26"/>
      <c r="Q134" s="26"/>
      <c r="R134" s="27" t="str">
        <f aca="false">IF(AND(ISNUMBER(P134),ISNUMBER(Q134)),P134-Q134,"")</f>
        <v/>
      </c>
      <c r="S134" s="24"/>
      <c r="T134" s="28" t="str">
        <f aca="false">IF(S134&lt;&gt;"",S134,IF(B134="","",IFERROR(IF(INDEX(Batches!$G$5:$G$64,MATCH(B134,Batches!$A$5:$A$64,0))="","",INDEX(Batches!$G$5:$G$64,MATCH(B134,Batches!$A$5:$A$64,0))),"")))</f>
        <v/>
      </c>
      <c r="U134" s="23"/>
      <c r="V134" s="24"/>
      <c r="W134" s="28" t="str">
        <f aca="false">IF(OR(X134="",X134="Pending"),"",IF(V134&lt;&gt;"",V134,IFERROR(IF(INDEX(Batches!$H$5:$H$64,MATCH(B134,Batches!$A$5:$A$64,0))="","",INDEX(Batches!$H$5:$H$64,MATCH(B134,Batches!$A$5:$A$64,0))),"")))</f>
        <v/>
      </c>
      <c r="X134" s="23"/>
      <c r="Y134" s="23"/>
      <c r="Z134" s="26"/>
      <c r="AA134" s="27" t="str">
        <f aca="false">IF(R134="","",IF(X134="Not accepted",R134,IF(OR(X134="Accepted",X134="Withdrawn by hospital"),IF(X134="Accepted",0,R134),IF(ISNUMBER(Z134),R134-Z134,""))))</f>
        <v/>
      </c>
      <c r="AB134" s="23"/>
      <c r="AC134" s="25"/>
      <c r="AD134" s="23"/>
      <c r="AE134" s="23"/>
      <c r="AF134" s="24"/>
      <c r="AG134" s="23"/>
      <c r="AH134" s="24"/>
      <c r="AI134" s="29" t="str">
        <f aca="false">IF(X134="Not accepted","Maintained",IF(X134="Partially accepted","Partially maintained",IF(X134="Accepted","Reversed",IF(X134="Withdrawn by hospital","Withdrawn by hospital",""))))</f>
        <v/>
      </c>
      <c r="AJ134" s="28" t="str">
        <f aca="false">IF(AI134="","",W134)</f>
        <v/>
      </c>
      <c r="AK134" s="29" t="str">
        <f aca="false">IF(AND(ISNUMBER(T134),ISNUMBER(W134)),W134-T134,"")</f>
        <v/>
      </c>
      <c r="AL134" s="29" t="str">
        <f aca="false">IF(A134="","",SUMIF(Actions!$C$5:$C$1004,A134,Actions!$F$5:$F$1004))</f>
        <v/>
      </c>
      <c r="AM134" s="25"/>
    </row>
    <row r="135" customFormat="false" ht="15" hidden="false" customHeight="false" outlineLevel="0" collapsed="false">
      <c r="A135" s="23"/>
      <c r="B135" s="23"/>
      <c r="C135" s="23"/>
      <c r="D135" s="23"/>
      <c r="E135" s="23"/>
      <c r="F135" s="23"/>
      <c r="G135" s="23"/>
      <c r="H135" s="23"/>
      <c r="I135" s="23"/>
      <c r="J135" s="23"/>
      <c r="K135" s="24"/>
      <c r="L135" s="23"/>
      <c r="M135" s="25"/>
      <c r="N135" s="25"/>
      <c r="O135" s="23"/>
      <c r="P135" s="26"/>
      <c r="Q135" s="26"/>
      <c r="R135" s="27" t="str">
        <f aca="false">IF(AND(ISNUMBER(P135),ISNUMBER(Q135)),P135-Q135,"")</f>
        <v/>
      </c>
      <c r="S135" s="24"/>
      <c r="T135" s="28" t="str">
        <f aca="false">IF(S135&lt;&gt;"",S135,IF(B135="","",IFERROR(IF(INDEX(Batches!$G$5:$G$64,MATCH(B135,Batches!$A$5:$A$64,0))="","",INDEX(Batches!$G$5:$G$64,MATCH(B135,Batches!$A$5:$A$64,0))),"")))</f>
        <v/>
      </c>
      <c r="U135" s="23"/>
      <c r="V135" s="24"/>
      <c r="W135" s="28" t="str">
        <f aca="false">IF(OR(X135="",X135="Pending"),"",IF(V135&lt;&gt;"",V135,IFERROR(IF(INDEX(Batches!$H$5:$H$64,MATCH(B135,Batches!$A$5:$A$64,0))="","",INDEX(Batches!$H$5:$H$64,MATCH(B135,Batches!$A$5:$A$64,0))),"")))</f>
        <v/>
      </c>
      <c r="X135" s="23"/>
      <c r="Y135" s="23"/>
      <c r="Z135" s="26"/>
      <c r="AA135" s="27" t="str">
        <f aca="false">IF(R135="","",IF(X135="Not accepted",R135,IF(OR(X135="Accepted",X135="Withdrawn by hospital"),IF(X135="Accepted",0,R135),IF(ISNUMBER(Z135),R135-Z135,""))))</f>
        <v/>
      </c>
      <c r="AB135" s="23"/>
      <c r="AC135" s="25"/>
      <c r="AD135" s="23"/>
      <c r="AE135" s="23"/>
      <c r="AF135" s="24"/>
      <c r="AG135" s="23"/>
      <c r="AH135" s="24"/>
      <c r="AI135" s="29" t="str">
        <f aca="false">IF(X135="Not accepted","Maintained",IF(X135="Partially accepted","Partially maintained",IF(X135="Accepted","Reversed",IF(X135="Withdrawn by hospital","Withdrawn by hospital",""))))</f>
        <v/>
      </c>
      <c r="AJ135" s="28" t="str">
        <f aca="false">IF(AI135="","",W135)</f>
        <v/>
      </c>
      <c r="AK135" s="29" t="str">
        <f aca="false">IF(AND(ISNUMBER(T135),ISNUMBER(W135)),W135-T135,"")</f>
        <v/>
      </c>
      <c r="AL135" s="29" t="str">
        <f aca="false">IF(A135="","",SUMIF(Actions!$C$5:$C$1004,A135,Actions!$F$5:$F$1004))</f>
        <v/>
      </c>
      <c r="AM135" s="25"/>
    </row>
    <row r="136" customFormat="false" ht="15" hidden="false" customHeight="false" outlineLevel="0" collapsed="false">
      <c r="A136" s="23"/>
      <c r="B136" s="23"/>
      <c r="C136" s="23"/>
      <c r="D136" s="23"/>
      <c r="E136" s="23"/>
      <c r="F136" s="23"/>
      <c r="G136" s="23"/>
      <c r="H136" s="23"/>
      <c r="I136" s="23"/>
      <c r="J136" s="23"/>
      <c r="K136" s="24"/>
      <c r="L136" s="23"/>
      <c r="M136" s="25"/>
      <c r="N136" s="25"/>
      <c r="O136" s="23"/>
      <c r="P136" s="26"/>
      <c r="Q136" s="26"/>
      <c r="R136" s="27" t="str">
        <f aca="false">IF(AND(ISNUMBER(P136),ISNUMBER(Q136)),P136-Q136,"")</f>
        <v/>
      </c>
      <c r="S136" s="24"/>
      <c r="T136" s="28" t="str">
        <f aca="false">IF(S136&lt;&gt;"",S136,IF(B136="","",IFERROR(IF(INDEX(Batches!$G$5:$G$64,MATCH(B136,Batches!$A$5:$A$64,0))="","",INDEX(Batches!$G$5:$G$64,MATCH(B136,Batches!$A$5:$A$64,0))),"")))</f>
        <v/>
      </c>
      <c r="U136" s="23"/>
      <c r="V136" s="24"/>
      <c r="W136" s="28" t="str">
        <f aca="false">IF(OR(X136="",X136="Pending"),"",IF(V136&lt;&gt;"",V136,IFERROR(IF(INDEX(Batches!$H$5:$H$64,MATCH(B136,Batches!$A$5:$A$64,0))="","",INDEX(Batches!$H$5:$H$64,MATCH(B136,Batches!$A$5:$A$64,0))),"")))</f>
        <v/>
      </c>
      <c r="X136" s="23"/>
      <c r="Y136" s="23"/>
      <c r="Z136" s="26"/>
      <c r="AA136" s="27" t="str">
        <f aca="false">IF(R136="","",IF(X136="Not accepted",R136,IF(OR(X136="Accepted",X136="Withdrawn by hospital"),IF(X136="Accepted",0,R136),IF(ISNUMBER(Z136),R136-Z136,""))))</f>
        <v/>
      </c>
      <c r="AB136" s="23"/>
      <c r="AC136" s="25"/>
      <c r="AD136" s="23"/>
      <c r="AE136" s="23"/>
      <c r="AF136" s="24"/>
      <c r="AG136" s="23"/>
      <c r="AH136" s="24"/>
      <c r="AI136" s="29" t="str">
        <f aca="false">IF(X136="Not accepted","Maintained",IF(X136="Partially accepted","Partially maintained",IF(X136="Accepted","Reversed",IF(X136="Withdrawn by hospital","Withdrawn by hospital",""))))</f>
        <v/>
      </c>
      <c r="AJ136" s="28" t="str">
        <f aca="false">IF(AI136="","",W136)</f>
        <v/>
      </c>
      <c r="AK136" s="29" t="str">
        <f aca="false">IF(AND(ISNUMBER(T136),ISNUMBER(W136)),W136-T136,"")</f>
        <v/>
      </c>
      <c r="AL136" s="29" t="str">
        <f aca="false">IF(A136="","",SUMIF(Actions!$C$5:$C$1004,A136,Actions!$F$5:$F$1004))</f>
        <v/>
      </c>
      <c r="AM136" s="25"/>
    </row>
    <row r="137" customFormat="false" ht="15" hidden="false" customHeight="false" outlineLevel="0" collapsed="false">
      <c r="A137" s="23"/>
      <c r="B137" s="23"/>
      <c r="C137" s="23"/>
      <c r="D137" s="23"/>
      <c r="E137" s="23"/>
      <c r="F137" s="23"/>
      <c r="G137" s="23"/>
      <c r="H137" s="23"/>
      <c r="I137" s="23"/>
      <c r="J137" s="23"/>
      <c r="K137" s="24"/>
      <c r="L137" s="23"/>
      <c r="M137" s="25"/>
      <c r="N137" s="25"/>
      <c r="O137" s="23"/>
      <c r="P137" s="26"/>
      <c r="Q137" s="26"/>
      <c r="R137" s="27" t="str">
        <f aca="false">IF(AND(ISNUMBER(P137),ISNUMBER(Q137)),P137-Q137,"")</f>
        <v/>
      </c>
      <c r="S137" s="24"/>
      <c r="T137" s="28" t="str">
        <f aca="false">IF(S137&lt;&gt;"",S137,IF(B137="","",IFERROR(IF(INDEX(Batches!$G$5:$G$64,MATCH(B137,Batches!$A$5:$A$64,0))="","",INDEX(Batches!$G$5:$G$64,MATCH(B137,Batches!$A$5:$A$64,0))),"")))</f>
        <v/>
      </c>
      <c r="U137" s="23"/>
      <c r="V137" s="24"/>
      <c r="W137" s="28" t="str">
        <f aca="false">IF(OR(X137="",X137="Pending"),"",IF(V137&lt;&gt;"",V137,IFERROR(IF(INDEX(Batches!$H$5:$H$64,MATCH(B137,Batches!$A$5:$A$64,0))="","",INDEX(Batches!$H$5:$H$64,MATCH(B137,Batches!$A$5:$A$64,0))),"")))</f>
        <v/>
      </c>
      <c r="X137" s="23"/>
      <c r="Y137" s="23"/>
      <c r="Z137" s="26"/>
      <c r="AA137" s="27" t="str">
        <f aca="false">IF(R137="","",IF(X137="Not accepted",R137,IF(OR(X137="Accepted",X137="Withdrawn by hospital"),IF(X137="Accepted",0,R137),IF(ISNUMBER(Z137),R137-Z137,""))))</f>
        <v/>
      </c>
      <c r="AB137" s="23"/>
      <c r="AC137" s="25"/>
      <c r="AD137" s="23"/>
      <c r="AE137" s="23"/>
      <c r="AF137" s="24"/>
      <c r="AG137" s="23"/>
      <c r="AH137" s="24"/>
      <c r="AI137" s="29" t="str">
        <f aca="false">IF(X137="Not accepted","Maintained",IF(X137="Partially accepted","Partially maintained",IF(X137="Accepted","Reversed",IF(X137="Withdrawn by hospital","Withdrawn by hospital",""))))</f>
        <v/>
      </c>
      <c r="AJ137" s="28" t="str">
        <f aca="false">IF(AI137="","",W137)</f>
        <v/>
      </c>
      <c r="AK137" s="29" t="str">
        <f aca="false">IF(AND(ISNUMBER(T137),ISNUMBER(W137)),W137-T137,"")</f>
        <v/>
      </c>
      <c r="AL137" s="29" t="str">
        <f aca="false">IF(A137="","",SUMIF(Actions!$C$5:$C$1004,A137,Actions!$F$5:$F$1004))</f>
        <v/>
      </c>
      <c r="AM137" s="25"/>
    </row>
    <row r="138" customFormat="false" ht="15" hidden="false" customHeight="false" outlineLevel="0" collapsed="false">
      <c r="A138" s="23"/>
      <c r="B138" s="23"/>
      <c r="C138" s="23"/>
      <c r="D138" s="23"/>
      <c r="E138" s="23"/>
      <c r="F138" s="23"/>
      <c r="G138" s="23"/>
      <c r="H138" s="23"/>
      <c r="I138" s="23"/>
      <c r="J138" s="23"/>
      <c r="K138" s="24"/>
      <c r="L138" s="23"/>
      <c r="M138" s="25"/>
      <c r="N138" s="25"/>
      <c r="O138" s="23"/>
      <c r="P138" s="26"/>
      <c r="Q138" s="26"/>
      <c r="R138" s="27" t="str">
        <f aca="false">IF(AND(ISNUMBER(P138),ISNUMBER(Q138)),P138-Q138,"")</f>
        <v/>
      </c>
      <c r="S138" s="24"/>
      <c r="T138" s="28" t="str">
        <f aca="false">IF(S138&lt;&gt;"",S138,IF(B138="","",IFERROR(IF(INDEX(Batches!$G$5:$G$64,MATCH(B138,Batches!$A$5:$A$64,0))="","",INDEX(Batches!$G$5:$G$64,MATCH(B138,Batches!$A$5:$A$64,0))),"")))</f>
        <v/>
      </c>
      <c r="U138" s="23"/>
      <c r="V138" s="24"/>
      <c r="W138" s="28" t="str">
        <f aca="false">IF(OR(X138="",X138="Pending"),"",IF(V138&lt;&gt;"",V138,IFERROR(IF(INDEX(Batches!$H$5:$H$64,MATCH(B138,Batches!$A$5:$A$64,0))="","",INDEX(Batches!$H$5:$H$64,MATCH(B138,Batches!$A$5:$A$64,0))),"")))</f>
        <v/>
      </c>
      <c r="X138" s="23"/>
      <c r="Y138" s="23"/>
      <c r="Z138" s="26"/>
      <c r="AA138" s="27" t="str">
        <f aca="false">IF(R138="","",IF(X138="Not accepted",R138,IF(OR(X138="Accepted",X138="Withdrawn by hospital"),IF(X138="Accepted",0,R138),IF(ISNUMBER(Z138),R138-Z138,""))))</f>
        <v/>
      </c>
      <c r="AB138" s="23"/>
      <c r="AC138" s="25"/>
      <c r="AD138" s="23"/>
      <c r="AE138" s="23"/>
      <c r="AF138" s="24"/>
      <c r="AG138" s="23"/>
      <c r="AH138" s="24"/>
      <c r="AI138" s="29" t="str">
        <f aca="false">IF(X138="Not accepted","Maintained",IF(X138="Partially accepted","Partially maintained",IF(X138="Accepted","Reversed",IF(X138="Withdrawn by hospital","Withdrawn by hospital",""))))</f>
        <v/>
      </c>
      <c r="AJ138" s="28" t="str">
        <f aca="false">IF(AI138="","",W138)</f>
        <v/>
      </c>
      <c r="AK138" s="29" t="str">
        <f aca="false">IF(AND(ISNUMBER(T138),ISNUMBER(W138)),W138-T138,"")</f>
        <v/>
      </c>
      <c r="AL138" s="29" t="str">
        <f aca="false">IF(A138="","",SUMIF(Actions!$C$5:$C$1004,A138,Actions!$F$5:$F$1004))</f>
        <v/>
      </c>
      <c r="AM138" s="25"/>
    </row>
    <row r="139" customFormat="false" ht="15" hidden="false" customHeight="false" outlineLevel="0" collapsed="false">
      <c r="A139" s="23"/>
      <c r="B139" s="23"/>
      <c r="C139" s="23"/>
      <c r="D139" s="23"/>
      <c r="E139" s="23"/>
      <c r="F139" s="23"/>
      <c r="G139" s="23"/>
      <c r="H139" s="23"/>
      <c r="I139" s="23"/>
      <c r="J139" s="23"/>
      <c r="K139" s="24"/>
      <c r="L139" s="23"/>
      <c r="M139" s="25"/>
      <c r="N139" s="25"/>
      <c r="O139" s="23"/>
      <c r="P139" s="26"/>
      <c r="Q139" s="26"/>
      <c r="R139" s="27" t="str">
        <f aca="false">IF(AND(ISNUMBER(P139),ISNUMBER(Q139)),P139-Q139,"")</f>
        <v/>
      </c>
      <c r="S139" s="24"/>
      <c r="T139" s="28" t="str">
        <f aca="false">IF(S139&lt;&gt;"",S139,IF(B139="","",IFERROR(IF(INDEX(Batches!$G$5:$G$64,MATCH(B139,Batches!$A$5:$A$64,0))="","",INDEX(Batches!$G$5:$G$64,MATCH(B139,Batches!$A$5:$A$64,0))),"")))</f>
        <v/>
      </c>
      <c r="U139" s="23"/>
      <c r="V139" s="24"/>
      <c r="W139" s="28" t="str">
        <f aca="false">IF(OR(X139="",X139="Pending"),"",IF(V139&lt;&gt;"",V139,IFERROR(IF(INDEX(Batches!$H$5:$H$64,MATCH(B139,Batches!$A$5:$A$64,0))="","",INDEX(Batches!$H$5:$H$64,MATCH(B139,Batches!$A$5:$A$64,0))),"")))</f>
        <v/>
      </c>
      <c r="X139" s="23"/>
      <c r="Y139" s="23"/>
      <c r="Z139" s="26"/>
      <c r="AA139" s="27" t="str">
        <f aca="false">IF(R139="","",IF(X139="Not accepted",R139,IF(OR(X139="Accepted",X139="Withdrawn by hospital"),IF(X139="Accepted",0,R139),IF(ISNUMBER(Z139),R139-Z139,""))))</f>
        <v/>
      </c>
      <c r="AB139" s="23"/>
      <c r="AC139" s="25"/>
      <c r="AD139" s="23"/>
      <c r="AE139" s="23"/>
      <c r="AF139" s="24"/>
      <c r="AG139" s="23"/>
      <c r="AH139" s="24"/>
      <c r="AI139" s="29" t="str">
        <f aca="false">IF(X139="Not accepted","Maintained",IF(X139="Partially accepted","Partially maintained",IF(X139="Accepted","Reversed",IF(X139="Withdrawn by hospital","Withdrawn by hospital",""))))</f>
        <v/>
      </c>
      <c r="AJ139" s="28" t="str">
        <f aca="false">IF(AI139="","",W139)</f>
        <v/>
      </c>
      <c r="AK139" s="29" t="str">
        <f aca="false">IF(AND(ISNUMBER(T139),ISNUMBER(W139)),W139-T139,"")</f>
        <v/>
      </c>
      <c r="AL139" s="29" t="str">
        <f aca="false">IF(A139="","",SUMIF(Actions!$C$5:$C$1004,A139,Actions!$F$5:$F$1004))</f>
        <v/>
      </c>
      <c r="AM139" s="25"/>
    </row>
    <row r="140" customFormat="false" ht="15" hidden="false" customHeight="false" outlineLevel="0" collapsed="false">
      <c r="A140" s="23"/>
      <c r="B140" s="23"/>
      <c r="C140" s="23"/>
      <c r="D140" s="23"/>
      <c r="E140" s="23"/>
      <c r="F140" s="23"/>
      <c r="G140" s="23"/>
      <c r="H140" s="23"/>
      <c r="I140" s="23"/>
      <c r="J140" s="23"/>
      <c r="K140" s="24"/>
      <c r="L140" s="23"/>
      <c r="M140" s="25"/>
      <c r="N140" s="25"/>
      <c r="O140" s="23"/>
      <c r="P140" s="26"/>
      <c r="Q140" s="26"/>
      <c r="R140" s="27" t="str">
        <f aca="false">IF(AND(ISNUMBER(P140),ISNUMBER(Q140)),P140-Q140,"")</f>
        <v/>
      </c>
      <c r="S140" s="24"/>
      <c r="T140" s="28" t="str">
        <f aca="false">IF(S140&lt;&gt;"",S140,IF(B140="","",IFERROR(IF(INDEX(Batches!$G$5:$G$64,MATCH(B140,Batches!$A$5:$A$64,0))="","",INDEX(Batches!$G$5:$G$64,MATCH(B140,Batches!$A$5:$A$64,0))),"")))</f>
        <v/>
      </c>
      <c r="U140" s="23"/>
      <c r="V140" s="24"/>
      <c r="W140" s="28" t="str">
        <f aca="false">IF(OR(X140="",X140="Pending"),"",IF(V140&lt;&gt;"",V140,IFERROR(IF(INDEX(Batches!$H$5:$H$64,MATCH(B140,Batches!$A$5:$A$64,0))="","",INDEX(Batches!$H$5:$H$64,MATCH(B140,Batches!$A$5:$A$64,0))),"")))</f>
        <v/>
      </c>
      <c r="X140" s="23"/>
      <c r="Y140" s="23"/>
      <c r="Z140" s="26"/>
      <c r="AA140" s="27" t="str">
        <f aca="false">IF(R140="","",IF(X140="Not accepted",R140,IF(OR(X140="Accepted",X140="Withdrawn by hospital"),IF(X140="Accepted",0,R140),IF(ISNUMBER(Z140),R140-Z140,""))))</f>
        <v/>
      </c>
      <c r="AB140" s="23"/>
      <c r="AC140" s="25"/>
      <c r="AD140" s="23"/>
      <c r="AE140" s="23"/>
      <c r="AF140" s="24"/>
      <c r="AG140" s="23"/>
      <c r="AH140" s="24"/>
      <c r="AI140" s="29" t="str">
        <f aca="false">IF(X140="Not accepted","Maintained",IF(X140="Partially accepted","Partially maintained",IF(X140="Accepted","Reversed",IF(X140="Withdrawn by hospital","Withdrawn by hospital",""))))</f>
        <v/>
      </c>
      <c r="AJ140" s="28" t="str">
        <f aca="false">IF(AI140="","",W140)</f>
        <v/>
      </c>
      <c r="AK140" s="29" t="str">
        <f aca="false">IF(AND(ISNUMBER(T140),ISNUMBER(W140)),W140-T140,"")</f>
        <v/>
      </c>
      <c r="AL140" s="29" t="str">
        <f aca="false">IF(A140="","",SUMIF(Actions!$C$5:$C$1004,A140,Actions!$F$5:$F$1004))</f>
        <v/>
      </c>
      <c r="AM140" s="25"/>
    </row>
    <row r="141" customFormat="false" ht="15" hidden="false" customHeight="false" outlineLevel="0" collapsed="false">
      <c r="A141" s="23"/>
      <c r="B141" s="23"/>
      <c r="C141" s="23"/>
      <c r="D141" s="23"/>
      <c r="E141" s="23"/>
      <c r="F141" s="23"/>
      <c r="G141" s="23"/>
      <c r="H141" s="23"/>
      <c r="I141" s="23"/>
      <c r="J141" s="23"/>
      <c r="K141" s="24"/>
      <c r="L141" s="23"/>
      <c r="M141" s="25"/>
      <c r="N141" s="25"/>
      <c r="O141" s="23"/>
      <c r="P141" s="26"/>
      <c r="Q141" s="26"/>
      <c r="R141" s="27" t="str">
        <f aca="false">IF(AND(ISNUMBER(P141),ISNUMBER(Q141)),P141-Q141,"")</f>
        <v/>
      </c>
      <c r="S141" s="24"/>
      <c r="T141" s="28" t="str">
        <f aca="false">IF(S141&lt;&gt;"",S141,IF(B141="","",IFERROR(IF(INDEX(Batches!$G$5:$G$64,MATCH(B141,Batches!$A$5:$A$64,0))="","",INDEX(Batches!$G$5:$G$64,MATCH(B141,Batches!$A$5:$A$64,0))),"")))</f>
        <v/>
      </c>
      <c r="U141" s="23"/>
      <c r="V141" s="24"/>
      <c r="W141" s="28" t="str">
        <f aca="false">IF(OR(X141="",X141="Pending"),"",IF(V141&lt;&gt;"",V141,IFERROR(IF(INDEX(Batches!$H$5:$H$64,MATCH(B141,Batches!$A$5:$A$64,0))="","",INDEX(Batches!$H$5:$H$64,MATCH(B141,Batches!$A$5:$A$64,0))),"")))</f>
        <v/>
      </c>
      <c r="X141" s="23"/>
      <c r="Y141" s="23"/>
      <c r="Z141" s="26"/>
      <c r="AA141" s="27" t="str">
        <f aca="false">IF(R141="","",IF(X141="Not accepted",R141,IF(OR(X141="Accepted",X141="Withdrawn by hospital"),IF(X141="Accepted",0,R141),IF(ISNUMBER(Z141),R141-Z141,""))))</f>
        <v/>
      </c>
      <c r="AB141" s="23"/>
      <c r="AC141" s="25"/>
      <c r="AD141" s="23"/>
      <c r="AE141" s="23"/>
      <c r="AF141" s="24"/>
      <c r="AG141" s="23"/>
      <c r="AH141" s="24"/>
      <c r="AI141" s="29" t="str">
        <f aca="false">IF(X141="Not accepted","Maintained",IF(X141="Partially accepted","Partially maintained",IF(X141="Accepted","Reversed",IF(X141="Withdrawn by hospital","Withdrawn by hospital",""))))</f>
        <v/>
      </c>
      <c r="AJ141" s="28" t="str">
        <f aca="false">IF(AI141="","",W141)</f>
        <v/>
      </c>
      <c r="AK141" s="29" t="str">
        <f aca="false">IF(AND(ISNUMBER(T141),ISNUMBER(W141)),W141-T141,"")</f>
        <v/>
      </c>
      <c r="AL141" s="29" t="str">
        <f aca="false">IF(A141="","",SUMIF(Actions!$C$5:$C$1004,A141,Actions!$F$5:$F$1004))</f>
        <v/>
      </c>
      <c r="AM141" s="25"/>
    </row>
    <row r="142" customFormat="false" ht="15" hidden="false" customHeight="false" outlineLevel="0" collapsed="false">
      <c r="A142" s="23"/>
      <c r="B142" s="23"/>
      <c r="C142" s="23"/>
      <c r="D142" s="23"/>
      <c r="E142" s="23"/>
      <c r="F142" s="23"/>
      <c r="G142" s="23"/>
      <c r="H142" s="23"/>
      <c r="I142" s="23"/>
      <c r="J142" s="23"/>
      <c r="K142" s="24"/>
      <c r="L142" s="23"/>
      <c r="M142" s="25"/>
      <c r="N142" s="25"/>
      <c r="O142" s="23"/>
      <c r="P142" s="26"/>
      <c r="Q142" s="26"/>
      <c r="R142" s="27" t="str">
        <f aca="false">IF(AND(ISNUMBER(P142),ISNUMBER(Q142)),P142-Q142,"")</f>
        <v/>
      </c>
      <c r="S142" s="24"/>
      <c r="T142" s="28" t="str">
        <f aca="false">IF(S142&lt;&gt;"",S142,IF(B142="","",IFERROR(IF(INDEX(Batches!$G$5:$G$64,MATCH(B142,Batches!$A$5:$A$64,0))="","",INDEX(Batches!$G$5:$G$64,MATCH(B142,Batches!$A$5:$A$64,0))),"")))</f>
        <v/>
      </c>
      <c r="U142" s="23"/>
      <c r="V142" s="24"/>
      <c r="W142" s="28" t="str">
        <f aca="false">IF(OR(X142="",X142="Pending"),"",IF(V142&lt;&gt;"",V142,IFERROR(IF(INDEX(Batches!$H$5:$H$64,MATCH(B142,Batches!$A$5:$A$64,0))="","",INDEX(Batches!$H$5:$H$64,MATCH(B142,Batches!$A$5:$A$64,0))),"")))</f>
        <v/>
      </c>
      <c r="X142" s="23"/>
      <c r="Y142" s="23"/>
      <c r="Z142" s="26"/>
      <c r="AA142" s="27" t="str">
        <f aca="false">IF(R142="","",IF(X142="Not accepted",R142,IF(OR(X142="Accepted",X142="Withdrawn by hospital"),IF(X142="Accepted",0,R142),IF(ISNUMBER(Z142),R142-Z142,""))))</f>
        <v/>
      </c>
      <c r="AB142" s="23"/>
      <c r="AC142" s="25"/>
      <c r="AD142" s="23"/>
      <c r="AE142" s="23"/>
      <c r="AF142" s="24"/>
      <c r="AG142" s="23"/>
      <c r="AH142" s="24"/>
      <c r="AI142" s="29" t="str">
        <f aca="false">IF(X142="Not accepted","Maintained",IF(X142="Partially accepted","Partially maintained",IF(X142="Accepted","Reversed",IF(X142="Withdrawn by hospital","Withdrawn by hospital",""))))</f>
        <v/>
      </c>
      <c r="AJ142" s="28" t="str">
        <f aca="false">IF(AI142="","",W142)</f>
        <v/>
      </c>
      <c r="AK142" s="29" t="str">
        <f aca="false">IF(AND(ISNUMBER(T142),ISNUMBER(W142)),W142-T142,"")</f>
        <v/>
      </c>
      <c r="AL142" s="29" t="str">
        <f aca="false">IF(A142="","",SUMIF(Actions!$C$5:$C$1004,A142,Actions!$F$5:$F$1004))</f>
        <v/>
      </c>
      <c r="AM142" s="25"/>
    </row>
    <row r="143" customFormat="false" ht="15" hidden="false" customHeight="false" outlineLevel="0" collapsed="false">
      <c r="A143" s="23"/>
      <c r="B143" s="23"/>
      <c r="C143" s="23"/>
      <c r="D143" s="23"/>
      <c r="E143" s="23"/>
      <c r="F143" s="23"/>
      <c r="G143" s="23"/>
      <c r="H143" s="23"/>
      <c r="I143" s="23"/>
      <c r="J143" s="23"/>
      <c r="K143" s="24"/>
      <c r="L143" s="23"/>
      <c r="M143" s="25"/>
      <c r="N143" s="25"/>
      <c r="O143" s="23"/>
      <c r="P143" s="26"/>
      <c r="Q143" s="26"/>
      <c r="R143" s="27" t="str">
        <f aca="false">IF(AND(ISNUMBER(P143),ISNUMBER(Q143)),P143-Q143,"")</f>
        <v/>
      </c>
      <c r="S143" s="24"/>
      <c r="T143" s="28" t="str">
        <f aca="false">IF(S143&lt;&gt;"",S143,IF(B143="","",IFERROR(IF(INDEX(Batches!$G$5:$G$64,MATCH(B143,Batches!$A$5:$A$64,0))="","",INDEX(Batches!$G$5:$G$64,MATCH(B143,Batches!$A$5:$A$64,0))),"")))</f>
        <v/>
      </c>
      <c r="U143" s="23"/>
      <c r="V143" s="24"/>
      <c r="W143" s="28" t="str">
        <f aca="false">IF(OR(X143="",X143="Pending"),"",IF(V143&lt;&gt;"",V143,IFERROR(IF(INDEX(Batches!$H$5:$H$64,MATCH(B143,Batches!$A$5:$A$64,0))="","",INDEX(Batches!$H$5:$H$64,MATCH(B143,Batches!$A$5:$A$64,0))),"")))</f>
        <v/>
      </c>
      <c r="X143" s="23"/>
      <c r="Y143" s="23"/>
      <c r="Z143" s="26"/>
      <c r="AA143" s="27" t="str">
        <f aca="false">IF(R143="","",IF(X143="Not accepted",R143,IF(OR(X143="Accepted",X143="Withdrawn by hospital"),IF(X143="Accepted",0,R143),IF(ISNUMBER(Z143),R143-Z143,""))))</f>
        <v/>
      </c>
      <c r="AB143" s="23"/>
      <c r="AC143" s="25"/>
      <c r="AD143" s="23"/>
      <c r="AE143" s="23"/>
      <c r="AF143" s="24"/>
      <c r="AG143" s="23"/>
      <c r="AH143" s="24"/>
      <c r="AI143" s="29" t="str">
        <f aca="false">IF(X143="Not accepted","Maintained",IF(X143="Partially accepted","Partially maintained",IF(X143="Accepted","Reversed",IF(X143="Withdrawn by hospital","Withdrawn by hospital",""))))</f>
        <v/>
      </c>
      <c r="AJ143" s="28" t="str">
        <f aca="false">IF(AI143="","",W143)</f>
        <v/>
      </c>
      <c r="AK143" s="29" t="str">
        <f aca="false">IF(AND(ISNUMBER(T143),ISNUMBER(W143)),W143-T143,"")</f>
        <v/>
      </c>
      <c r="AL143" s="29" t="str">
        <f aca="false">IF(A143="","",SUMIF(Actions!$C$5:$C$1004,A143,Actions!$F$5:$F$1004))</f>
        <v/>
      </c>
      <c r="AM143" s="25"/>
    </row>
    <row r="144" customFormat="false" ht="15" hidden="false" customHeight="false" outlineLevel="0" collapsed="false">
      <c r="A144" s="23"/>
      <c r="B144" s="23"/>
      <c r="C144" s="23"/>
      <c r="D144" s="23"/>
      <c r="E144" s="23"/>
      <c r="F144" s="23"/>
      <c r="G144" s="23"/>
      <c r="H144" s="23"/>
      <c r="I144" s="23"/>
      <c r="J144" s="23"/>
      <c r="K144" s="24"/>
      <c r="L144" s="23"/>
      <c r="M144" s="25"/>
      <c r="N144" s="25"/>
      <c r="O144" s="23"/>
      <c r="P144" s="26"/>
      <c r="Q144" s="26"/>
      <c r="R144" s="27" t="str">
        <f aca="false">IF(AND(ISNUMBER(P144),ISNUMBER(Q144)),P144-Q144,"")</f>
        <v/>
      </c>
      <c r="S144" s="24"/>
      <c r="T144" s="28" t="str">
        <f aca="false">IF(S144&lt;&gt;"",S144,IF(B144="","",IFERROR(IF(INDEX(Batches!$G$5:$G$64,MATCH(B144,Batches!$A$5:$A$64,0))="","",INDEX(Batches!$G$5:$G$64,MATCH(B144,Batches!$A$5:$A$64,0))),"")))</f>
        <v/>
      </c>
      <c r="U144" s="23"/>
      <c r="V144" s="24"/>
      <c r="W144" s="28" t="str">
        <f aca="false">IF(OR(X144="",X144="Pending"),"",IF(V144&lt;&gt;"",V144,IFERROR(IF(INDEX(Batches!$H$5:$H$64,MATCH(B144,Batches!$A$5:$A$64,0))="","",INDEX(Batches!$H$5:$H$64,MATCH(B144,Batches!$A$5:$A$64,0))),"")))</f>
        <v/>
      </c>
      <c r="X144" s="23"/>
      <c r="Y144" s="23"/>
      <c r="Z144" s="26"/>
      <c r="AA144" s="27" t="str">
        <f aca="false">IF(R144="","",IF(X144="Not accepted",R144,IF(OR(X144="Accepted",X144="Withdrawn by hospital"),IF(X144="Accepted",0,R144),IF(ISNUMBER(Z144),R144-Z144,""))))</f>
        <v/>
      </c>
      <c r="AB144" s="23"/>
      <c r="AC144" s="25"/>
      <c r="AD144" s="23"/>
      <c r="AE144" s="23"/>
      <c r="AF144" s="24"/>
      <c r="AG144" s="23"/>
      <c r="AH144" s="24"/>
      <c r="AI144" s="29" t="str">
        <f aca="false">IF(X144="Not accepted","Maintained",IF(X144="Partially accepted","Partially maintained",IF(X144="Accepted","Reversed",IF(X144="Withdrawn by hospital","Withdrawn by hospital",""))))</f>
        <v/>
      </c>
      <c r="AJ144" s="28" t="str">
        <f aca="false">IF(AI144="","",W144)</f>
        <v/>
      </c>
      <c r="AK144" s="29" t="str">
        <f aca="false">IF(AND(ISNUMBER(T144),ISNUMBER(W144)),W144-T144,"")</f>
        <v/>
      </c>
      <c r="AL144" s="29" t="str">
        <f aca="false">IF(A144="","",SUMIF(Actions!$C$5:$C$1004,A144,Actions!$F$5:$F$1004))</f>
        <v/>
      </c>
      <c r="AM144" s="25"/>
    </row>
    <row r="145" customFormat="false" ht="15" hidden="false" customHeight="false" outlineLevel="0" collapsed="false">
      <c r="A145" s="23"/>
      <c r="B145" s="23"/>
      <c r="C145" s="23"/>
      <c r="D145" s="23"/>
      <c r="E145" s="23"/>
      <c r="F145" s="23"/>
      <c r="G145" s="23"/>
      <c r="H145" s="23"/>
      <c r="I145" s="23"/>
      <c r="J145" s="23"/>
      <c r="K145" s="24"/>
      <c r="L145" s="23"/>
      <c r="M145" s="25"/>
      <c r="N145" s="25"/>
      <c r="O145" s="23"/>
      <c r="P145" s="26"/>
      <c r="Q145" s="26"/>
      <c r="R145" s="27" t="str">
        <f aca="false">IF(AND(ISNUMBER(P145),ISNUMBER(Q145)),P145-Q145,"")</f>
        <v/>
      </c>
      <c r="S145" s="24"/>
      <c r="T145" s="28" t="str">
        <f aca="false">IF(S145&lt;&gt;"",S145,IF(B145="","",IFERROR(IF(INDEX(Batches!$G$5:$G$64,MATCH(B145,Batches!$A$5:$A$64,0))="","",INDEX(Batches!$G$5:$G$64,MATCH(B145,Batches!$A$5:$A$64,0))),"")))</f>
        <v/>
      </c>
      <c r="U145" s="23"/>
      <c r="V145" s="24"/>
      <c r="W145" s="28" t="str">
        <f aca="false">IF(OR(X145="",X145="Pending"),"",IF(V145&lt;&gt;"",V145,IFERROR(IF(INDEX(Batches!$H$5:$H$64,MATCH(B145,Batches!$A$5:$A$64,0))="","",INDEX(Batches!$H$5:$H$64,MATCH(B145,Batches!$A$5:$A$64,0))),"")))</f>
        <v/>
      </c>
      <c r="X145" s="23"/>
      <c r="Y145" s="23"/>
      <c r="Z145" s="26"/>
      <c r="AA145" s="27" t="str">
        <f aca="false">IF(R145="","",IF(X145="Not accepted",R145,IF(OR(X145="Accepted",X145="Withdrawn by hospital"),IF(X145="Accepted",0,R145),IF(ISNUMBER(Z145),R145-Z145,""))))</f>
        <v/>
      </c>
      <c r="AB145" s="23"/>
      <c r="AC145" s="25"/>
      <c r="AD145" s="23"/>
      <c r="AE145" s="23"/>
      <c r="AF145" s="24"/>
      <c r="AG145" s="23"/>
      <c r="AH145" s="24"/>
      <c r="AI145" s="29" t="str">
        <f aca="false">IF(X145="Not accepted","Maintained",IF(X145="Partially accepted","Partially maintained",IF(X145="Accepted","Reversed",IF(X145="Withdrawn by hospital","Withdrawn by hospital",""))))</f>
        <v/>
      </c>
      <c r="AJ145" s="28" t="str">
        <f aca="false">IF(AI145="","",W145)</f>
        <v/>
      </c>
      <c r="AK145" s="29" t="str">
        <f aca="false">IF(AND(ISNUMBER(T145),ISNUMBER(W145)),W145-T145,"")</f>
        <v/>
      </c>
      <c r="AL145" s="29" t="str">
        <f aca="false">IF(A145="","",SUMIF(Actions!$C$5:$C$1004,A145,Actions!$F$5:$F$1004))</f>
        <v/>
      </c>
      <c r="AM145" s="25"/>
    </row>
    <row r="146" customFormat="false" ht="15" hidden="false" customHeight="false" outlineLevel="0" collapsed="false">
      <c r="A146" s="23"/>
      <c r="B146" s="23"/>
      <c r="C146" s="23"/>
      <c r="D146" s="23"/>
      <c r="E146" s="23"/>
      <c r="F146" s="23"/>
      <c r="G146" s="23"/>
      <c r="H146" s="23"/>
      <c r="I146" s="23"/>
      <c r="J146" s="23"/>
      <c r="K146" s="24"/>
      <c r="L146" s="23"/>
      <c r="M146" s="25"/>
      <c r="N146" s="25"/>
      <c r="O146" s="23"/>
      <c r="P146" s="26"/>
      <c r="Q146" s="26"/>
      <c r="R146" s="27" t="str">
        <f aca="false">IF(AND(ISNUMBER(P146),ISNUMBER(Q146)),P146-Q146,"")</f>
        <v/>
      </c>
      <c r="S146" s="24"/>
      <c r="T146" s="28" t="str">
        <f aca="false">IF(S146&lt;&gt;"",S146,IF(B146="","",IFERROR(IF(INDEX(Batches!$G$5:$G$64,MATCH(B146,Batches!$A$5:$A$64,0))="","",INDEX(Batches!$G$5:$G$64,MATCH(B146,Batches!$A$5:$A$64,0))),"")))</f>
        <v/>
      </c>
      <c r="U146" s="23"/>
      <c r="V146" s="24"/>
      <c r="W146" s="28" t="str">
        <f aca="false">IF(OR(X146="",X146="Pending"),"",IF(V146&lt;&gt;"",V146,IFERROR(IF(INDEX(Batches!$H$5:$H$64,MATCH(B146,Batches!$A$5:$A$64,0))="","",INDEX(Batches!$H$5:$H$64,MATCH(B146,Batches!$A$5:$A$64,0))),"")))</f>
        <v/>
      </c>
      <c r="X146" s="23"/>
      <c r="Y146" s="23"/>
      <c r="Z146" s="26"/>
      <c r="AA146" s="27" t="str">
        <f aca="false">IF(R146="","",IF(X146="Not accepted",R146,IF(OR(X146="Accepted",X146="Withdrawn by hospital"),IF(X146="Accepted",0,R146),IF(ISNUMBER(Z146),R146-Z146,""))))</f>
        <v/>
      </c>
      <c r="AB146" s="23"/>
      <c r="AC146" s="25"/>
      <c r="AD146" s="23"/>
      <c r="AE146" s="23"/>
      <c r="AF146" s="24"/>
      <c r="AG146" s="23"/>
      <c r="AH146" s="24"/>
      <c r="AI146" s="29" t="str">
        <f aca="false">IF(X146="Not accepted","Maintained",IF(X146="Partially accepted","Partially maintained",IF(X146="Accepted","Reversed",IF(X146="Withdrawn by hospital","Withdrawn by hospital",""))))</f>
        <v/>
      </c>
      <c r="AJ146" s="28" t="str">
        <f aca="false">IF(AI146="","",W146)</f>
        <v/>
      </c>
      <c r="AK146" s="29" t="str">
        <f aca="false">IF(AND(ISNUMBER(T146),ISNUMBER(W146)),W146-T146,"")</f>
        <v/>
      </c>
      <c r="AL146" s="29" t="str">
        <f aca="false">IF(A146="","",SUMIF(Actions!$C$5:$C$1004,A146,Actions!$F$5:$F$1004))</f>
        <v/>
      </c>
      <c r="AM146" s="25"/>
    </row>
    <row r="147" customFormat="false" ht="15" hidden="false" customHeight="false" outlineLevel="0" collapsed="false">
      <c r="A147" s="23"/>
      <c r="B147" s="23"/>
      <c r="C147" s="23"/>
      <c r="D147" s="23"/>
      <c r="E147" s="23"/>
      <c r="F147" s="23"/>
      <c r="G147" s="23"/>
      <c r="H147" s="23"/>
      <c r="I147" s="23"/>
      <c r="J147" s="23"/>
      <c r="K147" s="24"/>
      <c r="L147" s="23"/>
      <c r="M147" s="25"/>
      <c r="N147" s="25"/>
      <c r="O147" s="23"/>
      <c r="P147" s="26"/>
      <c r="Q147" s="26"/>
      <c r="R147" s="27" t="str">
        <f aca="false">IF(AND(ISNUMBER(P147),ISNUMBER(Q147)),P147-Q147,"")</f>
        <v/>
      </c>
      <c r="S147" s="24"/>
      <c r="T147" s="28" t="str">
        <f aca="false">IF(S147&lt;&gt;"",S147,IF(B147="","",IFERROR(IF(INDEX(Batches!$G$5:$G$64,MATCH(B147,Batches!$A$5:$A$64,0))="","",INDEX(Batches!$G$5:$G$64,MATCH(B147,Batches!$A$5:$A$64,0))),"")))</f>
        <v/>
      </c>
      <c r="U147" s="23"/>
      <c r="V147" s="24"/>
      <c r="W147" s="28" t="str">
        <f aca="false">IF(OR(X147="",X147="Pending"),"",IF(V147&lt;&gt;"",V147,IFERROR(IF(INDEX(Batches!$H$5:$H$64,MATCH(B147,Batches!$A$5:$A$64,0))="","",INDEX(Batches!$H$5:$H$64,MATCH(B147,Batches!$A$5:$A$64,0))),"")))</f>
        <v/>
      </c>
      <c r="X147" s="23"/>
      <c r="Y147" s="23"/>
      <c r="Z147" s="26"/>
      <c r="AA147" s="27" t="str">
        <f aca="false">IF(R147="","",IF(X147="Not accepted",R147,IF(OR(X147="Accepted",X147="Withdrawn by hospital"),IF(X147="Accepted",0,R147),IF(ISNUMBER(Z147),R147-Z147,""))))</f>
        <v/>
      </c>
      <c r="AB147" s="23"/>
      <c r="AC147" s="25"/>
      <c r="AD147" s="23"/>
      <c r="AE147" s="23"/>
      <c r="AF147" s="24"/>
      <c r="AG147" s="23"/>
      <c r="AH147" s="24"/>
      <c r="AI147" s="29" t="str">
        <f aca="false">IF(X147="Not accepted","Maintained",IF(X147="Partially accepted","Partially maintained",IF(X147="Accepted","Reversed",IF(X147="Withdrawn by hospital","Withdrawn by hospital",""))))</f>
        <v/>
      </c>
      <c r="AJ147" s="28" t="str">
        <f aca="false">IF(AI147="","",W147)</f>
        <v/>
      </c>
      <c r="AK147" s="29" t="str">
        <f aca="false">IF(AND(ISNUMBER(T147),ISNUMBER(W147)),W147-T147,"")</f>
        <v/>
      </c>
      <c r="AL147" s="29" t="str">
        <f aca="false">IF(A147="","",SUMIF(Actions!$C$5:$C$1004,A147,Actions!$F$5:$F$1004))</f>
        <v/>
      </c>
      <c r="AM147" s="25"/>
    </row>
    <row r="148" customFormat="false" ht="15" hidden="false" customHeight="false" outlineLevel="0" collapsed="false">
      <c r="A148" s="23"/>
      <c r="B148" s="23"/>
      <c r="C148" s="23"/>
      <c r="D148" s="23"/>
      <c r="E148" s="23"/>
      <c r="F148" s="23"/>
      <c r="G148" s="23"/>
      <c r="H148" s="23"/>
      <c r="I148" s="23"/>
      <c r="J148" s="23"/>
      <c r="K148" s="24"/>
      <c r="L148" s="23"/>
      <c r="M148" s="25"/>
      <c r="N148" s="25"/>
      <c r="O148" s="23"/>
      <c r="P148" s="26"/>
      <c r="Q148" s="26"/>
      <c r="R148" s="27" t="str">
        <f aca="false">IF(AND(ISNUMBER(P148),ISNUMBER(Q148)),P148-Q148,"")</f>
        <v/>
      </c>
      <c r="S148" s="24"/>
      <c r="T148" s="28" t="str">
        <f aca="false">IF(S148&lt;&gt;"",S148,IF(B148="","",IFERROR(IF(INDEX(Batches!$G$5:$G$64,MATCH(B148,Batches!$A$5:$A$64,0))="","",INDEX(Batches!$G$5:$G$64,MATCH(B148,Batches!$A$5:$A$64,0))),"")))</f>
        <v/>
      </c>
      <c r="U148" s="23"/>
      <c r="V148" s="24"/>
      <c r="W148" s="28" t="str">
        <f aca="false">IF(OR(X148="",X148="Pending"),"",IF(V148&lt;&gt;"",V148,IFERROR(IF(INDEX(Batches!$H$5:$H$64,MATCH(B148,Batches!$A$5:$A$64,0))="","",INDEX(Batches!$H$5:$H$64,MATCH(B148,Batches!$A$5:$A$64,0))),"")))</f>
        <v/>
      </c>
      <c r="X148" s="23"/>
      <c r="Y148" s="23"/>
      <c r="Z148" s="26"/>
      <c r="AA148" s="27" t="str">
        <f aca="false">IF(R148="","",IF(X148="Not accepted",R148,IF(OR(X148="Accepted",X148="Withdrawn by hospital"),IF(X148="Accepted",0,R148),IF(ISNUMBER(Z148),R148-Z148,""))))</f>
        <v/>
      </c>
      <c r="AB148" s="23"/>
      <c r="AC148" s="25"/>
      <c r="AD148" s="23"/>
      <c r="AE148" s="23"/>
      <c r="AF148" s="24"/>
      <c r="AG148" s="23"/>
      <c r="AH148" s="24"/>
      <c r="AI148" s="29" t="str">
        <f aca="false">IF(X148="Not accepted","Maintained",IF(X148="Partially accepted","Partially maintained",IF(X148="Accepted","Reversed",IF(X148="Withdrawn by hospital","Withdrawn by hospital",""))))</f>
        <v/>
      </c>
      <c r="AJ148" s="28" t="str">
        <f aca="false">IF(AI148="","",W148)</f>
        <v/>
      </c>
      <c r="AK148" s="29" t="str">
        <f aca="false">IF(AND(ISNUMBER(T148),ISNUMBER(W148)),W148-T148,"")</f>
        <v/>
      </c>
      <c r="AL148" s="29" t="str">
        <f aca="false">IF(A148="","",SUMIF(Actions!$C$5:$C$1004,A148,Actions!$F$5:$F$1004))</f>
        <v/>
      </c>
      <c r="AM148" s="25"/>
    </row>
    <row r="149" customFormat="false" ht="15" hidden="false" customHeight="false" outlineLevel="0" collapsed="false">
      <c r="A149" s="23"/>
      <c r="B149" s="23"/>
      <c r="C149" s="23"/>
      <c r="D149" s="23"/>
      <c r="E149" s="23"/>
      <c r="F149" s="23"/>
      <c r="G149" s="23"/>
      <c r="H149" s="23"/>
      <c r="I149" s="23"/>
      <c r="J149" s="23"/>
      <c r="K149" s="24"/>
      <c r="L149" s="23"/>
      <c r="M149" s="25"/>
      <c r="N149" s="25"/>
      <c r="O149" s="23"/>
      <c r="P149" s="26"/>
      <c r="Q149" s="26"/>
      <c r="R149" s="27" t="str">
        <f aca="false">IF(AND(ISNUMBER(P149),ISNUMBER(Q149)),P149-Q149,"")</f>
        <v/>
      </c>
      <c r="S149" s="24"/>
      <c r="T149" s="28" t="str">
        <f aca="false">IF(S149&lt;&gt;"",S149,IF(B149="","",IFERROR(IF(INDEX(Batches!$G$5:$G$64,MATCH(B149,Batches!$A$5:$A$64,0))="","",INDEX(Batches!$G$5:$G$64,MATCH(B149,Batches!$A$5:$A$64,0))),"")))</f>
        <v/>
      </c>
      <c r="U149" s="23"/>
      <c r="V149" s="24"/>
      <c r="W149" s="28" t="str">
        <f aca="false">IF(OR(X149="",X149="Pending"),"",IF(V149&lt;&gt;"",V149,IFERROR(IF(INDEX(Batches!$H$5:$H$64,MATCH(B149,Batches!$A$5:$A$64,0))="","",INDEX(Batches!$H$5:$H$64,MATCH(B149,Batches!$A$5:$A$64,0))),"")))</f>
        <v/>
      </c>
      <c r="X149" s="23"/>
      <c r="Y149" s="23"/>
      <c r="Z149" s="26"/>
      <c r="AA149" s="27" t="str">
        <f aca="false">IF(R149="","",IF(X149="Not accepted",R149,IF(OR(X149="Accepted",X149="Withdrawn by hospital"),IF(X149="Accepted",0,R149),IF(ISNUMBER(Z149),R149-Z149,""))))</f>
        <v/>
      </c>
      <c r="AB149" s="23"/>
      <c r="AC149" s="25"/>
      <c r="AD149" s="23"/>
      <c r="AE149" s="23"/>
      <c r="AF149" s="24"/>
      <c r="AG149" s="23"/>
      <c r="AH149" s="24"/>
      <c r="AI149" s="29" t="str">
        <f aca="false">IF(X149="Not accepted","Maintained",IF(X149="Partially accepted","Partially maintained",IF(X149="Accepted","Reversed",IF(X149="Withdrawn by hospital","Withdrawn by hospital",""))))</f>
        <v/>
      </c>
      <c r="AJ149" s="28" t="str">
        <f aca="false">IF(AI149="","",W149)</f>
        <v/>
      </c>
      <c r="AK149" s="29" t="str">
        <f aca="false">IF(AND(ISNUMBER(T149),ISNUMBER(W149)),W149-T149,"")</f>
        <v/>
      </c>
      <c r="AL149" s="29" t="str">
        <f aca="false">IF(A149="","",SUMIF(Actions!$C$5:$C$1004,A149,Actions!$F$5:$F$1004))</f>
        <v/>
      </c>
      <c r="AM149" s="25"/>
    </row>
    <row r="150" customFormat="false" ht="15" hidden="false" customHeight="false" outlineLevel="0" collapsed="false">
      <c r="A150" s="23"/>
      <c r="B150" s="23"/>
      <c r="C150" s="23"/>
      <c r="D150" s="23"/>
      <c r="E150" s="23"/>
      <c r="F150" s="23"/>
      <c r="G150" s="23"/>
      <c r="H150" s="23"/>
      <c r="I150" s="23"/>
      <c r="J150" s="23"/>
      <c r="K150" s="24"/>
      <c r="L150" s="23"/>
      <c r="M150" s="25"/>
      <c r="N150" s="25"/>
      <c r="O150" s="23"/>
      <c r="P150" s="26"/>
      <c r="Q150" s="26"/>
      <c r="R150" s="27" t="str">
        <f aca="false">IF(AND(ISNUMBER(P150),ISNUMBER(Q150)),P150-Q150,"")</f>
        <v/>
      </c>
      <c r="S150" s="24"/>
      <c r="T150" s="28" t="str">
        <f aca="false">IF(S150&lt;&gt;"",S150,IF(B150="","",IFERROR(IF(INDEX(Batches!$G$5:$G$64,MATCH(B150,Batches!$A$5:$A$64,0))="","",INDEX(Batches!$G$5:$G$64,MATCH(B150,Batches!$A$5:$A$64,0))),"")))</f>
        <v/>
      </c>
      <c r="U150" s="23"/>
      <c r="V150" s="24"/>
      <c r="W150" s="28" t="str">
        <f aca="false">IF(OR(X150="",X150="Pending"),"",IF(V150&lt;&gt;"",V150,IFERROR(IF(INDEX(Batches!$H$5:$H$64,MATCH(B150,Batches!$A$5:$A$64,0))="","",INDEX(Batches!$H$5:$H$64,MATCH(B150,Batches!$A$5:$A$64,0))),"")))</f>
        <v/>
      </c>
      <c r="X150" s="23"/>
      <c r="Y150" s="23"/>
      <c r="Z150" s="26"/>
      <c r="AA150" s="27" t="str">
        <f aca="false">IF(R150="","",IF(X150="Not accepted",R150,IF(OR(X150="Accepted",X150="Withdrawn by hospital"),IF(X150="Accepted",0,R150),IF(ISNUMBER(Z150),R150-Z150,""))))</f>
        <v/>
      </c>
      <c r="AB150" s="23"/>
      <c r="AC150" s="25"/>
      <c r="AD150" s="23"/>
      <c r="AE150" s="23"/>
      <c r="AF150" s="24"/>
      <c r="AG150" s="23"/>
      <c r="AH150" s="24"/>
      <c r="AI150" s="29" t="str">
        <f aca="false">IF(X150="Not accepted","Maintained",IF(X150="Partially accepted","Partially maintained",IF(X150="Accepted","Reversed",IF(X150="Withdrawn by hospital","Withdrawn by hospital",""))))</f>
        <v/>
      </c>
      <c r="AJ150" s="28" t="str">
        <f aca="false">IF(AI150="","",W150)</f>
        <v/>
      </c>
      <c r="AK150" s="29" t="str">
        <f aca="false">IF(AND(ISNUMBER(T150),ISNUMBER(W150)),W150-T150,"")</f>
        <v/>
      </c>
      <c r="AL150" s="29" t="str">
        <f aca="false">IF(A150="","",SUMIF(Actions!$C$5:$C$1004,A150,Actions!$F$5:$F$1004))</f>
        <v/>
      </c>
      <c r="AM150" s="25"/>
    </row>
    <row r="151" customFormat="false" ht="15" hidden="false" customHeight="false" outlineLevel="0" collapsed="false">
      <c r="A151" s="23"/>
      <c r="B151" s="23"/>
      <c r="C151" s="23"/>
      <c r="D151" s="23"/>
      <c r="E151" s="23"/>
      <c r="F151" s="23"/>
      <c r="G151" s="23"/>
      <c r="H151" s="23"/>
      <c r="I151" s="23"/>
      <c r="J151" s="23"/>
      <c r="K151" s="24"/>
      <c r="L151" s="23"/>
      <c r="M151" s="25"/>
      <c r="N151" s="25"/>
      <c r="O151" s="23"/>
      <c r="P151" s="26"/>
      <c r="Q151" s="26"/>
      <c r="R151" s="27" t="str">
        <f aca="false">IF(AND(ISNUMBER(P151),ISNUMBER(Q151)),P151-Q151,"")</f>
        <v/>
      </c>
      <c r="S151" s="24"/>
      <c r="T151" s="28" t="str">
        <f aca="false">IF(S151&lt;&gt;"",S151,IF(B151="","",IFERROR(IF(INDEX(Batches!$G$5:$G$64,MATCH(B151,Batches!$A$5:$A$64,0))="","",INDEX(Batches!$G$5:$G$64,MATCH(B151,Batches!$A$5:$A$64,0))),"")))</f>
        <v/>
      </c>
      <c r="U151" s="23"/>
      <c r="V151" s="24"/>
      <c r="W151" s="28" t="str">
        <f aca="false">IF(OR(X151="",X151="Pending"),"",IF(V151&lt;&gt;"",V151,IFERROR(IF(INDEX(Batches!$H$5:$H$64,MATCH(B151,Batches!$A$5:$A$64,0))="","",INDEX(Batches!$H$5:$H$64,MATCH(B151,Batches!$A$5:$A$64,0))),"")))</f>
        <v/>
      </c>
      <c r="X151" s="23"/>
      <c r="Y151" s="23"/>
      <c r="Z151" s="26"/>
      <c r="AA151" s="27" t="str">
        <f aca="false">IF(R151="","",IF(X151="Not accepted",R151,IF(OR(X151="Accepted",X151="Withdrawn by hospital"),IF(X151="Accepted",0,R151),IF(ISNUMBER(Z151),R151-Z151,""))))</f>
        <v/>
      </c>
      <c r="AB151" s="23"/>
      <c r="AC151" s="25"/>
      <c r="AD151" s="23"/>
      <c r="AE151" s="23"/>
      <c r="AF151" s="24"/>
      <c r="AG151" s="23"/>
      <c r="AH151" s="24"/>
      <c r="AI151" s="29" t="str">
        <f aca="false">IF(X151="Not accepted","Maintained",IF(X151="Partially accepted","Partially maintained",IF(X151="Accepted","Reversed",IF(X151="Withdrawn by hospital","Withdrawn by hospital",""))))</f>
        <v/>
      </c>
      <c r="AJ151" s="28" t="str">
        <f aca="false">IF(AI151="","",W151)</f>
        <v/>
      </c>
      <c r="AK151" s="29" t="str">
        <f aca="false">IF(AND(ISNUMBER(T151),ISNUMBER(W151)),W151-T151,"")</f>
        <v/>
      </c>
      <c r="AL151" s="29" t="str">
        <f aca="false">IF(A151="","",SUMIF(Actions!$C$5:$C$1004,A151,Actions!$F$5:$F$1004))</f>
        <v/>
      </c>
      <c r="AM151" s="25"/>
    </row>
    <row r="152" customFormat="false" ht="15" hidden="false" customHeight="false" outlineLevel="0" collapsed="false">
      <c r="A152" s="23"/>
      <c r="B152" s="23"/>
      <c r="C152" s="23"/>
      <c r="D152" s="23"/>
      <c r="E152" s="23"/>
      <c r="F152" s="23"/>
      <c r="G152" s="23"/>
      <c r="H152" s="23"/>
      <c r="I152" s="23"/>
      <c r="J152" s="23"/>
      <c r="K152" s="24"/>
      <c r="L152" s="23"/>
      <c r="M152" s="25"/>
      <c r="N152" s="25"/>
      <c r="O152" s="23"/>
      <c r="P152" s="26"/>
      <c r="Q152" s="26"/>
      <c r="R152" s="27" t="str">
        <f aca="false">IF(AND(ISNUMBER(P152),ISNUMBER(Q152)),P152-Q152,"")</f>
        <v/>
      </c>
      <c r="S152" s="24"/>
      <c r="T152" s="28" t="str">
        <f aca="false">IF(S152&lt;&gt;"",S152,IF(B152="","",IFERROR(IF(INDEX(Batches!$G$5:$G$64,MATCH(B152,Batches!$A$5:$A$64,0))="","",INDEX(Batches!$G$5:$G$64,MATCH(B152,Batches!$A$5:$A$64,0))),"")))</f>
        <v/>
      </c>
      <c r="U152" s="23"/>
      <c r="V152" s="24"/>
      <c r="W152" s="28" t="str">
        <f aca="false">IF(OR(X152="",X152="Pending"),"",IF(V152&lt;&gt;"",V152,IFERROR(IF(INDEX(Batches!$H$5:$H$64,MATCH(B152,Batches!$A$5:$A$64,0))="","",INDEX(Batches!$H$5:$H$64,MATCH(B152,Batches!$A$5:$A$64,0))),"")))</f>
        <v/>
      </c>
      <c r="X152" s="23"/>
      <c r="Y152" s="23"/>
      <c r="Z152" s="26"/>
      <c r="AA152" s="27" t="str">
        <f aca="false">IF(R152="","",IF(X152="Not accepted",R152,IF(OR(X152="Accepted",X152="Withdrawn by hospital"),IF(X152="Accepted",0,R152),IF(ISNUMBER(Z152),R152-Z152,""))))</f>
        <v/>
      </c>
      <c r="AB152" s="23"/>
      <c r="AC152" s="25"/>
      <c r="AD152" s="23"/>
      <c r="AE152" s="23"/>
      <c r="AF152" s="24"/>
      <c r="AG152" s="23"/>
      <c r="AH152" s="24"/>
      <c r="AI152" s="29" t="str">
        <f aca="false">IF(X152="Not accepted","Maintained",IF(X152="Partially accepted","Partially maintained",IF(X152="Accepted","Reversed",IF(X152="Withdrawn by hospital","Withdrawn by hospital",""))))</f>
        <v/>
      </c>
      <c r="AJ152" s="28" t="str">
        <f aca="false">IF(AI152="","",W152)</f>
        <v/>
      </c>
      <c r="AK152" s="29" t="str">
        <f aca="false">IF(AND(ISNUMBER(T152),ISNUMBER(W152)),W152-T152,"")</f>
        <v/>
      </c>
      <c r="AL152" s="29" t="str">
        <f aca="false">IF(A152="","",SUMIF(Actions!$C$5:$C$1004,A152,Actions!$F$5:$F$1004))</f>
        <v/>
      </c>
      <c r="AM152" s="25"/>
    </row>
    <row r="153" customFormat="false" ht="15" hidden="false" customHeight="false" outlineLevel="0" collapsed="false">
      <c r="A153" s="23"/>
      <c r="B153" s="23"/>
      <c r="C153" s="23"/>
      <c r="D153" s="23"/>
      <c r="E153" s="23"/>
      <c r="F153" s="23"/>
      <c r="G153" s="23"/>
      <c r="H153" s="23"/>
      <c r="I153" s="23"/>
      <c r="J153" s="23"/>
      <c r="K153" s="24"/>
      <c r="L153" s="23"/>
      <c r="M153" s="25"/>
      <c r="N153" s="25"/>
      <c r="O153" s="23"/>
      <c r="P153" s="26"/>
      <c r="Q153" s="26"/>
      <c r="R153" s="27" t="str">
        <f aca="false">IF(AND(ISNUMBER(P153),ISNUMBER(Q153)),P153-Q153,"")</f>
        <v/>
      </c>
      <c r="S153" s="24"/>
      <c r="T153" s="28" t="str">
        <f aca="false">IF(S153&lt;&gt;"",S153,IF(B153="","",IFERROR(IF(INDEX(Batches!$G$5:$G$64,MATCH(B153,Batches!$A$5:$A$64,0))="","",INDEX(Batches!$G$5:$G$64,MATCH(B153,Batches!$A$5:$A$64,0))),"")))</f>
        <v/>
      </c>
      <c r="U153" s="23"/>
      <c r="V153" s="24"/>
      <c r="W153" s="28" t="str">
        <f aca="false">IF(OR(X153="",X153="Pending"),"",IF(V153&lt;&gt;"",V153,IFERROR(IF(INDEX(Batches!$H$5:$H$64,MATCH(B153,Batches!$A$5:$A$64,0))="","",INDEX(Batches!$H$5:$H$64,MATCH(B153,Batches!$A$5:$A$64,0))),"")))</f>
        <v/>
      </c>
      <c r="X153" s="23"/>
      <c r="Y153" s="23"/>
      <c r="Z153" s="26"/>
      <c r="AA153" s="27" t="str">
        <f aca="false">IF(R153="","",IF(X153="Not accepted",R153,IF(OR(X153="Accepted",X153="Withdrawn by hospital"),IF(X153="Accepted",0,R153),IF(ISNUMBER(Z153),R153-Z153,""))))</f>
        <v/>
      </c>
      <c r="AB153" s="23"/>
      <c r="AC153" s="25"/>
      <c r="AD153" s="23"/>
      <c r="AE153" s="23"/>
      <c r="AF153" s="24"/>
      <c r="AG153" s="23"/>
      <c r="AH153" s="24"/>
      <c r="AI153" s="29" t="str">
        <f aca="false">IF(X153="Not accepted","Maintained",IF(X153="Partially accepted","Partially maintained",IF(X153="Accepted","Reversed",IF(X153="Withdrawn by hospital","Withdrawn by hospital",""))))</f>
        <v/>
      </c>
      <c r="AJ153" s="28" t="str">
        <f aca="false">IF(AI153="","",W153)</f>
        <v/>
      </c>
      <c r="AK153" s="29" t="str">
        <f aca="false">IF(AND(ISNUMBER(T153),ISNUMBER(W153)),W153-T153,"")</f>
        <v/>
      </c>
      <c r="AL153" s="29" t="str">
        <f aca="false">IF(A153="","",SUMIF(Actions!$C$5:$C$1004,A153,Actions!$F$5:$F$1004))</f>
        <v/>
      </c>
      <c r="AM153" s="25"/>
    </row>
    <row r="154" customFormat="false" ht="15" hidden="false" customHeight="false" outlineLevel="0" collapsed="false">
      <c r="A154" s="23"/>
      <c r="B154" s="23"/>
      <c r="C154" s="23"/>
      <c r="D154" s="23"/>
      <c r="E154" s="23"/>
      <c r="F154" s="23"/>
      <c r="G154" s="23"/>
      <c r="H154" s="23"/>
      <c r="I154" s="23"/>
      <c r="J154" s="23"/>
      <c r="K154" s="24"/>
      <c r="L154" s="23"/>
      <c r="M154" s="25"/>
      <c r="N154" s="25"/>
      <c r="O154" s="23"/>
      <c r="P154" s="26"/>
      <c r="Q154" s="26"/>
      <c r="R154" s="27" t="str">
        <f aca="false">IF(AND(ISNUMBER(P154),ISNUMBER(Q154)),P154-Q154,"")</f>
        <v/>
      </c>
      <c r="S154" s="24"/>
      <c r="T154" s="28" t="str">
        <f aca="false">IF(S154&lt;&gt;"",S154,IF(B154="","",IFERROR(IF(INDEX(Batches!$G$5:$G$64,MATCH(B154,Batches!$A$5:$A$64,0))="","",INDEX(Batches!$G$5:$G$64,MATCH(B154,Batches!$A$5:$A$64,0))),"")))</f>
        <v/>
      </c>
      <c r="U154" s="23"/>
      <c r="V154" s="24"/>
      <c r="W154" s="28" t="str">
        <f aca="false">IF(OR(X154="",X154="Pending"),"",IF(V154&lt;&gt;"",V154,IFERROR(IF(INDEX(Batches!$H$5:$H$64,MATCH(B154,Batches!$A$5:$A$64,0))="","",INDEX(Batches!$H$5:$H$64,MATCH(B154,Batches!$A$5:$A$64,0))),"")))</f>
        <v/>
      </c>
      <c r="X154" s="23"/>
      <c r="Y154" s="23"/>
      <c r="Z154" s="26"/>
      <c r="AA154" s="27" t="str">
        <f aca="false">IF(R154="","",IF(X154="Not accepted",R154,IF(OR(X154="Accepted",X154="Withdrawn by hospital"),IF(X154="Accepted",0,R154),IF(ISNUMBER(Z154),R154-Z154,""))))</f>
        <v/>
      </c>
      <c r="AB154" s="23"/>
      <c r="AC154" s="25"/>
      <c r="AD154" s="23"/>
      <c r="AE154" s="23"/>
      <c r="AF154" s="24"/>
      <c r="AG154" s="23"/>
      <c r="AH154" s="24"/>
      <c r="AI154" s="29" t="str">
        <f aca="false">IF(X154="Not accepted","Maintained",IF(X154="Partially accepted","Partially maintained",IF(X154="Accepted","Reversed",IF(X154="Withdrawn by hospital","Withdrawn by hospital",""))))</f>
        <v/>
      </c>
      <c r="AJ154" s="28" t="str">
        <f aca="false">IF(AI154="","",W154)</f>
        <v/>
      </c>
      <c r="AK154" s="29" t="str">
        <f aca="false">IF(AND(ISNUMBER(T154),ISNUMBER(W154)),W154-T154,"")</f>
        <v/>
      </c>
      <c r="AL154" s="29" t="str">
        <f aca="false">IF(A154="","",SUMIF(Actions!$C$5:$C$1004,A154,Actions!$F$5:$F$1004))</f>
        <v/>
      </c>
      <c r="AM154" s="25"/>
    </row>
    <row r="155" customFormat="false" ht="15" hidden="false" customHeight="false" outlineLevel="0" collapsed="false">
      <c r="A155" s="23"/>
      <c r="B155" s="23"/>
      <c r="C155" s="23"/>
      <c r="D155" s="23"/>
      <c r="E155" s="23"/>
      <c r="F155" s="23"/>
      <c r="G155" s="23"/>
      <c r="H155" s="23"/>
      <c r="I155" s="23"/>
      <c r="J155" s="23"/>
      <c r="K155" s="24"/>
      <c r="L155" s="23"/>
      <c r="M155" s="25"/>
      <c r="N155" s="25"/>
      <c r="O155" s="23"/>
      <c r="P155" s="26"/>
      <c r="Q155" s="26"/>
      <c r="R155" s="27" t="str">
        <f aca="false">IF(AND(ISNUMBER(P155),ISNUMBER(Q155)),P155-Q155,"")</f>
        <v/>
      </c>
      <c r="S155" s="24"/>
      <c r="T155" s="28" t="str">
        <f aca="false">IF(S155&lt;&gt;"",S155,IF(B155="","",IFERROR(IF(INDEX(Batches!$G$5:$G$64,MATCH(B155,Batches!$A$5:$A$64,0))="","",INDEX(Batches!$G$5:$G$64,MATCH(B155,Batches!$A$5:$A$64,0))),"")))</f>
        <v/>
      </c>
      <c r="U155" s="23"/>
      <c r="V155" s="24"/>
      <c r="W155" s="28" t="str">
        <f aca="false">IF(OR(X155="",X155="Pending"),"",IF(V155&lt;&gt;"",V155,IFERROR(IF(INDEX(Batches!$H$5:$H$64,MATCH(B155,Batches!$A$5:$A$64,0))="","",INDEX(Batches!$H$5:$H$64,MATCH(B155,Batches!$A$5:$A$64,0))),"")))</f>
        <v/>
      </c>
      <c r="X155" s="23"/>
      <c r="Y155" s="23"/>
      <c r="Z155" s="26"/>
      <c r="AA155" s="27" t="str">
        <f aca="false">IF(R155="","",IF(X155="Not accepted",R155,IF(OR(X155="Accepted",X155="Withdrawn by hospital"),IF(X155="Accepted",0,R155),IF(ISNUMBER(Z155),R155-Z155,""))))</f>
        <v/>
      </c>
      <c r="AB155" s="23"/>
      <c r="AC155" s="25"/>
      <c r="AD155" s="23"/>
      <c r="AE155" s="23"/>
      <c r="AF155" s="24"/>
      <c r="AG155" s="23"/>
      <c r="AH155" s="24"/>
      <c r="AI155" s="29" t="str">
        <f aca="false">IF(X155="Not accepted","Maintained",IF(X155="Partially accepted","Partially maintained",IF(X155="Accepted","Reversed",IF(X155="Withdrawn by hospital","Withdrawn by hospital",""))))</f>
        <v/>
      </c>
      <c r="AJ155" s="28" t="str">
        <f aca="false">IF(AI155="","",W155)</f>
        <v/>
      </c>
      <c r="AK155" s="29" t="str">
        <f aca="false">IF(AND(ISNUMBER(T155),ISNUMBER(W155)),W155-T155,"")</f>
        <v/>
      </c>
      <c r="AL155" s="29" t="str">
        <f aca="false">IF(A155="","",SUMIF(Actions!$C$5:$C$1004,A155,Actions!$F$5:$F$1004))</f>
        <v/>
      </c>
      <c r="AM155" s="25"/>
    </row>
    <row r="156" customFormat="false" ht="15" hidden="false" customHeight="false" outlineLevel="0" collapsed="false">
      <c r="A156" s="23"/>
      <c r="B156" s="23"/>
      <c r="C156" s="23"/>
      <c r="D156" s="23"/>
      <c r="E156" s="23"/>
      <c r="F156" s="23"/>
      <c r="G156" s="23"/>
      <c r="H156" s="23"/>
      <c r="I156" s="23"/>
      <c r="J156" s="23"/>
      <c r="K156" s="24"/>
      <c r="L156" s="23"/>
      <c r="M156" s="25"/>
      <c r="N156" s="25"/>
      <c r="O156" s="23"/>
      <c r="P156" s="26"/>
      <c r="Q156" s="26"/>
      <c r="R156" s="27" t="str">
        <f aca="false">IF(AND(ISNUMBER(P156),ISNUMBER(Q156)),P156-Q156,"")</f>
        <v/>
      </c>
      <c r="S156" s="24"/>
      <c r="T156" s="28" t="str">
        <f aca="false">IF(S156&lt;&gt;"",S156,IF(B156="","",IFERROR(IF(INDEX(Batches!$G$5:$G$64,MATCH(B156,Batches!$A$5:$A$64,0))="","",INDEX(Batches!$G$5:$G$64,MATCH(B156,Batches!$A$5:$A$64,0))),"")))</f>
        <v/>
      </c>
      <c r="U156" s="23"/>
      <c r="V156" s="24"/>
      <c r="W156" s="28" t="str">
        <f aca="false">IF(OR(X156="",X156="Pending"),"",IF(V156&lt;&gt;"",V156,IFERROR(IF(INDEX(Batches!$H$5:$H$64,MATCH(B156,Batches!$A$5:$A$64,0))="","",INDEX(Batches!$H$5:$H$64,MATCH(B156,Batches!$A$5:$A$64,0))),"")))</f>
        <v/>
      </c>
      <c r="X156" s="23"/>
      <c r="Y156" s="23"/>
      <c r="Z156" s="26"/>
      <c r="AA156" s="27" t="str">
        <f aca="false">IF(R156="","",IF(X156="Not accepted",R156,IF(OR(X156="Accepted",X156="Withdrawn by hospital"),IF(X156="Accepted",0,R156),IF(ISNUMBER(Z156),R156-Z156,""))))</f>
        <v/>
      </c>
      <c r="AB156" s="23"/>
      <c r="AC156" s="25"/>
      <c r="AD156" s="23"/>
      <c r="AE156" s="23"/>
      <c r="AF156" s="24"/>
      <c r="AG156" s="23"/>
      <c r="AH156" s="24"/>
      <c r="AI156" s="29" t="str">
        <f aca="false">IF(X156="Not accepted","Maintained",IF(X156="Partially accepted","Partially maintained",IF(X156="Accepted","Reversed",IF(X156="Withdrawn by hospital","Withdrawn by hospital",""))))</f>
        <v/>
      </c>
      <c r="AJ156" s="28" t="str">
        <f aca="false">IF(AI156="","",W156)</f>
        <v/>
      </c>
      <c r="AK156" s="29" t="str">
        <f aca="false">IF(AND(ISNUMBER(T156),ISNUMBER(W156)),W156-T156,"")</f>
        <v/>
      </c>
      <c r="AL156" s="29" t="str">
        <f aca="false">IF(A156="","",SUMIF(Actions!$C$5:$C$1004,A156,Actions!$F$5:$F$1004))</f>
        <v/>
      </c>
      <c r="AM156" s="25"/>
    </row>
    <row r="157" customFormat="false" ht="15" hidden="false" customHeight="false" outlineLevel="0" collapsed="false">
      <c r="A157" s="23"/>
      <c r="B157" s="23"/>
      <c r="C157" s="23"/>
      <c r="D157" s="23"/>
      <c r="E157" s="23"/>
      <c r="F157" s="23"/>
      <c r="G157" s="23"/>
      <c r="H157" s="23"/>
      <c r="I157" s="23"/>
      <c r="J157" s="23"/>
      <c r="K157" s="24"/>
      <c r="L157" s="23"/>
      <c r="M157" s="25"/>
      <c r="N157" s="25"/>
      <c r="O157" s="23"/>
      <c r="P157" s="26"/>
      <c r="Q157" s="26"/>
      <c r="R157" s="27" t="str">
        <f aca="false">IF(AND(ISNUMBER(P157),ISNUMBER(Q157)),P157-Q157,"")</f>
        <v/>
      </c>
      <c r="S157" s="24"/>
      <c r="T157" s="28" t="str">
        <f aca="false">IF(S157&lt;&gt;"",S157,IF(B157="","",IFERROR(IF(INDEX(Batches!$G$5:$G$64,MATCH(B157,Batches!$A$5:$A$64,0))="","",INDEX(Batches!$G$5:$G$64,MATCH(B157,Batches!$A$5:$A$64,0))),"")))</f>
        <v/>
      </c>
      <c r="U157" s="23"/>
      <c r="V157" s="24"/>
      <c r="W157" s="28" t="str">
        <f aca="false">IF(OR(X157="",X157="Pending"),"",IF(V157&lt;&gt;"",V157,IFERROR(IF(INDEX(Batches!$H$5:$H$64,MATCH(B157,Batches!$A$5:$A$64,0))="","",INDEX(Batches!$H$5:$H$64,MATCH(B157,Batches!$A$5:$A$64,0))),"")))</f>
        <v/>
      </c>
      <c r="X157" s="23"/>
      <c r="Y157" s="23"/>
      <c r="Z157" s="26"/>
      <c r="AA157" s="27" t="str">
        <f aca="false">IF(R157="","",IF(X157="Not accepted",R157,IF(OR(X157="Accepted",X157="Withdrawn by hospital"),IF(X157="Accepted",0,R157),IF(ISNUMBER(Z157),R157-Z157,""))))</f>
        <v/>
      </c>
      <c r="AB157" s="23"/>
      <c r="AC157" s="25"/>
      <c r="AD157" s="23"/>
      <c r="AE157" s="23"/>
      <c r="AF157" s="24"/>
      <c r="AG157" s="23"/>
      <c r="AH157" s="24"/>
      <c r="AI157" s="29" t="str">
        <f aca="false">IF(X157="Not accepted","Maintained",IF(X157="Partially accepted","Partially maintained",IF(X157="Accepted","Reversed",IF(X157="Withdrawn by hospital","Withdrawn by hospital",""))))</f>
        <v/>
      </c>
      <c r="AJ157" s="28" t="str">
        <f aca="false">IF(AI157="","",W157)</f>
        <v/>
      </c>
      <c r="AK157" s="29" t="str">
        <f aca="false">IF(AND(ISNUMBER(T157),ISNUMBER(W157)),W157-T157,"")</f>
        <v/>
      </c>
      <c r="AL157" s="29" t="str">
        <f aca="false">IF(A157="","",SUMIF(Actions!$C$5:$C$1004,A157,Actions!$F$5:$F$1004))</f>
        <v/>
      </c>
      <c r="AM157" s="25"/>
    </row>
    <row r="158" customFormat="false" ht="15" hidden="false" customHeight="false" outlineLevel="0" collapsed="false">
      <c r="A158" s="23"/>
      <c r="B158" s="23"/>
      <c r="C158" s="23"/>
      <c r="D158" s="23"/>
      <c r="E158" s="23"/>
      <c r="F158" s="23"/>
      <c r="G158" s="23"/>
      <c r="H158" s="23"/>
      <c r="I158" s="23"/>
      <c r="J158" s="23"/>
      <c r="K158" s="24"/>
      <c r="L158" s="23"/>
      <c r="M158" s="25"/>
      <c r="N158" s="25"/>
      <c r="O158" s="23"/>
      <c r="P158" s="26"/>
      <c r="Q158" s="26"/>
      <c r="R158" s="27" t="str">
        <f aca="false">IF(AND(ISNUMBER(P158),ISNUMBER(Q158)),P158-Q158,"")</f>
        <v/>
      </c>
      <c r="S158" s="24"/>
      <c r="T158" s="28" t="str">
        <f aca="false">IF(S158&lt;&gt;"",S158,IF(B158="","",IFERROR(IF(INDEX(Batches!$G$5:$G$64,MATCH(B158,Batches!$A$5:$A$64,0))="","",INDEX(Batches!$G$5:$G$64,MATCH(B158,Batches!$A$5:$A$64,0))),"")))</f>
        <v/>
      </c>
      <c r="U158" s="23"/>
      <c r="V158" s="24"/>
      <c r="W158" s="28" t="str">
        <f aca="false">IF(OR(X158="",X158="Pending"),"",IF(V158&lt;&gt;"",V158,IFERROR(IF(INDEX(Batches!$H$5:$H$64,MATCH(B158,Batches!$A$5:$A$64,0))="","",INDEX(Batches!$H$5:$H$64,MATCH(B158,Batches!$A$5:$A$64,0))),"")))</f>
        <v/>
      </c>
      <c r="X158" s="23"/>
      <c r="Y158" s="23"/>
      <c r="Z158" s="26"/>
      <c r="AA158" s="27" t="str">
        <f aca="false">IF(R158="","",IF(X158="Not accepted",R158,IF(OR(X158="Accepted",X158="Withdrawn by hospital"),IF(X158="Accepted",0,R158),IF(ISNUMBER(Z158),R158-Z158,""))))</f>
        <v/>
      </c>
      <c r="AB158" s="23"/>
      <c r="AC158" s="25"/>
      <c r="AD158" s="23"/>
      <c r="AE158" s="23"/>
      <c r="AF158" s="24"/>
      <c r="AG158" s="23"/>
      <c r="AH158" s="24"/>
      <c r="AI158" s="29" t="str">
        <f aca="false">IF(X158="Not accepted","Maintained",IF(X158="Partially accepted","Partially maintained",IF(X158="Accepted","Reversed",IF(X158="Withdrawn by hospital","Withdrawn by hospital",""))))</f>
        <v/>
      </c>
      <c r="AJ158" s="28" t="str">
        <f aca="false">IF(AI158="","",W158)</f>
        <v/>
      </c>
      <c r="AK158" s="29" t="str">
        <f aca="false">IF(AND(ISNUMBER(T158),ISNUMBER(W158)),W158-T158,"")</f>
        <v/>
      </c>
      <c r="AL158" s="29" t="str">
        <f aca="false">IF(A158="","",SUMIF(Actions!$C$5:$C$1004,A158,Actions!$F$5:$F$1004))</f>
        <v/>
      </c>
      <c r="AM158" s="25"/>
    </row>
    <row r="159" customFormat="false" ht="15" hidden="false" customHeight="false" outlineLevel="0" collapsed="false">
      <c r="A159" s="23"/>
      <c r="B159" s="23"/>
      <c r="C159" s="23"/>
      <c r="D159" s="23"/>
      <c r="E159" s="23"/>
      <c r="F159" s="23"/>
      <c r="G159" s="23"/>
      <c r="H159" s="23"/>
      <c r="I159" s="23"/>
      <c r="J159" s="23"/>
      <c r="K159" s="24"/>
      <c r="L159" s="23"/>
      <c r="M159" s="25"/>
      <c r="N159" s="25"/>
      <c r="O159" s="23"/>
      <c r="P159" s="26"/>
      <c r="Q159" s="26"/>
      <c r="R159" s="27" t="str">
        <f aca="false">IF(AND(ISNUMBER(P159),ISNUMBER(Q159)),P159-Q159,"")</f>
        <v/>
      </c>
      <c r="S159" s="24"/>
      <c r="T159" s="28" t="str">
        <f aca="false">IF(S159&lt;&gt;"",S159,IF(B159="","",IFERROR(IF(INDEX(Batches!$G$5:$G$64,MATCH(B159,Batches!$A$5:$A$64,0))="","",INDEX(Batches!$G$5:$G$64,MATCH(B159,Batches!$A$5:$A$64,0))),"")))</f>
        <v/>
      </c>
      <c r="U159" s="23"/>
      <c r="V159" s="24"/>
      <c r="W159" s="28" t="str">
        <f aca="false">IF(OR(X159="",X159="Pending"),"",IF(V159&lt;&gt;"",V159,IFERROR(IF(INDEX(Batches!$H$5:$H$64,MATCH(B159,Batches!$A$5:$A$64,0))="","",INDEX(Batches!$H$5:$H$64,MATCH(B159,Batches!$A$5:$A$64,0))),"")))</f>
        <v/>
      </c>
      <c r="X159" s="23"/>
      <c r="Y159" s="23"/>
      <c r="Z159" s="26"/>
      <c r="AA159" s="27" t="str">
        <f aca="false">IF(R159="","",IF(X159="Not accepted",R159,IF(OR(X159="Accepted",X159="Withdrawn by hospital"),IF(X159="Accepted",0,R159),IF(ISNUMBER(Z159),R159-Z159,""))))</f>
        <v/>
      </c>
      <c r="AB159" s="23"/>
      <c r="AC159" s="25"/>
      <c r="AD159" s="23"/>
      <c r="AE159" s="23"/>
      <c r="AF159" s="24"/>
      <c r="AG159" s="23"/>
      <c r="AH159" s="24"/>
      <c r="AI159" s="29" t="str">
        <f aca="false">IF(X159="Not accepted","Maintained",IF(X159="Partially accepted","Partially maintained",IF(X159="Accepted","Reversed",IF(X159="Withdrawn by hospital","Withdrawn by hospital",""))))</f>
        <v/>
      </c>
      <c r="AJ159" s="28" t="str">
        <f aca="false">IF(AI159="","",W159)</f>
        <v/>
      </c>
      <c r="AK159" s="29" t="str">
        <f aca="false">IF(AND(ISNUMBER(T159),ISNUMBER(W159)),W159-T159,"")</f>
        <v/>
      </c>
      <c r="AL159" s="29" t="str">
        <f aca="false">IF(A159="","",SUMIF(Actions!$C$5:$C$1004,A159,Actions!$F$5:$F$1004))</f>
        <v/>
      </c>
      <c r="AM159" s="25"/>
    </row>
    <row r="160" customFormat="false" ht="15" hidden="false" customHeight="false" outlineLevel="0" collapsed="false">
      <c r="A160" s="23"/>
      <c r="B160" s="23"/>
      <c r="C160" s="23"/>
      <c r="D160" s="23"/>
      <c r="E160" s="23"/>
      <c r="F160" s="23"/>
      <c r="G160" s="23"/>
      <c r="H160" s="23"/>
      <c r="I160" s="23"/>
      <c r="J160" s="23"/>
      <c r="K160" s="24"/>
      <c r="L160" s="23"/>
      <c r="M160" s="25"/>
      <c r="N160" s="25"/>
      <c r="O160" s="23"/>
      <c r="P160" s="26"/>
      <c r="Q160" s="26"/>
      <c r="R160" s="27" t="str">
        <f aca="false">IF(AND(ISNUMBER(P160),ISNUMBER(Q160)),P160-Q160,"")</f>
        <v/>
      </c>
      <c r="S160" s="24"/>
      <c r="T160" s="28" t="str">
        <f aca="false">IF(S160&lt;&gt;"",S160,IF(B160="","",IFERROR(IF(INDEX(Batches!$G$5:$G$64,MATCH(B160,Batches!$A$5:$A$64,0))="","",INDEX(Batches!$G$5:$G$64,MATCH(B160,Batches!$A$5:$A$64,0))),"")))</f>
        <v/>
      </c>
      <c r="U160" s="23"/>
      <c r="V160" s="24"/>
      <c r="W160" s="28" t="str">
        <f aca="false">IF(OR(X160="",X160="Pending"),"",IF(V160&lt;&gt;"",V160,IFERROR(IF(INDEX(Batches!$H$5:$H$64,MATCH(B160,Batches!$A$5:$A$64,0))="","",INDEX(Batches!$H$5:$H$64,MATCH(B160,Batches!$A$5:$A$64,0))),"")))</f>
        <v/>
      </c>
      <c r="X160" s="23"/>
      <c r="Y160" s="23"/>
      <c r="Z160" s="26"/>
      <c r="AA160" s="27" t="str">
        <f aca="false">IF(R160="","",IF(X160="Not accepted",R160,IF(OR(X160="Accepted",X160="Withdrawn by hospital"),IF(X160="Accepted",0,R160),IF(ISNUMBER(Z160),R160-Z160,""))))</f>
        <v/>
      </c>
      <c r="AB160" s="23"/>
      <c r="AC160" s="25"/>
      <c r="AD160" s="23"/>
      <c r="AE160" s="23"/>
      <c r="AF160" s="24"/>
      <c r="AG160" s="23"/>
      <c r="AH160" s="24"/>
      <c r="AI160" s="29" t="str">
        <f aca="false">IF(X160="Not accepted","Maintained",IF(X160="Partially accepted","Partially maintained",IF(X160="Accepted","Reversed",IF(X160="Withdrawn by hospital","Withdrawn by hospital",""))))</f>
        <v/>
      </c>
      <c r="AJ160" s="28" t="str">
        <f aca="false">IF(AI160="","",W160)</f>
        <v/>
      </c>
      <c r="AK160" s="29" t="str">
        <f aca="false">IF(AND(ISNUMBER(T160),ISNUMBER(W160)),W160-T160,"")</f>
        <v/>
      </c>
      <c r="AL160" s="29" t="str">
        <f aca="false">IF(A160="","",SUMIF(Actions!$C$5:$C$1004,A160,Actions!$F$5:$F$1004))</f>
        <v/>
      </c>
      <c r="AM160" s="25"/>
    </row>
    <row r="161" customFormat="false" ht="15" hidden="false" customHeight="false" outlineLevel="0" collapsed="false">
      <c r="A161" s="23"/>
      <c r="B161" s="23"/>
      <c r="C161" s="23"/>
      <c r="D161" s="23"/>
      <c r="E161" s="23"/>
      <c r="F161" s="23"/>
      <c r="G161" s="23"/>
      <c r="H161" s="23"/>
      <c r="I161" s="23"/>
      <c r="J161" s="23"/>
      <c r="K161" s="24"/>
      <c r="L161" s="23"/>
      <c r="M161" s="25"/>
      <c r="N161" s="25"/>
      <c r="O161" s="23"/>
      <c r="P161" s="26"/>
      <c r="Q161" s="26"/>
      <c r="R161" s="27" t="str">
        <f aca="false">IF(AND(ISNUMBER(P161),ISNUMBER(Q161)),P161-Q161,"")</f>
        <v/>
      </c>
      <c r="S161" s="24"/>
      <c r="T161" s="28" t="str">
        <f aca="false">IF(S161&lt;&gt;"",S161,IF(B161="","",IFERROR(IF(INDEX(Batches!$G$5:$G$64,MATCH(B161,Batches!$A$5:$A$64,0))="","",INDEX(Batches!$G$5:$G$64,MATCH(B161,Batches!$A$5:$A$64,0))),"")))</f>
        <v/>
      </c>
      <c r="U161" s="23"/>
      <c r="V161" s="24"/>
      <c r="W161" s="28" t="str">
        <f aca="false">IF(OR(X161="",X161="Pending"),"",IF(V161&lt;&gt;"",V161,IFERROR(IF(INDEX(Batches!$H$5:$H$64,MATCH(B161,Batches!$A$5:$A$64,0))="","",INDEX(Batches!$H$5:$H$64,MATCH(B161,Batches!$A$5:$A$64,0))),"")))</f>
        <v/>
      </c>
      <c r="X161" s="23"/>
      <c r="Y161" s="23"/>
      <c r="Z161" s="26"/>
      <c r="AA161" s="27" t="str">
        <f aca="false">IF(R161="","",IF(X161="Not accepted",R161,IF(OR(X161="Accepted",X161="Withdrawn by hospital"),IF(X161="Accepted",0,R161),IF(ISNUMBER(Z161),R161-Z161,""))))</f>
        <v/>
      </c>
      <c r="AB161" s="23"/>
      <c r="AC161" s="25"/>
      <c r="AD161" s="23"/>
      <c r="AE161" s="23"/>
      <c r="AF161" s="24"/>
      <c r="AG161" s="23"/>
      <c r="AH161" s="24"/>
      <c r="AI161" s="29" t="str">
        <f aca="false">IF(X161="Not accepted","Maintained",IF(X161="Partially accepted","Partially maintained",IF(X161="Accepted","Reversed",IF(X161="Withdrawn by hospital","Withdrawn by hospital",""))))</f>
        <v/>
      </c>
      <c r="AJ161" s="28" t="str">
        <f aca="false">IF(AI161="","",W161)</f>
        <v/>
      </c>
      <c r="AK161" s="29" t="str">
        <f aca="false">IF(AND(ISNUMBER(T161),ISNUMBER(W161)),W161-T161,"")</f>
        <v/>
      </c>
      <c r="AL161" s="29" t="str">
        <f aca="false">IF(A161="","",SUMIF(Actions!$C$5:$C$1004,A161,Actions!$F$5:$F$1004))</f>
        <v/>
      </c>
      <c r="AM161" s="25"/>
    </row>
    <row r="162" customFormat="false" ht="15" hidden="false" customHeight="false" outlineLevel="0" collapsed="false">
      <c r="A162" s="23"/>
      <c r="B162" s="23"/>
      <c r="C162" s="23"/>
      <c r="D162" s="23"/>
      <c r="E162" s="23"/>
      <c r="F162" s="23"/>
      <c r="G162" s="23"/>
      <c r="H162" s="23"/>
      <c r="I162" s="23"/>
      <c r="J162" s="23"/>
      <c r="K162" s="24"/>
      <c r="L162" s="23"/>
      <c r="M162" s="25"/>
      <c r="N162" s="25"/>
      <c r="O162" s="23"/>
      <c r="P162" s="26"/>
      <c r="Q162" s="26"/>
      <c r="R162" s="27" t="str">
        <f aca="false">IF(AND(ISNUMBER(P162),ISNUMBER(Q162)),P162-Q162,"")</f>
        <v/>
      </c>
      <c r="S162" s="24"/>
      <c r="T162" s="28" t="str">
        <f aca="false">IF(S162&lt;&gt;"",S162,IF(B162="","",IFERROR(IF(INDEX(Batches!$G$5:$G$64,MATCH(B162,Batches!$A$5:$A$64,0))="","",INDEX(Batches!$G$5:$G$64,MATCH(B162,Batches!$A$5:$A$64,0))),"")))</f>
        <v/>
      </c>
      <c r="U162" s="23"/>
      <c r="V162" s="24"/>
      <c r="W162" s="28" t="str">
        <f aca="false">IF(OR(X162="",X162="Pending"),"",IF(V162&lt;&gt;"",V162,IFERROR(IF(INDEX(Batches!$H$5:$H$64,MATCH(B162,Batches!$A$5:$A$64,0))="","",INDEX(Batches!$H$5:$H$64,MATCH(B162,Batches!$A$5:$A$64,0))),"")))</f>
        <v/>
      </c>
      <c r="X162" s="23"/>
      <c r="Y162" s="23"/>
      <c r="Z162" s="26"/>
      <c r="AA162" s="27" t="str">
        <f aca="false">IF(R162="","",IF(X162="Not accepted",R162,IF(OR(X162="Accepted",X162="Withdrawn by hospital"),IF(X162="Accepted",0,R162),IF(ISNUMBER(Z162),R162-Z162,""))))</f>
        <v/>
      </c>
      <c r="AB162" s="23"/>
      <c r="AC162" s="25"/>
      <c r="AD162" s="23"/>
      <c r="AE162" s="23"/>
      <c r="AF162" s="24"/>
      <c r="AG162" s="23"/>
      <c r="AH162" s="24"/>
      <c r="AI162" s="29" t="str">
        <f aca="false">IF(X162="Not accepted","Maintained",IF(X162="Partially accepted","Partially maintained",IF(X162="Accepted","Reversed",IF(X162="Withdrawn by hospital","Withdrawn by hospital",""))))</f>
        <v/>
      </c>
      <c r="AJ162" s="28" t="str">
        <f aca="false">IF(AI162="","",W162)</f>
        <v/>
      </c>
      <c r="AK162" s="29" t="str">
        <f aca="false">IF(AND(ISNUMBER(T162),ISNUMBER(W162)),W162-T162,"")</f>
        <v/>
      </c>
      <c r="AL162" s="29" t="str">
        <f aca="false">IF(A162="","",SUMIF(Actions!$C$5:$C$1004,A162,Actions!$F$5:$F$1004))</f>
        <v/>
      </c>
      <c r="AM162" s="25"/>
    </row>
    <row r="163" customFormat="false" ht="15" hidden="false" customHeight="false" outlineLevel="0" collapsed="false">
      <c r="A163" s="23"/>
      <c r="B163" s="23"/>
      <c r="C163" s="23"/>
      <c r="D163" s="23"/>
      <c r="E163" s="23"/>
      <c r="F163" s="23"/>
      <c r="G163" s="23"/>
      <c r="H163" s="23"/>
      <c r="I163" s="23"/>
      <c r="J163" s="23"/>
      <c r="K163" s="24"/>
      <c r="L163" s="23"/>
      <c r="M163" s="25"/>
      <c r="N163" s="25"/>
      <c r="O163" s="23"/>
      <c r="P163" s="26"/>
      <c r="Q163" s="26"/>
      <c r="R163" s="27" t="str">
        <f aca="false">IF(AND(ISNUMBER(P163),ISNUMBER(Q163)),P163-Q163,"")</f>
        <v/>
      </c>
      <c r="S163" s="24"/>
      <c r="T163" s="28" t="str">
        <f aca="false">IF(S163&lt;&gt;"",S163,IF(B163="","",IFERROR(IF(INDEX(Batches!$G$5:$G$64,MATCH(B163,Batches!$A$5:$A$64,0))="","",INDEX(Batches!$G$5:$G$64,MATCH(B163,Batches!$A$5:$A$64,0))),"")))</f>
        <v/>
      </c>
      <c r="U163" s="23"/>
      <c r="V163" s="24"/>
      <c r="W163" s="28" t="str">
        <f aca="false">IF(OR(X163="",X163="Pending"),"",IF(V163&lt;&gt;"",V163,IFERROR(IF(INDEX(Batches!$H$5:$H$64,MATCH(B163,Batches!$A$5:$A$64,0))="","",INDEX(Batches!$H$5:$H$64,MATCH(B163,Batches!$A$5:$A$64,0))),"")))</f>
        <v/>
      </c>
      <c r="X163" s="23"/>
      <c r="Y163" s="23"/>
      <c r="Z163" s="26"/>
      <c r="AA163" s="27" t="str">
        <f aca="false">IF(R163="","",IF(X163="Not accepted",R163,IF(OR(X163="Accepted",X163="Withdrawn by hospital"),IF(X163="Accepted",0,R163),IF(ISNUMBER(Z163),R163-Z163,""))))</f>
        <v/>
      </c>
      <c r="AB163" s="23"/>
      <c r="AC163" s="25"/>
      <c r="AD163" s="23"/>
      <c r="AE163" s="23"/>
      <c r="AF163" s="24"/>
      <c r="AG163" s="23"/>
      <c r="AH163" s="24"/>
      <c r="AI163" s="29" t="str">
        <f aca="false">IF(X163="Not accepted","Maintained",IF(X163="Partially accepted","Partially maintained",IF(X163="Accepted","Reversed",IF(X163="Withdrawn by hospital","Withdrawn by hospital",""))))</f>
        <v/>
      </c>
      <c r="AJ163" s="28" t="str">
        <f aca="false">IF(AI163="","",W163)</f>
        <v/>
      </c>
      <c r="AK163" s="29" t="str">
        <f aca="false">IF(AND(ISNUMBER(T163),ISNUMBER(W163)),W163-T163,"")</f>
        <v/>
      </c>
      <c r="AL163" s="29" t="str">
        <f aca="false">IF(A163="","",SUMIF(Actions!$C$5:$C$1004,A163,Actions!$F$5:$F$1004))</f>
        <v/>
      </c>
      <c r="AM163" s="25"/>
    </row>
    <row r="164" customFormat="false" ht="15" hidden="false" customHeight="false" outlineLevel="0" collapsed="false">
      <c r="A164" s="23"/>
      <c r="B164" s="23"/>
      <c r="C164" s="23"/>
      <c r="D164" s="23"/>
      <c r="E164" s="23"/>
      <c r="F164" s="23"/>
      <c r="G164" s="23"/>
      <c r="H164" s="23"/>
      <c r="I164" s="23"/>
      <c r="J164" s="23"/>
      <c r="K164" s="24"/>
      <c r="L164" s="23"/>
      <c r="M164" s="25"/>
      <c r="N164" s="25"/>
      <c r="O164" s="23"/>
      <c r="P164" s="26"/>
      <c r="Q164" s="26"/>
      <c r="R164" s="27" t="str">
        <f aca="false">IF(AND(ISNUMBER(P164),ISNUMBER(Q164)),P164-Q164,"")</f>
        <v/>
      </c>
      <c r="S164" s="24"/>
      <c r="T164" s="28" t="str">
        <f aca="false">IF(S164&lt;&gt;"",S164,IF(B164="","",IFERROR(IF(INDEX(Batches!$G$5:$G$64,MATCH(B164,Batches!$A$5:$A$64,0))="","",INDEX(Batches!$G$5:$G$64,MATCH(B164,Batches!$A$5:$A$64,0))),"")))</f>
        <v/>
      </c>
      <c r="U164" s="23"/>
      <c r="V164" s="24"/>
      <c r="W164" s="28" t="str">
        <f aca="false">IF(OR(X164="",X164="Pending"),"",IF(V164&lt;&gt;"",V164,IFERROR(IF(INDEX(Batches!$H$5:$H$64,MATCH(B164,Batches!$A$5:$A$64,0))="","",INDEX(Batches!$H$5:$H$64,MATCH(B164,Batches!$A$5:$A$64,0))),"")))</f>
        <v/>
      </c>
      <c r="X164" s="23"/>
      <c r="Y164" s="23"/>
      <c r="Z164" s="26"/>
      <c r="AA164" s="27" t="str">
        <f aca="false">IF(R164="","",IF(X164="Not accepted",R164,IF(OR(X164="Accepted",X164="Withdrawn by hospital"),IF(X164="Accepted",0,R164),IF(ISNUMBER(Z164),R164-Z164,""))))</f>
        <v/>
      </c>
      <c r="AB164" s="23"/>
      <c r="AC164" s="25"/>
      <c r="AD164" s="23"/>
      <c r="AE164" s="23"/>
      <c r="AF164" s="24"/>
      <c r="AG164" s="23"/>
      <c r="AH164" s="24"/>
      <c r="AI164" s="29" t="str">
        <f aca="false">IF(X164="Not accepted","Maintained",IF(X164="Partially accepted","Partially maintained",IF(X164="Accepted","Reversed",IF(X164="Withdrawn by hospital","Withdrawn by hospital",""))))</f>
        <v/>
      </c>
      <c r="AJ164" s="28" t="str">
        <f aca="false">IF(AI164="","",W164)</f>
        <v/>
      </c>
      <c r="AK164" s="29" t="str">
        <f aca="false">IF(AND(ISNUMBER(T164),ISNUMBER(W164)),W164-T164,"")</f>
        <v/>
      </c>
      <c r="AL164" s="29" t="str">
        <f aca="false">IF(A164="","",SUMIF(Actions!$C$5:$C$1004,A164,Actions!$F$5:$F$1004))</f>
        <v/>
      </c>
      <c r="AM164" s="25"/>
    </row>
    <row r="165" customFormat="false" ht="15" hidden="false" customHeight="false" outlineLevel="0" collapsed="false">
      <c r="A165" s="23"/>
      <c r="B165" s="23"/>
      <c r="C165" s="23"/>
      <c r="D165" s="23"/>
      <c r="E165" s="23"/>
      <c r="F165" s="23"/>
      <c r="G165" s="23"/>
      <c r="H165" s="23"/>
      <c r="I165" s="23"/>
      <c r="J165" s="23"/>
      <c r="K165" s="24"/>
      <c r="L165" s="23"/>
      <c r="M165" s="25"/>
      <c r="N165" s="25"/>
      <c r="O165" s="23"/>
      <c r="P165" s="26"/>
      <c r="Q165" s="26"/>
      <c r="R165" s="27" t="str">
        <f aca="false">IF(AND(ISNUMBER(P165),ISNUMBER(Q165)),P165-Q165,"")</f>
        <v/>
      </c>
      <c r="S165" s="24"/>
      <c r="T165" s="28" t="str">
        <f aca="false">IF(S165&lt;&gt;"",S165,IF(B165="","",IFERROR(IF(INDEX(Batches!$G$5:$G$64,MATCH(B165,Batches!$A$5:$A$64,0))="","",INDEX(Batches!$G$5:$G$64,MATCH(B165,Batches!$A$5:$A$64,0))),"")))</f>
        <v/>
      </c>
      <c r="U165" s="23"/>
      <c r="V165" s="24"/>
      <c r="W165" s="28" t="str">
        <f aca="false">IF(OR(X165="",X165="Pending"),"",IF(V165&lt;&gt;"",V165,IFERROR(IF(INDEX(Batches!$H$5:$H$64,MATCH(B165,Batches!$A$5:$A$64,0))="","",INDEX(Batches!$H$5:$H$64,MATCH(B165,Batches!$A$5:$A$64,0))),"")))</f>
        <v/>
      </c>
      <c r="X165" s="23"/>
      <c r="Y165" s="23"/>
      <c r="Z165" s="26"/>
      <c r="AA165" s="27" t="str">
        <f aca="false">IF(R165="","",IF(X165="Not accepted",R165,IF(OR(X165="Accepted",X165="Withdrawn by hospital"),IF(X165="Accepted",0,R165),IF(ISNUMBER(Z165),R165-Z165,""))))</f>
        <v/>
      </c>
      <c r="AB165" s="23"/>
      <c r="AC165" s="25"/>
      <c r="AD165" s="23"/>
      <c r="AE165" s="23"/>
      <c r="AF165" s="24"/>
      <c r="AG165" s="23"/>
      <c r="AH165" s="24"/>
      <c r="AI165" s="29" t="str">
        <f aca="false">IF(X165="Not accepted","Maintained",IF(X165="Partially accepted","Partially maintained",IF(X165="Accepted","Reversed",IF(X165="Withdrawn by hospital","Withdrawn by hospital",""))))</f>
        <v/>
      </c>
      <c r="AJ165" s="28" t="str">
        <f aca="false">IF(AI165="","",W165)</f>
        <v/>
      </c>
      <c r="AK165" s="29" t="str">
        <f aca="false">IF(AND(ISNUMBER(T165),ISNUMBER(W165)),W165-T165,"")</f>
        <v/>
      </c>
      <c r="AL165" s="29" t="str">
        <f aca="false">IF(A165="","",SUMIF(Actions!$C$5:$C$1004,A165,Actions!$F$5:$F$1004))</f>
        <v/>
      </c>
      <c r="AM165" s="25"/>
    </row>
    <row r="166" customFormat="false" ht="15" hidden="false" customHeight="false" outlineLevel="0" collapsed="false">
      <c r="A166" s="23"/>
      <c r="B166" s="23"/>
      <c r="C166" s="23"/>
      <c r="D166" s="23"/>
      <c r="E166" s="23"/>
      <c r="F166" s="23"/>
      <c r="G166" s="23"/>
      <c r="H166" s="23"/>
      <c r="I166" s="23"/>
      <c r="J166" s="23"/>
      <c r="K166" s="24"/>
      <c r="L166" s="23"/>
      <c r="M166" s="25"/>
      <c r="N166" s="25"/>
      <c r="O166" s="23"/>
      <c r="P166" s="26"/>
      <c r="Q166" s="26"/>
      <c r="R166" s="27" t="str">
        <f aca="false">IF(AND(ISNUMBER(P166),ISNUMBER(Q166)),P166-Q166,"")</f>
        <v/>
      </c>
      <c r="S166" s="24"/>
      <c r="T166" s="28" t="str">
        <f aca="false">IF(S166&lt;&gt;"",S166,IF(B166="","",IFERROR(IF(INDEX(Batches!$G$5:$G$64,MATCH(B166,Batches!$A$5:$A$64,0))="","",INDEX(Batches!$G$5:$G$64,MATCH(B166,Batches!$A$5:$A$64,0))),"")))</f>
        <v/>
      </c>
      <c r="U166" s="23"/>
      <c r="V166" s="24"/>
      <c r="W166" s="28" t="str">
        <f aca="false">IF(OR(X166="",X166="Pending"),"",IF(V166&lt;&gt;"",V166,IFERROR(IF(INDEX(Batches!$H$5:$H$64,MATCH(B166,Batches!$A$5:$A$64,0))="","",INDEX(Batches!$H$5:$H$64,MATCH(B166,Batches!$A$5:$A$64,0))),"")))</f>
        <v/>
      </c>
      <c r="X166" s="23"/>
      <c r="Y166" s="23"/>
      <c r="Z166" s="26"/>
      <c r="AA166" s="27" t="str">
        <f aca="false">IF(R166="","",IF(X166="Not accepted",R166,IF(OR(X166="Accepted",X166="Withdrawn by hospital"),IF(X166="Accepted",0,R166),IF(ISNUMBER(Z166),R166-Z166,""))))</f>
        <v/>
      </c>
      <c r="AB166" s="23"/>
      <c r="AC166" s="25"/>
      <c r="AD166" s="23"/>
      <c r="AE166" s="23"/>
      <c r="AF166" s="24"/>
      <c r="AG166" s="23"/>
      <c r="AH166" s="24"/>
      <c r="AI166" s="29" t="str">
        <f aca="false">IF(X166="Not accepted","Maintained",IF(X166="Partially accepted","Partially maintained",IF(X166="Accepted","Reversed",IF(X166="Withdrawn by hospital","Withdrawn by hospital",""))))</f>
        <v/>
      </c>
      <c r="AJ166" s="28" t="str">
        <f aca="false">IF(AI166="","",W166)</f>
        <v/>
      </c>
      <c r="AK166" s="29" t="str">
        <f aca="false">IF(AND(ISNUMBER(T166),ISNUMBER(W166)),W166-T166,"")</f>
        <v/>
      </c>
      <c r="AL166" s="29" t="str">
        <f aca="false">IF(A166="","",SUMIF(Actions!$C$5:$C$1004,A166,Actions!$F$5:$F$1004))</f>
        <v/>
      </c>
      <c r="AM166" s="25"/>
    </row>
    <row r="167" customFormat="false" ht="15" hidden="false" customHeight="false" outlineLevel="0" collapsed="false">
      <c r="A167" s="23"/>
      <c r="B167" s="23"/>
      <c r="C167" s="23"/>
      <c r="D167" s="23"/>
      <c r="E167" s="23"/>
      <c r="F167" s="23"/>
      <c r="G167" s="23"/>
      <c r="H167" s="23"/>
      <c r="I167" s="23"/>
      <c r="J167" s="23"/>
      <c r="K167" s="24"/>
      <c r="L167" s="23"/>
      <c r="M167" s="25"/>
      <c r="N167" s="25"/>
      <c r="O167" s="23"/>
      <c r="P167" s="26"/>
      <c r="Q167" s="26"/>
      <c r="R167" s="27" t="str">
        <f aca="false">IF(AND(ISNUMBER(P167),ISNUMBER(Q167)),P167-Q167,"")</f>
        <v/>
      </c>
      <c r="S167" s="24"/>
      <c r="T167" s="28" t="str">
        <f aca="false">IF(S167&lt;&gt;"",S167,IF(B167="","",IFERROR(IF(INDEX(Batches!$G$5:$G$64,MATCH(B167,Batches!$A$5:$A$64,0))="","",INDEX(Batches!$G$5:$G$64,MATCH(B167,Batches!$A$5:$A$64,0))),"")))</f>
        <v/>
      </c>
      <c r="U167" s="23"/>
      <c r="V167" s="24"/>
      <c r="W167" s="28" t="str">
        <f aca="false">IF(OR(X167="",X167="Pending"),"",IF(V167&lt;&gt;"",V167,IFERROR(IF(INDEX(Batches!$H$5:$H$64,MATCH(B167,Batches!$A$5:$A$64,0))="","",INDEX(Batches!$H$5:$H$64,MATCH(B167,Batches!$A$5:$A$64,0))),"")))</f>
        <v/>
      </c>
      <c r="X167" s="23"/>
      <c r="Y167" s="23"/>
      <c r="Z167" s="26"/>
      <c r="AA167" s="27" t="str">
        <f aca="false">IF(R167="","",IF(X167="Not accepted",R167,IF(OR(X167="Accepted",X167="Withdrawn by hospital"),IF(X167="Accepted",0,R167),IF(ISNUMBER(Z167),R167-Z167,""))))</f>
        <v/>
      </c>
      <c r="AB167" s="23"/>
      <c r="AC167" s="25"/>
      <c r="AD167" s="23"/>
      <c r="AE167" s="23"/>
      <c r="AF167" s="24"/>
      <c r="AG167" s="23"/>
      <c r="AH167" s="24"/>
      <c r="AI167" s="29" t="str">
        <f aca="false">IF(X167="Not accepted","Maintained",IF(X167="Partially accepted","Partially maintained",IF(X167="Accepted","Reversed",IF(X167="Withdrawn by hospital","Withdrawn by hospital",""))))</f>
        <v/>
      </c>
      <c r="AJ167" s="28" t="str">
        <f aca="false">IF(AI167="","",W167)</f>
        <v/>
      </c>
      <c r="AK167" s="29" t="str">
        <f aca="false">IF(AND(ISNUMBER(T167),ISNUMBER(W167)),W167-T167,"")</f>
        <v/>
      </c>
      <c r="AL167" s="29" t="str">
        <f aca="false">IF(A167="","",SUMIF(Actions!$C$5:$C$1004,A167,Actions!$F$5:$F$1004))</f>
        <v/>
      </c>
      <c r="AM167" s="25"/>
    </row>
    <row r="168" customFormat="false" ht="15" hidden="false" customHeight="false" outlineLevel="0" collapsed="false">
      <c r="A168" s="23"/>
      <c r="B168" s="23"/>
      <c r="C168" s="23"/>
      <c r="D168" s="23"/>
      <c r="E168" s="23"/>
      <c r="F168" s="23"/>
      <c r="G168" s="23"/>
      <c r="H168" s="23"/>
      <c r="I168" s="23"/>
      <c r="J168" s="23"/>
      <c r="K168" s="24"/>
      <c r="L168" s="23"/>
      <c r="M168" s="25"/>
      <c r="N168" s="25"/>
      <c r="O168" s="23"/>
      <c r="P168" s="26"/>
      <c r="Q168" s="26"/>
      <c r="R168" s="27" t="str">
        <f aca="false">IF(AND(ISNUMBER(P168),ISNUMBER(Q168)),P168-Q168,"")</f>
        <v/>
      </c>
      <c r="S168" s="24"/>
      <c r="T168" s="28" t="str">
        <f aca="false">IF(S168&lt;&gt;"",S168,IF(B168="","",IFERROR(IF(INDEX(Batches!$G$5:$G$64,MATCH(B168,Batches!$A$5:$A$64,0))="","",INDEX(Batches!$G$5:$G$64,MATCH(B168,Batches!$A$5:$A$64,0))),"")))</f>
        <v/>
      </c>
      <c r="U168" s="23"/>
      <c r="V168" s="24"/>
      <c r="W168" s="28" t="str">
        <f aca="false">IF(OR(X168="",X168="Pending"),"",IF(V168&lt;&gt;"",V168,IFERROR(IF(INDEX(Batches!$H$5:$H$64,MATCH(B168,Batches!$A$5:$A$64,0))="","",INDEX(Batches!$H$5:$H$64,MATCH(B168,Batches!$A$5:$A$64,0))),"")))</f>
        <v/>
      </c>
      <c r="X168" s="23"/>
      <c r="Y168" s="23"/>
      <c r="Z168" s="26"/>
      <c r="AA168" s="27" t="str">
        <f aca="false">IF(R168="","",IF(X168="Not accepted",R168,IF(OR(X168="Accepted",X168="Withdrawn by hospital"),IF(X168="Accepted",0,R168),IF(ISNUMBER(Z168),R168-Z168,""))))</f>
        <v/>
      </c>
      <c r="AB168" s="23"/>
      <c r="AC168" s="25"/>
      <c r="AD168" s="23"/>
      <c r="AE168" s="23"/>
      <c r="AF168" s="24"/>
      <c r="AG168" s="23"/>
      <c r="AH168" s="24"/>
      <c r="AI168" s="29" t="str">
        <f aca="false">IF(X168="Not accepted","Maintained",IF(X168="Partially accepted","Partially maintained",IF(X168="Accepted","Reversed",IF(X168="Withdrawn by hospital","Withdrawn by hospital",""))))</f>
        <v/>
      </c>
      <c r="AJ168" s="28" t="str">
        <f aca="false">IF(AI168="","",W168)</f>
        <v/>
      </c>
      <c r="AK168" s="29" t="str">
        <f aca="false">IF(AND(ISNUMBER(T168),ISNUMBER(W168)),W168-T168,"")</f>
        <v/>
      </c>
      <c r="AL168" s="29" t="str">
        <f aca="false">IF(A168="","",SUMIF(Actions!$C$5:$C$1004,A168,Actions!$F$5:$F$1004))</f>
        <v/>
      </c>
      <c r="AM168" s="25"/>
    </row>
    <row r="169" customFormat="false" ht="15" hidden="false" customHeight="false" outlineLevel="0" collapsed="false">
      <c r="A169" s="23"/>
      <c r="B169" s="23"/>
      <c r="C169" s="23"/>
      <c r="D169" s="23"/>
      <c r="E169" s="23"/>
      <c r="F169" s="23"/>
      <c r="G169" s="23"/>
      <c r="H169" s="23"/>
      <c r="I169" s="23"/>
      <c r="J169" s="23"/>
      <c r="K169" s="24"/>
      <c r="L169" s="23"/>
      <c r="M169" s="25"/>
      <c r="N169" s="25"/>
      <c r="O169" s="23"/>
      <c r="P169" s="26"/>
      <c r="Q169" s="26"/>
      <c r="R169" s="27" t="str">
        <f aca="false">IF(AND(ISNUMBER(P169),ISNUMBER(Q169)),P169-Q169,"")</f>
        <v/>
      </c>
      <c r="S169" s="24"/>
      <c r="T169" s="28" t="str">
        <f aca="false">IF(S169&lt;&gt;"",S169,IF(B169="","",IFERROR(IF(INDEX(Batches!$G$5:$G$64,MATCH(B169,Batches!$A$5:$A$64,0))="","",INDEX(Batches!$G$5:$G$64,MATCH(B169,Batches!$A$5:$A$64,0))),"")))</f>
        <v/>
      </c>
      <c r="U169" s="23"/>
      <c r="V169" s="24"/>
      <c r="W169" s="28" t="str">
        <f aca="false">IF(OR(X169="",X169="Pending"),"",IF(V169&lt;&gt;"",V169,IFERROR(IF(INDEX(Batches!$H$5:$H$64,MATCH(B169,Batches!$A$5:$A$64,0))="","",INDEX(Batches!$H$5:$H$64,MATCH(B169,Batches!$A$5:$A$64,0))),"")))</f>
        <v/>
      </c>
      <c r="X169" s="23"/>
      <c r="Y169" s="23"/>
      <c r="Z169" s="26"/>
      <c r="AA169" s="27" t="str">
        <f aca="false">IF(R169="","",IF(X169="Not accepted",R169,IF(OR(X169="Accepted",X169="Withdrawn by hospital"),IF(X169="Accepted",0,R169),IF(ISNUMBER(Z169),R169-Z169,""))))</f>
        <v/>
      </c>
      <c r="AB169" s="23"/>
      <c r="AC169" s="25"/>
      <c r="AD169" s="23"/>
      <c r="AE169" s="23"/>
      <c r="AF169" s="24"/>
      <c r="AG169" s="23"/>
      <c r="AH169" s="24"/>
      <c r="AI169" s="29" t="str">
        <f aca="false">IF(X169="Not accepted","Maintained",IF(X169="Partially accepted","Partially maintained",IF(X169="Accepted","Reversed",IF(X169="Withdrawn by hospital","Withdrawn by hospital",""))))</f>
        <v/>
      </c>
      <c r="AJ169" s="28" t="str">
        <f aca="false">IF(AI169="","",W169)</f>
        <v/>
      </c>
      <c r="AK169" s="29" t="str">
        <f aca="false">IF(AND(ISNUMBER(T169),ISNUMBER(W169)),W169-T169,"")</f>
        <v/>
      </c>
      <c r="AL169" s="29" t="str">
        <f aca="false">IF(A169="","",SUMIF(Actions!$C$5:$C$1004,A169,Actions!$F$5:$F$1004))</f>
        <v/>
      </c>
      <c r="AM169" s="25"/>
    </row>
    <row r="170" customFormat="false" ht="15" hidden="false" customHeight="false" outlineLevel="0" collapsed="false">
      <c r="A170" s="23"/>
      <c r="B170" s="23"/>
      <c r="C170" s="23"/>
      <c r="D170" s="23"/>
      <c r="E170" s="23"/>
      <c r="F170" s="23"/>
      <c r="G170" s="23"/>
      <c r="H170" s="23"/>
      <c r="I170" s="23"/>
      <c r="J170" s="23"/>
      <c r="K170" s="24"/>
      <c r="L170" s="23"/>
      <c r="M170" s="25"/>
      <c r="N170" s="25"/>
      <c r="O170" s="23"/>
      <c r="P170" s="26"/>
      <c r="Q170" s="26"/>
      <c r="R170" s="27" t="str">
        <f aca="false">IF(AND(ISNUMBER(P170),ISNUMBER(Q170)),P170-Q170,"")</f>
        <v/>
      </c>
      <c r="S170" s="24"/>
      <c r="T170" s="28" t="str">
        <f aca="false">IF(S170&lt;&gt;"",S170,IF(B170="","",IFERROR(IF(INDEX(Batches!$G$5:$G$64,MATCH(B170,Batches!$A$5:$A$64,0))="","",INDEX(Batches!$G$5:$G$64,MATCH(B170,Batches!$A$5:$A$64,0))),"")))</f>
        <v/>
      </c>
      <c r="U170" s="23"/>
      <c r="V170" s="24"/>
      <c r="W170" s="28" t="str">
        <f aca="false">IF(OR(X170="",X170="Pending"),"",IF(V170&lt;&gt;"",V170,IFERROR(IF(INDEX(Batches!$H$5:$H$64,MATCH(B170,Batches!$A$5:$A$64,0))="","",INDEX(Batches!$H$5:$H$64,MATCH(B170,Batches!$A$5:$A$64,0))),"")))</f>
        <v/>
      </c>
      <c r="X170" s="23"/>
      <c r="Y170" s="23"/>
      <c r="Z170" s="26"/>
      <c r="AA170" s="27" t="str">
        <f aca="false">IF(R170="","",IF(X170="Not accepted",R170,IF(OR(X170="Accepted",X170="Withdrawn by hospital"),IF(X170="Accepted",0,R170),IF(ISNUMBER(Z170),R170-Z170,""))))</f>
        <v/>
      </c>
      <c r="AB170" s="23"/>
      <c r="AC170" s="25"/>
      <c r="AD170" s="23"/>
      <c r="AE170" s="23"/>
      <c r="AF170" s="24"/>
      <c r="AG170" s="23"/>
      <c r="AH170" s="24"/>
      <c r="AI170" s="29" t="str">
        <f aca="false">IF(X170="Not accepted","Maintained",IF(X170="Partially accepted","Partially maintained",IF(X170="Accepted","Reversed",IF(X170="Withdrawn by hospital","Withdrawn by hospital",""))))</f>
        <v/>
      </c>
      <c r="AJ170" s="28" t="str">
        <f aca="false">IF(AI170="","",W170)</f>
        <v/>
      </c>
      <c r="AK170" s="29" t="str">
        <f aca="false">IF(AND(ISNUMBER(T170),ISNUMBER(W170)),W170-T170,"")</f>
        <v/>
      </c>
      <c r="AL170" s="29" t="str">
        <f aca="false">IF(A170="","",SUMIF(Actions!$C$5:$C$1004,A170,Actions!$F$5:$F$1004))</f>
        <v/>
      </c>
      <c r="AM170" s="25"/>
    </row>
    <row r="171" customFormat="false" ht="15" hidden="false" customHeight="false" outlineLevel="0" collapsed="false">
      <c r="A171" s="23"/>
      <c r="B171" s="23"/>
      <c r="C171" s="23"/>
      <c r="D171" s="23"/>
      <c r="E171" s="23"/>
      <c r="F171" s="23"/>
      <c r="G171" s="23"/>
      <c r="H171" s="23"/>
      <c r="I171" s="23"/>
      <c r="J171" s="23"/>
      <c r="K171" s="24"/>
      <c r="L171" s="23"/>
      <c r="M171" s="25"/>
      <c r="N171" s="25"/>
      <c r="O171" s="23"/>
      <c r="P171" s="26"/>
      <c r="Q171" s="26"/>
      <c r="R171" s="27" t="str">
        <f aca="false">IF(AND(ISNUMBER(P171),ISNUMBER(Q171)),P171-Q171,"")</f>
        <v/>
      </c>
      <c r="S171" s="24"/>
      <c r="T171" s="28" t="str">
        <f aca="false">IF(S171&lt;&gt;"",S171,IF(B171="","",IFERROR(IF(INDEX(Batches!$G$5:$G$64,MATCH(B171,Batches!$A$5:$A$64,0))="","",INDEX(Batches!$G$5:$G$64,MATCH(B171,Batches!$A$5:$A$64,0))),"")))</f>
        <v/>
      </c>
      <c r="U171" s="23"/>
      <c r="V171" s="24"/>
      <c r="W171" s="28" t="str">
        <f aca="false">IF(OR(X171="",X171="Pending"),"",IF(V171&lt;&gt;"",V171,IFERROR(IF(INDEX(Batches!$H$5:$H$64,MATCH(B171,Batches!$A$5:$A$64,0))="","",INDEX(Batches!$H$5:$H$64,MATCH(B171,Batches!$A$5:$A$64,0))),"")))</f>
        <v/>
      </c>
      <c r="X171" s="23"/>
      <c r="Y171" s="23"/>
      <c r="Z171" s="26"/>
      <c r="AA171" s="27" t="str">
        <f aca="false">IF(R171="","",IF(X171="Not accepted",R171,IF(OR(X171="Accepted",X171="Withdrawn by hospital"),IF(X171="Accepted",0,R171),IF(ISNUMBER(Z171),R171-Z171,""))))</f>
        <v/>
      </c>
      <c r="AB171" s="23"/>
      <c r="AC171" s="25"/>
      <c r="AD171" s="23"/>
      <c r="AE171" s="23"/>
      <c r="AF171" s="24"/>
      <c r="AG171" s="23"/>
      <c r="AH171" s="24"/>
      <c r="AI171" s="29" t="str">
        <f aca="false">IF(X171="Not accepted","Maintained",IF(X171="Partially accepted","Partially maintained",IF(X171="Accepted","Reversed",IF(X171="Withdrawn by hospital","Withdrawn by hospital",""))))</f>
        <v/>
      </c>
      <c r="AJ171" s="28" t="str">
        <f aca="false">IF(AI171="","",W171)</f>
        <v/>
      </c>
      <c r="AK171" s="29" t="str">
        <f aca="false">IF(AND(ISNUMBER(T171),ISNUMBER(W171)),W171-T171,"")</f>
        <v/>
      </c>
      <c r="AL171" s="29" t="str">
        <f aca="false">IF(A171="","",SUMIF(Actions!$C$5:$C$1004,A171,Actions!$F$5:$F$1004))</f>
        <v/>
      </c>
      <c r="AM171" s="25"/>
    </row>
    <row r="172" customFormat="false" ht="15" hidden="false" customHeight="false" outlineLevel="0" collapsed="false">
      <c r="A172" s="23"/>
      <c r="B172" s="23"/>
      <c r="C172" s="23"/>
      <c r="D172" s="23"/>
      <c r="E172" s="23"/>
      <c r="F172" s="23"/>
      <c r="G172" s="23"/>
      <c r="H172" s="23"/>
      <c r="I172" s="23"/>
      <c r="J172" s="23"/>
      <c r="K172" s="24"/>
      <c r="L172" s="23"/>
      <c r="M172" s="25"/>
      <c r="N172" s="25"/>
      <c r="O172" s="23"/>
      <c r="P172" s="26"/>
      <c r="Q172" s="26"/>
      <c r="R172" s="27" t="str">
        <f aca="false">IF(AND(ISNUMBER(P172),ISNUMBER(Q172)),P172-Q172,"")</f>
        <v/>
      </c>
      <c r="S172" s="24"/>
      <c r="T172" s="28" t="str">
        <f aca="false">IF(S172&lt;&gt;"",S172,IF(B172="","",IFERROR(IF(INDEX(Batches!$G$5:$G$64,MATCH(B172,Batches!$A$5:$A$64,0))="","",INDEX(Batches!$G$5:$G$64,MATCH(B172,Batches!$A$5:$A$64,0))),"")))</f>
        <v/>
      </c>
      <c r="U172" s="23"/>
      <c r="V172" s="24"/>
      <c r="W172" s="28" t="str">
        <f aca="false">IF(OR(X172="",X172="Pending"),"",IF(V172&lt;&gt;"",V172,IFERROR(IF(INDEX(Batches!$H$5:$H$64,MATCH(B172,Batches!$A$5:$A$64,0))="","",INDEX(Batches!$H$5:$H$64,MATCH(B172,Batches!$A$5:$A$64,0))),"")))</f>
        <v/>
      </c>
      <c r="X172" s="23"/>
      <c r="Y172" s="23"/>
      <c r="Z172" s="26"/>
      <c r="AA172" s="27" t="str">
        <f aca="false">IF(R172="","",IF(X172="Not accepted",R172,IF(OR(X172="Accepted",X172="Withdrawn by hospital"),IF(X172="Accepted",0,R172),IF(ISNUMBER(Z172),R172-Z172,""))))</f>
        <v/>
      </c>
      <c r="AB172" s="23"/>
      <c r="AC172" s="25"/>
      <c r="AD172" s="23"/>
      <c r="AE172" s="23"/>
      <c r="AF172" s="24"/>
      <c r="AG172" s="23"/>
      <c r="AH172" s="24"/>
      <c r="AI172" s="29" t="str">
        <f aca="false">IF(X172="Not accepted","Maintained",IF(X172="Partially accepted","Partially maintained",IF(X172="Accepted","Reversed",IF(X172="Withdrawn by hospital","Withdrawn by hospital",""))))</f>
        <v/>
      </c>
      <c r="AJ172" s="28" t="str">
        <f aca="false">IF(AI172="","",W172)</f>
        <v/>
      </c>
      <c r="AK172" s="29" t="str">
        <f aca="false">IF(AND(ISNUMBER(T172),ISNUMBER(W172)),W172-T172,"")</f>
        <v/>
      </c>
      <c r="AL172" s="29" t="str">
        <f aca="false">IF(A172="","",SUMIF(Actions!$C$5:$C$1004,A172,Actions!$F$5:$F$1004))</f>
        <v/>
      </c>
      <c r="AM172" s="25"/>
    </row>
    <row r="173" customFormat="false" ht="15" hidden="false" customHeight="false" outlineLevel="0" collapsed="false">
      <c r="A173" s="23"/>
      <c r="B173" s="23"/>
      <c r="C173" s="23"/>
      <c r="D173" s="23"/>
      <c r="E173" s="23"/>
      <c r="F173" s="23"/>
      <c r="G173" s="23"/>
      <c r="H173" s="23"/>
      <c r="I173" s="23"/>
      <c r="J173" s="23"/>
      <c r="K173" s="24"/>
      <c r="L173" s="23"/>
      <c r="M173" s="25"/>
      <c r="N173" s="25"/>
      <c r="O173" s="23"/>
      <c r="P173" s="26"/>
      <c r="Q173" s="26"/>
      <c r="R173" s="27" t="str">
        <f aca="false">IF(AND(ISNUMBER(P173),ISNUMBER(Q173)),P173-Q173,"")</f>
        <v/>
      </c>
      <c r="S173" s="24"/>
      <c r="T173" s="28" t="str">
        <f aca="false">IF(S173&lt;&gt;"",S173,IF(B173="","",IFERROR(IF(INDEX(Batches!$G$5:$G$64,MATCH(B173,Batches!$A$5:$A$64,0))="","",INDEX(Batches!$G$5:$G$64,MATCH(B173,Batches!$A$5:$A$64,0))),"")))</f>
        <v/>
      </c>
      <c r="U173" s="23"/>
      <c r="V173" s="24"/>
      <c r="W173" s="28" t="str">
        <f aca="false">IF(OR(X173="",X173="Pending"),"",IF(V173&lt;&gt;"",V173,IFERROR(IF(INDEX(Batches!$H$5:$H$64,MATCH(B173,Batches!$A$5:$A$64,0))="","",INDEX(Batches!$H$5:$H$64,MATCH(B173,Batches!$A$5:$A$64,0))),"")))</f>
        <v/>
      </c>
      <c r="X173" s="23"/>
      <c r="Y173" s="23"/>
      <c r="Z173" s="26"/>
      <c r="AA173" s="27" t="str">
        <f aca="false">IF(R173="","",IF(X173="Not accepted",R173,IF(OR(X173="Accepted",X173="Withdrawn by hospital"),IF(X173="Accepted",0,R173),IF(ISNUMBER(Z173),R173-Z173,""))))</f>
        <v/>
      </c>
      <c r="AB173" s="23"/>
      <c r="AC173" s="25"/>
      <c r="AD173" s="23"/>
      <c r="AE173" s="23"/>
      <c r="AF173" s="24"/>
      <c r="AG173" s="23"/>
      <c r="AH173" s="24"/>
      <c r="AI173" s="29" t="str">
        <f aca="false">IF(X173="Not accepted","Maintained",IF(X173="Partially accepted","Partially maintained",IF(X173="Accepted","Reversed",IF(X173="Withdrawn by hospital","Withdrawn by hospital",""))))</f>
        <v/>
      </c>
      <c r="AJ173" s="28" t="str">
        <f aca="false">IF(AI173="","",W173)</f>
        <v/>
      </c>
      <c r="AK173" s="29" t="str">
        <f aca="false">IF(AND(ISNUMBER(T173),ISNUMBER(W173)),W173-T173,"")</f>
        <v/>
      </c>
      <c r="AL173" s="29" t="str">
        <f aca="false">IF(A173="","",SUMIF(Actions!$C$5:$C$1004,A173,Actions!$F$5:$F$1004))</f>
        <v/>
      </c>
      <c r="AM173" s="25"/>
    </row>
    <row r="174" customFormat="false" ht="15" hidden="false" customHeight="false" outlineLevel="0" collapsed="false">
      <c r="A174" s="23"/>
      <c r="B174" s="23"/>
      <c r="C174" s="23"/>
      <c r="D174" s="23"/>
      <c r="E174" s="23"/>
      <c r="F174" s="23"/>
      <c r="G174" s="23"/>
      <c r="H174" s="23"/>
      <c r="I174" s="23"/>
      <c r="J174" s="23"/>
      <c r="K174" s="24"/>
      <c r="L174" s="23"/>
      <c r="M174" s="25"/>
      <c r="N174" s="25"/>
      <c r="O174" s="23"/>
      <c r="P174" s="26"/>
      <c r="Q174" s="26"/>
      <c r="R174" s="27" t="str">
        <f aca="false">IF(AND(ISNUMBER(P174),ISNUMBER(Q174)),P174-Q174,"")</f>
        <v/>
      </c>
      <c r="S174" s="24"/>
      <c r="T174" s="28" t="str">
        <f aca="false">IF(S174&lt;&gt;"",S174,IF(B174="","",IFERROR(IF(INDEX(Batches!$G$5:$G$64,MATCH(B174,Batches!$A$5:$A$64,0))="","",INDEX(Batches!$G$5:$G$64,MATCH(B174,Batches!$A$5:$A$64,0))),"")))</f>
        <v/>
      </c>
      <c r="U174" s="23"/>
      <c r="V174" s="24"/>
      <c r="W174" s="28" t="str">
        <f aca="false">IF(OR(X174="",X174="Pending"),"",IF(V174&lt;&gt;"",V174,IFERROR(IF(INDEX(Batches!$H$5:$H$64,MATCH(B174,Batches!$A$5:$A$64,0))="","",INDEX(Batches!$H$5:$H$64,MATCH(B174,Batches!$A$5:$A$64,0))),"")))</f>
        <v/>
      </c>
      <c r="X174" s="23"/>
      <c r="Y174" s="23"/>
      <c r="Z174" s="26"/>
      <c r="AA174" s="27" t="str">
        <f aca="false">IF(R174="","",IF(X174="Not accepted",R174,IF(OR(X174="Accepted",X174="Withdrawn by hospital"),IF(X174="Accepted",0,R174),IF(ISNUMBER(Z174),R174-Z174,""))))</f>
        <v/>
      </c>
      <c r="AB174" s="23"/>
      <c r="AC174" s="25"/>
      <c r="AD174" s="23"/>
      <c r="AE174" s="23"/>
      <c r="AF174" s="24"/>
      <c r="AG174" s="23"/>
      <c r="AH174" s="24"/>
      <c r="AI174" s="29" t="str">
        <f aca="false">IF(X174="Not accepted","Maintained",IF(X174="Partially accepted","Partially maintained",IF(X174="Accepted","Reversed",IF(X174="Withdrawn by hospital","Withdrawn by hospital",""))))</f>
        <v/>
      </c>
      <c r="AJ174" s="28" t="str">
        <f aca="false">IF(AI174="","",W174)</f>
        <v/>
      </c>
      <c r="AK174" s="29" t="str">
        <f aca="false">IF(AND(ISNUMBER(T174),ISNUMBER(W174)),W174-T174,"")</f>
        <v/>
      </c>
      <c r="AL174" s="29" t="str">
        <f aca="false">IF(A174="","",SUMIF(Actions!$C$5:$C$1004,A174,Actions!$F$5:$F$1004))</f>
        <v/>
      </c>
      <c r="AM174" s="25"/>
    </row>
    <row r="175" customFormat="false" ht="15" hidden="false" customHeight="false" outlineLevel="0" collapsed="false">
      <c r="A175" s="23"/>
      <c r="B175" s="23"/>
      <c r="C175" s="23"/>
      <c r="D175" s="23"/>
      <c r="E175" s="23"/>
      <c r="F175" s="23"/>
      <c r="G175" s="23"/>
      <c r="H175" s="23"/>
      <c r="I175" s="23"/>
      <c r="J175" s="23"/>
      <c r="K175" s="24"/>
      <c r="L175" s="23"/>
      <c r="M175" s="25"/>
      <c r="N175" s="25"/>
      <c r="O175" s="23"/>
      <c r="P175" s="26"/>
      <c r="Q175" s="26"/>
      <c r="R175" s="27" t="str">
        <f aca="false">IF(AND(ISNUMBER(P175),ISNUMBER(Q175)),P175-Q175,"")</f>
        <v/>
      </c>
      <c r="S175" s="24"/>
      <c r="T175" s="28" t="str">
        <f aca="false">IF(S175&lt;&gt;"",S175,IF(B175="","",IFERROR(IF(INDEX(Batches!$G$5:$G$64,MATCH(B175,Batches!$A$5:$A$64,0))="","",INDEX(Batches!$G$5:$G$64,MATCH(B175,Batches!$A$5:$A$64,0))),"")))</f>
        <v/>
      </c>
      <c r="U175" s="23"/>
      <c r="V175" s="24"/>
      <c r="W175" s="28" t="str">
        <f aca="false">IF(OR(X175="",X175="Pending"),"",IF(V175&lt;&gt;"",V175,IFERROR(IF(INDEX(Batches!$H$5:$H$64,MATCH(B175,Batches!$A$5:$A$64,0))="","",INDEX(Batches!$H$5:$H$64,MATCH(B175,Batches!$A$5:$A$64,0))),"")))</f>
        <v/>
      </c>
      <c r="X175" s="23"/>
      <c r="Y175" s="23"/>
      <c r="Z175" s="26"/>
      <c r="AA175" s="27" t="str">
        <f aca="false">IF(R175="","",IF(X175="Not accepted",R175,IF(OR(X175="Accepted",X175="Withdrawn by hospital"),IF(X175="Accepted",0,R175),IF(ISNUMBER(Z175),R175-Z175,""))))</f>
        <v/>
      </c>
      <c r="AB175" s="23"/>
      <c r="AC175" s="25"/>
      <c r="AD175" s="23"/>
      <c r="AE175" s="23"/>
      <c r="AF175" s="24"/>
      <c r="AG175" s="23"/>
      <c r="AH175" s="24"/>
      <c r="AI175" s="29" t="str">
        <f aca="false">IF(X175="Not accepted","Maintained",IF(X175="Partially accepted","Partially maintained",IF(X175="Accepted","Reversed",IF(X175="Withdrawn by hospital","Withdrawn by hospital",""))))</f>
        <v/>
      </c>
      <c r="AJ175" s="28" t="str">
        <f aca="false">IF(AI175="","",W175)</f>
        <v/>
      </c>
      <c r="AK175" s="29" t="str">
        <f aca="false">IF(AND(ISNUMBER(T175),ISNUMBER(W175)),W175-T175,"")</f>
        <v/>
      </c>
      <c r="AL175" s="29" t="str">
        <f aca="false">IF(A175="","",SUMIF(Actions!$C$5:$C$1004,A175,Actions!$F$5:$F$1004))</f>
        <v/>
      </c>
      <c r="AM175" s="25"/>
    </row>
    <row r="176" customFormat="false" ht="15" hidden="false" customHeight="false" outlineLevel="0" collapsed="false">
      <c r="A176" s="23"/>
      <c r="B176" s="23"/>
      <c r="C176" s="23"/>
      <c r="D176" s="23"/>
      <c r="E176" s="23"/>
      <c r="F176" s="23"/>
      <c r="G176" s="23"/>
      <c r="H176" s="23"/>
      <c r="I176" s="23"/>
      <c r="J176" s="23"/>
      <c r="K176" s="24"/>
      <c r="L176" s="23"/>
      <c r="M176" s="25"/>
      <c r="N176" s="25"/>
      <c r="O176" s="23"/>
      <c r="P176" s="26"/>
      <c r="Q176" s="26"/>
      <c r="R176" s="27" t="str">
        <f aca="false">IF(AND(ISNUMBER(P176),ISNUMBER(Q176)),P176-Q176,"")</f>
        <v/>
      </c>
      <c r="S176" s="24"/>
      <c r="T176" s="28" t="str">
        <f aca="false">IF(S176&lt;&gt;"",S176,IF(B176="","",IFERROR(IF(INDEX(Batches!$G$5:$G$64,MATCH(B176,Batches!$A$5:$A$64,0))="","",INDEX(Batches!$G$5:$G$64,MATCH(B176,Batches!$A$5:$A$64,0))),"")))</f>
        <v/>
      </c>
      <c r="U176" s="23"/>
      <c r="V176" s="24"/>
      <c r="W176" s="28" t="str">
        <f aca="false">IF(OR(X176="",X176="Pending"),"",IF(V176&lt;&gt;"",V176,IFERROR(IF(INDEX(Batches!$H$5:$H$64,MATCH(B176,Batches!$A$5:$A$64,0))="","",INDEX(Batches!$H$5:$H$64,MATCH(B176,Batches!$A$5:$A$64,0))),"")))</f>
        <v/>
      </c>
      <c r="X176" s="23"/>
      <c r="Y176" s="23"/>
      <c r="Z176" s="26"/>
      <c r="AA176" s="27" t="str">
        <f aca="false">IF(R176="","",IF(X176="Not accepted",R176,IF(OR(X176="Accepted",X176="Withdrawn by hospital"),IF(X176="Accepted",0,R176),IF(ISNUMBER(Z176),R176-Z176,""))))</f>
        <v/>
      </c>
      <c r="AB176" s="23"/>
      <c r="AC176" s="25"/>
      <c r="AD176" s="23"/>
      <c r="AE176" s="23"/>
      <c r="AF176" s="24"/>
      <c r="AG176" s="23"/>
      <c r="AH176" s="24"/>
      <c r="AI176" s="29" t="str">
        <f aca="false">IF(X176="Not accepted","Maintained",IF(X176="Partially accepted","Partially maintained",IF(X176="Accepted","Reversed",IF(X176="Withdrawn by hospital","Withdrawn by hospital",""))))</f>
        <v/>
      </c>
      <c r="AJ176" s="28" t="str">
        <f aca="false">IF(AI176="","",W176)</f>
        <v/>
      </c>
      <c r="AK176" s="29" t="str">
        <f aca="false">IF(AND(ISNUMBER(T176),ISNUMBER(W176)),W176-T176,"")</f>
        <v/>
      </c>
      <c r="AL176" s="29" t="str">
        <f aca="false">IF(A176="","",SUMIF(Actions!$C$5:$C$1004,A176,Actions!$F$5:$F$1004))</f>
        <v/>
      </c>
      <c r="AM176" s="25"/>
    </row>
    <row r="177" customFormat="false" ht="15" hidden="false" customHeight="false" outlineLevel="0" collapsed="false">
      <c r="A177" s="23"/>
      <c r="B177" s="23"/>
      <c r="C177" s="23"/>
      <c r="D177" s="23"/>
      <c r="E177" s="23"/>
      <c r="F177" s="23"/>
      <c r="G177" s="23"/>
      <c r="H177" s="23"/>
      <c r="I177" s="23"/>
      <c r="J177" s="23"/>
      <c r="K177" s="24"/>
      <c r="L177" s="23"/>
      <c r="M177" s="25"/>
      <c r="N177" s="25"/>
      <c r="O177" s="23"/>
      <c r="P177" s="26"/>
      <c r="Q177" s="26"/>
      <c r="R177" s="27" t="str">
        <f aca="false">IF(AND(ISNUMBER(P177),ISNUMBER(Q177)),P177-Q177,"")</f>
        <v/>
      </c>
      <c r="S177" s="24"/>
      <c r="T177" s="28" t="str">
        <f aca="false">IF(S177&lt;&gt;"",S177,IF(B177="","",IFERROR(IF(INDEX(Batches!$G$5:$G$64,MATCH(B177,Batches!$A$5:$A$64,0))="","",INDEX(Batches!$G$5:$G$64,MATCH(B177,Batches!$A$5:$A$64,0))),"")))</f>
        <v/>
      </c>
      <c r="U177" s="23"/>
      <c r="V177" s="24"/>
      <c r="W177" s="28" t="str">
        <f aca="false">IF(OR(X177="",X177="Pending"),"",IF(V177&lt;&gt;"",V177,IFERROR(IF(INDEX(Batches!$H$5:$H$64,MATCH(B177,Batches!$A$5:$A$64,0))="","",INDEX(Batches!$H$5:$H$64,MATCH(B177,Batches!$A$5:$A$64,0))),"")))</f>
        <v/>
      </c>
      <c r="X177" s="23"/>
      <c r="Y177" s="23"/>
      <c r="Z177" s="26"/>
      <c r="AA177" s="27" t="str">
        <f aca="false">IF(R177="","",IF(X177="Not accepted",R177,IF(OR(X177="Accepted",X177="Withdrawn by hospital"),IF(X177="Accepted",0,R177),IF(ISNUMBER(Z177),R177-Z177,""))))</f>
        <v/>
      </c>
      <c r="AB177" s="23"/>
      <c r="AC177" s="25"/>
      <c r="AD177" s="23"/>
      <c r="AE177" s="23"/>
      <c r="AF177" s="24"/>
      <c r="AG177" s="23"/>
      <c r="AH177" s="24"/>
      <c r="AI177" s="29" t="str">
        <f aca="false">IF(X177="Not accepted","Maintained",IF(X177="Partially accepted","Partially maintained",IF(X177="Accepted","Reversed",IF(X177="Withdrawn by hospital","Withdrawn by hospital",""))))</f>
        <v/>
      </c>
      <c r="AJ177" s="28" t="str">
        <f aca="false">IF(AI177="","",W177)</f>
        <v/>
      </c>
      <c r="AK177" s="29" t="str">
        <f aca="false">IF(AND(ISNUMBER(T177),ISNUMBER(W177)),W177-T177,"")</f>
        <v/>
      </c>
      <c r="AL177" s="29" t="str">
        <f aca="false">IF(A177="","",SUMIF(Actions!$C$5:$C$1004,A177,Actions!$F$5:$F$1004))</f>
        <v/>
      </c>
      <c r="AM177" s="25"/>
    </row>
    <row r="178" customFormat="false" ht="15" hidden="false" customHeight="false" outlineLevel="0" collapsed="false">
      <c r="A178" s="23"/>
      <c r="B178" s="23"/>
      <c r="C178" s="23"/>
      <c r="D178" s="23"/>
      <c r="E178" s="23"/>
      <c r="F178" s="23"/>
      <c r="G178" s="23"/>
      <c r="H178" s="23"/>
      <c r="I178" s="23"/>
      <c r="J178" s="23"/>
      <c r="K178" s="24"/>
      <c r="L178" s="23"/>
      <c r="M178" s="25"/>
      <c r="N178" s="25"/>
      <c r="O178" s="23"/>
      <c r="P178" s="26"/>
      <c r="Q178" s="26"/>
      <c r="R178" s="27" t="str">
        <f aca="false">IF(AND(ISNUMBER(P178),ISNUMBER(Q178)),P178-Q178,"")</f>
        <v/>
      </c>
      <c r="S178" s="24"/>
      <c r="T178" s="28" t="str">
        <f aca="false">IF(S178&lt;&gt;"",S178,IF(B178="","",IFERROR(IF(INDEX(Batches!$G$5:$G$64,MATCH(B178,Batches!$A$5:$A$64,0))="","",INDEX(Batches!$G$5:$G$64,MATCH(B178,Batches!$A$5:$A$64,0))),"")))</f>
        <v/>
      </c>
      <c r="U178" s="23"/>
      <c r="V178" s="24"/>
      <c r="W178" s="28" t="str">
        <f aca="false">IF(OR(X178="",X178="Pending"),"",IF(V178&lt;&gt;"",V178,IFERROR(IF(INDEX(Batches!$H$5:$H$64,MATCH(B178,Batches!$A$5:$A$64,0))="","",INDEX(Batches!$H$5:$H$64,MATCH(B178,Batches!$A$5:$A$64,0))),"")))</f>
        <v/>
      </c>
      <c r="X178" s="23"/>
      <c r="Y178" s="23"/>
      <c r="Z178" s="26"/>
      <c r="AA178" s="27" t="str">
        <f aca="false">IF(R178="","",IF(X178="Not accepted",R178,IF(OR(X178="Accepted",X178="Withdrawn by hospital"),IF(X178="Accepted",0,R178),IF(ISNUMBER(Z178),R178-Z178,""))))</f>
        <v/>
      </c>
      <c r="AB178" s="23"/>
      <c r="AC178" s="25"/>
      <c r="AD178" s="23"/>
      <c r="AE178" s="23"/>
      <c r="AF178" s="24"/>
      <c r="AG178" s="23"/>
      <c r="AH178" s="24"/>
      <c r="AI178" s="29" t="str">
        <f aca="false">IF(X178="Not accepted","Maintained",IF(X178="Partially accepted","Partially maintained",IF(X178="Accepted","Reversed",IF(X178="Withdrawn by hospital","Withdrawn by hospital",""))))</f>
        <v/>
      </c>
      <c r="AJ178" s="28" t="str">
        <f aca="false">IF(AI178="","",W178)</f>
        <v/>
      </c>
      <c r="AK178" s="29" t="str">
        <f aca="false">IF(AND(ISNUMBER(T178),ISNUMBER(W178)),W178-T178,"")</f>
        <v/>
      </c>
      <c r="AL178" s="29" t="str">
        <f aca="false">IF(A178="","",SUMIF(Actions!$C$5:$C$1004,A178,Actions!$F$5:$F$1004))</f>
        <v/>
      </c>
      <c r="AM178" s="25"/>
    </row>
    <row r="179" customFormat="false" ht="15" hidden="false" customHeight="false" outlineLevel="0" collapsed="false">
      <c r="A179" s="23"/>
      <c r="B179" s="23"/>
      <c r="C179" s="23"/>
      <c r="D179" s="23"/>
      <c r="E179" s="23"/>
      <c r="F179" s="23"/>
      <c r="G179" s="23"/>
      <c r="H179" s="23"/>
      <c r="I179" s="23"/>
      <c r="J179" s="23"/>
      <c r="K179" s="24"/>
      <c r="L179" s="23"/>
      <c r="M179" s="25"/>
      <c r="N179" s="25"/>
      <c r="O179" s="23"/>
      <c r="P179" s="26"/>
      <c r="Q179" s="26"/>
      <c r="R179" s="27" t="str">
        <f aca="false">IF(AND(ISNUMBER(P179),ISNUMBER(Q179)),P179-Q179,"")</f>
        <v/>
      </c>
      <c r="S179" s="24"/>
      <c r="T179" s="28" t="str">
        <f aca="false">IF(S179&lt;&gt;"",S179,IF(B179="","",IFERROR(IF(INDEX(Batches!$G$5:$G$64,MATCH(B179,Batches!$A$5:$A$64,0))="","",INDEX(Batches!$G$5:$G$64,MATCH(B179,Batches!$A$5:$A$64,0))),"")))</f>
        <v/>
      </c>
      <c r="U179" s="23"/>
      <c r="V179" s="24"/>
      <c r="W179" s="28" t="str">
        <f aca="false">IF(OR(X179="",X179="Pending"),"",IF(V179&lt;&gt;"",V179,IFERROR(IF(INDEX(Batches!$H$5:$H$64,MATCH(B179,Batches!$A$5:$A$64,0))="","",INDEX(Batches!$H$5:$H$64,MATCH(B179,Batches!$A$5:$A$64,0))),"")))</f>
        <v/>
      </c>
      <c r="X179" s="23"/>
      <c r="Y179" s="23"/>
      <c r="Z179" s="26"/>
      <c r="AA179" s="27" t="str">
        <f aca="false">IF(R179="","",IF(X179="Not accepted",R179,IF(OR(X179="Accepted",X179="Withdrawn by hospital"),IF(X179="Accepted",0,R179),IF(ISNUMBER(Z179),R179-Z179,""))))</f>
        <v/>
      </c>
      <c r="AB179" s="23"/>
      <c r="AC179" s="25"/>
      <c r="AD179" s="23"/>
      <c r="AE179" s="23"/>
      <c r="AF179" s="24"/>
      <c r="AG179" s="23"/>
      <c r="AH179" s="24"/>
      <c r="AI179" s="29" t="str">
        <f aca="false">IF(X179="Not accepted","Maintained",IF(X179="Partially accepted","Partially maintained",IF(X179="Accepted","Reversed",IF(X179="Withdrawn by hospital","Withdrawn by hospital",""))))</f>
        <v/>
      </c>
      <c r="AJ179" s="28" t="str">
        <f aca="false">IF(AI179="","",W179)</f>
        <v/>
      </c>
      <c r="AK179" s="29" t="str">
        <f aca="false">IF(AND(ISNUMBER(T179),ISNUMBER(W179)),W179-T179,"")</f>
        <v/>
      </c>
      <c r="AL179" s="29" t="str">
        <f aca="false">IF(A179="","",SUMIF(Actions!$C$5:$C$1004,A179,Actions!$F$5:$F$1004))</f>
        <v/>
      </c>
      <c r="AM179" s="25"/>
    </row>
    <row r="180" customFormat="false" ht="15" hidden="false" customHeight="false" outlineLevel="0" collapsed="false">
      <c r="A180" s="23"/>
      <c r="B180" s="23"/>
      <c r="C180" s="23"/>
      <c r="D180" s="23"/>
      <c r="E180" s="23"/>
      <c r="F180" s="23"/>
      <c r="G180" s="23"/>
      <c r="H180" s="23"/>
      <c r="I180" s="23"/>
      <c r="J180" s="23"/>
      <c r="K180" s="24"/>
      <c r="L180" s="23"/>
      <c r="M180" s="25"/>
      <c r="N180" s="25"/>
      <c r="O180" s="23"/>
      <c r="P180" s="26"/>
      <c r="Q180" s="26"/>
      <c r="R180" s="27" t="str">
        <f aca="false">IF(AND(ISNUMBER(P180),ISNUMBER(Q180)),P180-Q180,"")</f>
        <v/>
      </c>
      <c r="S180" s="24"/>
      <c r="T180" s="28" t="str">
        <f aca="false">IF(S180&lt;&gt;"",S180,IF(B180="","",IFERROR(IF(INDEX(Batches!$G$5:$G$64,MATCH(B180,Batches!$A$5:$A$64,0))="","",INDEX(Batches!$G$5:$G$64,MATCH(B180,Batches!$A$5:$A$64,0))),"")))</f>
        <v/>
      </c>
      <c r="U180" s="23"/>
      <c r="V180" s="24"/>
      <c r="W180" s="28" t="str">
        <f aca="false">IF(OR(X180="",X180="Pending"),"",IF(V180&lt;&gt;"",V180,IFERROR(IF(INDEX(Batches!$H$5:$H$64,MATCH(B180,Batches!$A$5:$A$64,0))="","",INDEX(Batches!$H$5:$H$64,MATCH(B180,Batches!$A$5:$A$64,0))),"")))</f>
        <v/>
      </c>
      <c r="X180" s="23"/>
      <c r="Y180" s="23"/>
      <c r="Z180" s="26"/>
      <c r="AA180" s="27" t="str">
        <f aca="false">IF(R180="","",IF(X180="Not accepted",R180,IF(OR(X180="Accepted",X180="Withdrawn by hospital"),IF(X180="Accepted",0,R180),IF(ISNUMBER(Z180),R180-Z180,""))))</f>
        <v/>
      </c>
      <c r="AB180" s="23"/>
      <c r="AC180" s="25"/>
      <c r="AD180" s="23"/>
      <c r="AE180" s="23"/>
      <c r="AF180" s="24"/>
      <c r="AG180" s="23"/>
      <c r="AH180" s="24"/>
      <c r="AI180" s="29" t="str">
        <f aca="false">IF(X180="Not accepted","Maintained",IF(X180="Partially accepted","Partially maintained",IF(X180="Accepted","Reversed",IF(X180="Withdrawn by hospital","Withdrawn by hospital",""))))</f>
        <v/>
      </c>
      <c r="AJ180" s="28" t="str">
        <f aca="false">IF(AI180="","",W180)</f>
        <v/>
      </c>
      <c r="AK180" s="29" t="str">
        <f aca="false">IF(AND(ISNUMBER(T180),ISNUMBER(W180)),W180-T180,"")</f>
        <v/>
      </c>
      <c r="AL180" s="29" t="str">
        <f aca="false">IF(A180="","",SUMIF(Actions!$C$5:$C$1004,A180,Actions!$F$5:$F$1004))</f>
        <v/>
      </c>
      <c r="AM180" s="25"/>
    </row>
    <row r="181" customFormat="false" ht="15" hidden="false" customHeight="false" outlineLevel="0" collapsed="false">
      <c r="A181" s="23"/>
      <c r="B181" s="23"/>
      <c r="C181" s="23"/>
      <c r="D181" s="23"/>
      <c r="E181" s="23"/>
      <c r="F181" s="23"/>
      <c r="G181" s="23"/>
      <c r="H181" s="23"/>
      <c r="I181" s="23"/>
      <c r="J181" s="23"/>
      <c r="K181" s="24"/>
      <c r="L181" s="23"/>
      <c r="M181" s="25"/>
      <c r="N181" s="25"/>
      <c r="O181" s="23"/>
      <c r="P181" s="26"/>
      <c r="Q181" s="26"/>
      <c r="R181" s="27" t="str">
        <f aca="false">IF(AND(ISNUMBER(P181),ISNUMBER(Q181)),P181-Q181,"")</f>
        <v/>
      </c>
      <c r="S181" s="24"/>
      <c r="T181" s="28" t="str">
        <f aca="false">IF(S181&lt;&gt;"",S181,IF(B181="","",IFERROR(IF(INDEX(Batches!$G$5:$G$64,MATCH(B181,Batches!$A$5:$A$64,0))="","",INDEX(Batches!$G$5:$G$64,MATCH(B181,Batches!$A$5:$A$64,0))),"")))</f>
        <v/>
      </c>
      <c r="U181" s="23"/>
      <c r="V181" s="24"/>
      <c r="W181" s="28" t="str">
        <f aca="false">IF(OR(X181="",X181="Pending"),"",IF(V181&lt;&gt;"",V181,IFERROR(IF(INDEX(Batches!$H$5:$H$64,MATCH(B181,Batches!$A$5:$A$64,0))="","",INDEX(Batches!$H$5:$H$64,MATCH(B181,Batches!$A$5:$A$64,0))),"")))</f>
        <v/>
      </c>
      <c r="X181" s="23"/>
      <c r="Y181" s="23"/>
      <c r="Z181" s="26"/>
      <c r="AA181" s="27" t="str">
        <f aca="false">IF(R181="","",IF(X181="Not accepted",R181,IF(OR(X181="Accepted",X181="Withdrawn by hospital"),IF(X181="Accepted",0,R181),IF(ISNUMBER(Z181),R181-Z181,""))))</f>
        <v/>
      </c>
      <c r="AB181" s="23"/>
      <c r="AC181" s="25"/>
      <c r="AD181" s="23"/>
      <c r="AE181" s="23"/>
      <c r="AF181" s="24"/>
      <c r="AG181" s="23"/>
      <c r="AH181" s="24"/>
      <c r="AI181" s="29" t="str">
        <f aca="false">IF(X181="Not accepted","Maintained",IF(X181="Partially accepted","Partially maintained",IF(X181="Accepted","Reversed",IF(X181="Withdrawn by hospital","Withdrawn by hospital",""))))</f>
        <v/>
      </c>
      <c r="AJ181" s="28" t="str">
        <f aca="false">IF(AI181="","",W181)</f>
        <v/>
      </c>
      <c r="AK181" s="29" t="str">
        <f aca="false">IF(AND(ISNUMBER(T181),ISNUMBER(W181)),W181-T181,"")</f>
        <v/>
      </c>
      <c r="AL181" s="29" t="str">
        <f aca="false">IF(A181="","",SUMIF(Actions!$C$5:$C$1004,A181,Actions!$F$5:$F$1004))</f>
        <v/>
      </c>
      <c r="AM181" s="25"/>
    </row>
    <row r="182" customFormat="false" ht="15" hidden="false" customHeight="false" outlineLevel="0" collapsed="false">
      <c r="A182" s="23"/>
      <c r="B182" s="23"/>
      <c r="C182" s="23"/>
      <c r="D182" s="23"/>
      <c r="E182" s="23"/>
      <c r="F182" s="23"/>
      <c r="G182" s="23"/>
      <c r="H182" s="23"/>
      <c r="I182" s="23"/>
      <c r="J182" s="23"/>
      <c r="K182" s="24"/>
      <c r="L182" s="23"/>
      <c r="M182" s="25"/>
      <c r="N182" s="25"/>
      <c r="O182" s="23"/>
      <c r="P182" s="26"/>
      <c r="Q182" s="26"/>
      <c r="R182" s="27" t="str">
        <f aca="false">IF(AND(ISNUMBER(P182),ISNUMBER(Q182)),P182-Q182,"")</f>
        <v/>
      </c>
      <c r="S182" s="24"/>
      <c r="T182" s="28" t="str">
        <f aca="false">IF(S182&lt;&gt;"",S182,IF(B182="","",IFERROR(IF(INDEX(Batches!$G$5:$G$64,MATCH(B182,Batches!$A$5:$A$64,0))="","",INDEX(Batches!$G$5:$G$64,MATCH(B182,Batches!$A$5:$A$64,0))),"")))</f>
        <v/>
      </c>
      <c r="U182" s="23"/>
      <c r="V182" s="24"/>
      <c r="W182" s="28" t="str">
        <f aca="false">IF(OR(X182="",X182="Pending"),"",IF(V182&lt;&gt;"",V182,IFERROR(IF(INDEX(Batches!$H$5:$H$64,MATCH(B182,Batches!$A$5:$A$64,0))="","",INDEX(Batches!$H$5:$H$64,MATCH(B182,Batches!$A$5:$A$64,0))),"")))</f>
        <v/>
      </c>
      <c r="X182" s="23"/>
      <c r="Y182" s="23"/>
      <c r="Z182" s="26"/>
      <c r="AA182" s="27" t="str">
        <f aca="false">IF(R182="","",IF(X182="Not accepted",R182,IF(OR(X182="Accepted",X182="Withdrawn by hospital"),IF(X182="Accepted",0,R182),IF(ISNUMBER(Z182),R182-Z182,""))))</f>
        <v/>
      </c>
      <c r="AB182" s="23"/>
      <c r="AC182" s="25"/>
      <c r="AD182" s="23"/>
      <c r="AE182" s="23"/>
      <c r="AF182" s="24"/>
      <c r="AG182" s="23"/>
      <c r="AH182" s="24"/>
      <c r="AI182" s="29" t="str">
        <f aca="false">IF(X182="Not accepted","Maintained",IF(X182="Partially accepted","Partially maintained",IF(X182="Accepted","Reversed",IF(X182="Withdrawn by hospital","Withdrawn by hospital",""))))</f>
        <v/>
      </c>
      <c r="AJ182" s="28" t="str">
        <f aca="false">IF(AI182="","",W182)</f>
        <v/>
      </c>
      <c r="AK182" s="29" t="str">
        <f aca="false">IF(AND(ISNUMBER(T182),ISNUMBER(W182)),W182-T182,"")</f>
        <v/>
      </c>
      <c r="AL182" s="29" t="str">
        <f aca="false">IF(A182="","",SUMIF(Actions!$C$5:$C$1004,A182,Actions!$F$5:$F$1004))</f>
        <v/>
      </c>
      <c r="AM182" s="25"/>
    </row>
    <row r="183" customFormat="false" ht="15" hidden="false" customHeight="false" outlineLevel="0" collapsed="false">
      <c r="A183" s="23"/>
      <c r="B183" s="23"/>
      <c r="C183" s="23"/>
      <c r="D183" s="23"/>
      <c r="E183" s="23"/>
      <c r="F183" s="23"/>
      <c r="G183" s="23"/>
      <c r="H183" s="23"/>
      <c r="I183" s="23"/>
      <c r="J183" s="23"/>
      <c r="K183" s="24"/>
      <c r="L183" s="23"/>
      <c r="M183" s="25"/>
      <c r="N183" s="25"/>
      <c r="O183" s="23"/>
      <c r="P183" s="26"/>
      <c r="Q183" s="26"/>
      <c r="R183" s="27" t="str">
        <f aca="false">IF(AND(ISNUMBER(P183),ISNUMBER(Q183)),P183-Q183,"")</f>
        <v/>
      </c>
      <c r="S183" s="24"/>
      <c r="T183" s="28" t="str">
        <f aca="false">IF(S183&lt;&gt;"",S183,IF(B183="","",IFERROR(IF(INDEX(Batches!$G$5:$G$64,MATCH(B183,Batches!$A$5:$A$64,0))="","",INDEX(Batches!$G$5:$G$64,MATCH(B183,Batches!$A$5:$A$64,0))),"")))</f>
        <v/>
      </c>
      <c r="U183" s="23"/>
      <c r="V183" s="24"/>
      <c r="W183" s="28" t="str">
        <f aca="false">IF(OR(X183="",X183="Pending"),"",IF(V183&lt;&gt;"",V183,IFERROR(IF(INDEX(Batches!$H$5:$H$64,MATCH(B183,Batches!$A$5:$A$64,0))="","",INDEX(Batches!$H$5:$H$64,MATCH(B183,Batches!$A$5:$A$64,0))),"")))</f>
        <v/>
      </c>
      <c r="X183" s="23"/>
      <c r="Y183" s="23"/>
      <c r="Z183" s="26"/>
      <c r="AA183" s="27" t="str">
        <f aca="false">IF(R183="","",IF(X183="Not accepted",R183,IF(OR(X183="Accepted",X183="Withdrawn by hospital"),IF(X183="Accepted",0,R183),IF(ISNUMBER(Z183),R183-Z183,""))))</f>
        <v/>
      </c>
      <c r="AB183" s="23"/>
      <c r="AC183" s="25"/>
      <c r="AD183" s="23"/>
      <c r="AE183" s="23"/>
      <c r="AF183" s="24"/>
      <c r="AG183" s="23"/>
      <c r="AH183" s="24"/>
      <c r="AI183" s="29" t="str">
        <f aca="false">IF(X183="Not accepted","Maintained",IF(X183="Partially accepted","Partially maintained",IF(X183="Accepted","Reversed",IF(X183="Withdrawn by hospital","Withdrawn by hospital",""))))</f>
        <v/>
      </c>
      <c r="AJ183" s="28" t="str">
        <f aca="false">IF(AI183="","",W183)</f>
        <v/>
      </c>
      <c r="AK183" s="29" t="str">
        <f aca="false">IF(AND(ISNUMBER(T183),ISNUMBER(W183)),W183-T183,"")</f>
        <v/>
      </c>
      <c r="AL183" s="29" t="str">
        <f aca="false">IF(A183="","",SUMIF(Actions!$C$5:$C$1004,A183,Actions!$F$5:$F$1004))</f>
        <v/>
      </c>
      <c r="AM183" s="25"/>
    </row>
    <row r="184" customFormat="false" ht="15" hidden="false" customHeight="false" outlineLevel="0" collapsed="false">
      <c r="A184" s="23"/>
      <c r="B184" s="23"/>
      <c r="C184" s="23"/>
      <c r="D184" s="23"/>
      <c r="E184" s="23"/>
      <c r="F184" s="23"/>
      <c r="G184" s="23"/>
      <c r="H184" s="23"/>
      <c r="I184" s="23"/>
      <c r="J184" s="23"/>
      <c r="K184" s="24"/>
      <c r="L184" s="23"/>
      <c r="M184" s="25"/>
      <c r="N184" s="25"/>
      <c r="O184" s="23"/>
      <c r="P184" s="26"/>
      <c r="Q184" s="26"/>
      <c r="R184" s="27" t="str">
        <f aca="false">IF(AND(ISNUMBER(P184),ISNUMBER(Q184)),P184-Q184,"")</f>
        <v/>
      </c>
      <c r="S184" s="24"/>
      <c r="T184" s="28" t="str">
        <f aca="false">IF(S184&lt;&gt;"",S184,IF(B184="","",IFERROR(IF(INDEX(Batches!$G$5:$G$64,MATCH(B184,Batches!$A$5:$A$64,0))="","",INDEX(Batches!$G$5:$G$64,MATCH(B184,Batches!$A$5:$A$64,0))),"")))</f>
        <v/>
      </c>
      <c r="U184" s="23"/>
      <c r="V184" s="24"/>
      <c r="W184" s="28" t="str">
        <f aca="false">IF(OR(X184="",X184="Pending"),"",IF(V184&lt;&gt;"",V184,IFERROR(IF(INDEX(Batches!$H$5:$H$64,MATCH(B184,Batches!$A$5:$A$64,0))="","",INDEX(Batches!$H$5:$H$64,MATCH(B184,Batches!$A$5:$A$64,0))),"")))</f>
        <v/>
      </c>
      <c r="X184" s="23"/>
      <c r="Y184" s="23"/>
      <c r="Z184" s="26"/>
      <c r="AA184" s="27" t="str">
        <f aca="false">IF(R184="","",IF(X184="Not accepted",R184,IF(OR(X184="Accepted",X184="Withdrawn by hospital"),IF(X184="Accepted",0,R184),IF(ISNUMBER(Z184),R184-Z184,""))))</f>
        <v/>
      </c>
      <c r="AB184" s="23"/>
      <c r="AC184" s="25"/>
      <c r="AD184" s="23"/>
      <c r="AE184" s="23"/>
      <c r="AF184" s="24"/>
      <c r="AG184" s="23"/>
      <c r="AH184" s="24"/>
      <c r="AI184" s="29" t="str">
        <f aca="false">IF(X184="Not accepted","Maintained",IF(X184="Partially accepted","Partially maintained",IF(X184="Accepted","Reversed",IF(X184="Withdrawn by hospital","Withdrawn by hospital",""))))</f>
        <v/>
      </c>
      <c r="AJ184" s="28" t="str">
        <f aca="false">IF(AI184="","",W184)</f>
        <v/>
      </c>
      <c r="AK184" s="29" t="str">
        <f aca="false">IF(AND(ISNUMBER(T184),ISNUMBER(W184)),W184-T184,"")</f>
        <v/>
      </c>
      <c r="AL184" s="29" t="str">
        <f aca="false">IF(A184="","",SUMIF(Actions!$C$5:$C$1004,A184,Actions!$F$5:$F$1004))</f>
        <v/>
      </c>
      <c r="AM184" s="25"/>
    </row>
    <row r="185" customFormat="false" ht="15" hidden="false" customHeight="false" outlineLevel="0" collapsed="false">
      <c r="A185" s="23"/>
      <c r="B185" s="23"/>
      <c r="C185" s="23"/>
      <c r="D185" s="23"/>
      <c r="E185" s="23"/>
      <c r="F185" s="23"/>
      <c r="G185" s="23"/>
      <c r="H185" s="23"/>
      <c r="I185" s="23"/>
      <c r="J185" s="23"/>
      <c r="K185" s="24"/>
      <c r="L185" s="23"/>
      <c r="M185" s="25"/>
      <c r="N185" s="25"/>
      <c r="O185" s="23"/>
      <c r="P185" s="26"/>
      <c r="Q185" s="26"/>
      <c r="R185" s="27" t="str">
        <f aca="false">IF(AND(ISNUMBER(P185),ISNUMBER(Q185)),P185-Q185,"")</f>
        <v/>
      </c>
      <c r="S185" s="24"/>
      <c r="T185" s="28" t="str">
        <f aca="false">IF(S185&lt;&gt;"",S185,IF(B185="","",IFERROR(IF(INDEX(Batches!$G$5:$G$64,MATCH(B185,Batches!$A$5:$A$64,0))="","",INDEX(Batches!$G$5:$G$64,MATCH(B185,Batches!$A$5:$A$64,0))),"")))</f>
        <v/>
      </c>
      <c r="U185" s="23"/>
      <c r="V185" s="24"/>
      <c r="W185" s="28" t="str">
        <f aca="false">IF(OR(X185="",X185="Pending"),"",IF(V185&lt;&gt;"",V185,IFERROR(IF(INDEX(Batches!$H$5:$H$64,MATCH(B185,Batches!$A$5:$A$64,0))="","",INDEX(Batches!$H$5:$H$64,MATCH(B185,Batches!$A$5:$A$64,0))),"")))</f>
        <v/>
      </c>
      <c r="X185" s="23"/>
      <c r="Y185" s="23"/>
      <c r="Z185" s="26"/>
      <c r="AA185" s="27" t="str">
        <f aca="false">IF(R185="","",IF(X185="Not accepted",R185,IF(OR(X185="Accepted",X185="Withdrawn by hospital"),IF(X185="Accepted",0,R185),IF(ISNUMBER(Z185),R185-Z185,""))))</f>
        <v/>
      </c>
      <c r="AB185" s="23"/>
      <c r="AC185" s="25"/>
      <c r="AD185" s="23"/>
      <c r="AE185" s="23"/>
      <c r="AF185" s="24"/>
      <c r="AG185" s="23"/>
      <c r="AH185" s="24"/>
      <c r="AI185" s="29" t="str">
        <f aca="false">IF(X185="Not accepted","Maintained",IF(X185="Partially accepted","Partially maintained",IF(X185="Accepted","Reversed",IF(X185="Withdrawn by hospital","Withdrawn by hospital",""))))</f>
        <v/>
      </c>
      <c r="AJ185" s="28" t="str">
        <f aca="false">IF(AI185="","",W185)</f>
        <v/>
      </c>
      <c r="AK185" s="29" t="str">
        <f aca="false">IF(AND(ISNUMBER(T185),ISNUMBER(W185)),W185-T185,"")</f>
        <v/>
      </c>
      <c r="AL185" s="29" t="str">
        <f aca="false">IF(A185="","",SUMIF(Actions!$C$5:$C$1004,A185,Actions!$F$5:$F$1004))</f>
        <v/>
      </c>
      <c r="AM185" s="25"/>
    </row>
    <row r="186" customFormat="false" ht="15" hidden="false" customHeight="false" outlineLevel="0" collapsed="false">
      <c r="A186" s="23"/>
      <c r="B186" s="23"/>
      <c r="C186" s="23"/>
      <c r="D186" s="23"/>
      <c r="E186" s="23"/>
      <c r="F186" s="23"/>
      <c r="G186" s="23"/>
      <c r="H186" s="23"/>
      <c r="I186" s="23"/>
      <c r="J186" s="23"/>
      <c r="K186" s="24"/>
      <c r="L186" s="23"/>
      <c r="M186" s="25"/>
      <c r="N186" s="25"/>
      <c r="O186" s="23"/>
      <c r="P186" s="26"/>
      <c r="Q186" s="26"/>
      <c r="R186" s="27" t="str">
        <f aca="false">IF(AND(ISNUMBER(P186),ISNUMBER(Q186)),P186-Q186,"")</f>
        <v/>
      </c>
      <c r="S186" s="24"/>
      <c r="T186" s="28" t="str">
        <f aca="false">IF(S186&lt;&gt;"",S186,IF(B186="","",IFERROR(IF(INDEX(Batches!$G$5:$G$64,MATCH(B186,Batches!$A$5:$A$64,0))="","",INDEX(Batches!$G$5:$G$64,MATCH(B186,Batches!$A$5:$A$64,0))),"")))</f>
        <v/>
      </c>
      <c r="U186" s="23"/>
      <c r="V186" s="24"/>
      <c r="W186" s="28" t="str">
        <f aca="false">IF(OR(X186="",X186="Pending"),"",IF(V186&lt;&gt;"",V186,IFERROR(IF(INDEX(Batches!$H$5:$H$64,MATCH(B186,Batches!$A$5:$A$64,0))="","",INDEX(Batches!$H$5:$H$64,MATCH(B186,Batches!$A$5:$A$64,0))),"")))</f>
        <v/>
      </c>
      <c r="X186" s="23"/>
      <c r="Y186" s="23"/>
      <c r="Z186" s="26"/>
      <c r="AA186" s="27" t="str">
        <f aca="false">IF(R186="","",IF(X186="Not accepted",R186,IF(OR(X186="Accepted",X186="Withdrawn by hospital"),IF(X186="Accepted",0,R186),IF(ISNUMBER(Z186),R186-Z186,""))))</f>
        <v/>
      </c>
      <c r="AB186" s="23"/>
      <c r="AC186" s="25"/>
      <c r="AD186" s="23"/>
      <c r="AE186" s="23"/>
      <c r="AF186" s="24"/>
      <c r="AG186" s="23"/>
      <c r="AH186" s="24"/>
      <c r="AI186" s="29" t="str">
        <f aca="false">IF(X186="Not accepted","Maintained",IF(X186="Partially accepted","Partially maintained",IF(X186="Accepted","Reversed",IF(X186="Withdrawn by hospital","Withdrawn by hospital",""))))</f>
        <v/>
      </c>
      <c r="AJ186" s="28" t="str">
        <f aca="false">IF(AI186="","",W186)</f>
        <v/>
      </c>
      <c r="AK186" s="29" t="str">
        <f aca="false">IF(AND(ISNUMBER(T186),ISNUMBER(W186)),W186-T186,"")</f>
        <v/>
      </c>
      <c r="AL186" s="29" t="str">
        <f aca="false">IF(A186="","",SUMIF(Actions!$C$5:$C$1004,A186,Actions!$F$5:$F$1004))</f>
        <v/>
      </c>
      <c r="AM186" s="25"/>
    </row>
    <row r="187" customFormat="false" ht="15" hidden="false" customHeight="false" outlineLevel="0" collapsed="false">
      <c r="A187" s="23"/>
      <c r="B187" s="23"/>
      <c r="C187" s="23"/>
      <c r="D187" s="23"/>
      <c r="E187" s="23"/>
      <c r="F187" s="23"/>
      <c r="G187" s="23"/>
      <c r="H187" s="23"/>
      <c r="I187" s="23"/>
      <c r="J187" s="23"/>
      <c r="K187" s="24"/>
      <c r="L187" s="23"/>
      <c r="M187" s="25"/>
      <c r="N187" s="25"/>
      <c r="O187" s="23"/>
      <c r="P187" s="26"/>
      <c r="Q187" s="26"/>
      <c r="R187" s="27" t="str">
        <f aca="false">IF(AND(ISNUMBER(P187),ISNUMBER(Q187)),P187-Q187,"")</f>
        <v/>
      </c>
      <c r="S187" s="24"/>
      <c r="T187" s="28" t="str">
        <f aca="false">IF(S187&lt;&gt;"",S187,IF(B187="","",IFERROR(IF(INDEX(Batches!$G$5:$G$64,MATCH(B187,Batches!$A$5:$A$64,0))="","",INDEX(Batches!$G$5:$G$64,MATCH(B187,Batches!$A$5:$A$64,0))),"")))</f>
        <v/>
      </c>
      <c r="U187" s="23"/>
      <c r="V187" s="24"/>
      <c r="W187" s="28" t="str">
        <f aca="false">IF(OR(X187="",X187="Pending"),"",IF(V187&lt;&gt;"",V187,IFERROR(IF(INDEX(Batches!$H$5:$H$64,MATCH(B187,Batches!$A$5:$A$64,0))="","",INDEX(Batches!$H$5:$H$64,MATCH(B187,Batches!$A$5:$A$64,0))),"")))</f>
        <v/>
      </c>
      <c r="X187" s="23"/>
      <c r="Y187" s="23"/>
      <c r="Z187" s="26"/>
      <c r="AA187" s="27" t="str">
        <f aca="false">IF(R187="","",IF(X187="Not accepted",R187,IF(OR(X187="Accepted",X187="Withdrawn by hospital"),IF(X187="Accepted",0,R187),IF(ISNUMBER(Z187),R187-Z187,""))))</f>
        <v/>
      </c>
      <c r="AB187" s="23"/>
      <c r="AC187" s="25"/>
      <c r="AD187" s="23"/>
      <c r="AE187" s="23"/>
      <c r="AF187" s="24"/>
      <c r="AG187" s="23"/>
      <c r="AH187" s="24"/>
      <c r="AI187" s="29" t="str">
        <f aca="false">IF(X187="Not accepted","Maintained",IF(X187="Partially accepted","Partially maintained",IF(X187="Accepted","Reversed",IF(X187="Withdrawn by hospital","Withdrawn by hospital",""))))</f>
        <v/>
      </c>
      <c r="AJ187" s="28" t="str">
        <f aca="false">IF(AI187="","",W187)</f>
        <v/>
      </c>
      <c r="AK187" s="29" t="str">
        <f aca="false">IF(AND(ISNUMBER(T187),ISNUMBER(W187)),W187-T187,"")</f>
        <v/>
      </c>
      <c r="AL187" s="29" t="str">
        <f aca="false">IF(A187="","",SUMIF(Actions!$C$5:$C$1004,A187,Actions!$F$5:$F$1004))</f>
        <v/>
      </c>
      <c r="AM187" s="25"/>
    </row>
    <row r="188" customFormat="false" ht="15" hidden="false" customHeight="false" outlineLevel="0" collapsed="false">
      <c r="A188" s="23"/>
      <c r="B188" s="23"/>
      <c r="C188" s="23"/>
      <c r="D188" s="23"/>
      <c r="E188" s="23"/>
      <c r="F188" s="23"/>
      <c r="G188" s="23"/>
      <c r="H188" s="23"/>
      <c r="I188" s="23"/>
      <c r="J188" s="23"/>
      <c r="K188" s="24"/>
      <c r="L188" s="23"/>
      <c r="M188" s="25"/>
      <c r="N188" s="25"/>
      <c r="O188" s="23"/>
      <c r="P188" s="26"/>
      <c r="Q188" s="26"/>
      <c r="R188" s="27" t="str">
        <f aca="false">IF(AND(ISNUMBER(P188),ISNUMBER(Q188)),P188-Q188,"")</f>
        <v/>
      </c>
      <c r="S188" s="24"/>
      <c r="T188" s="28" t="str">
        <f aca="false">IF(S188&lt;&gt;"",S188,IF(B188="","",IFERROR(IF(INDEX(Batches!$G$5:$G$64,MATCH(B188,Batches!$A$5:$A$64,0))="","",INDEX(Batches!$G$5:$G$64,MATCH(B188,Batches!$A$5:$A$64,0))),"")))</f>
        <v/>
      </c>
      <c r="U188" s="23"/>
      <c r="V188" s="24"/>
      <c r="W188" s="28" t="str">
        <f aca="false">IF(OR(X188="",X188="Pending"),"",IF(V188&lt;&gt;"",V188,IFERROR(IF(INDEX(Batches!$H$5:$H$64,MATCH(B188,Batches!$A$5:$A$64,0))="","",INDEX(Batches!$H$5:$H$64,MATCH(B188,Batches!$A$5:$A$64,0))),"")))</f>
        <v/>
      </c>
      <c r="X188" s="23"/>
      <c r="Y188" s="23"/>
      <c r="Z188" s="26"/>
      <c r="AA188" s="27" t="str">
        <f aca="false">IF(R188="","",IF(X188="Not accepted",R188,IF(OR(X188="Accepted",X188="Withdrawn by hospital"),IF(X188="Accepted",0,R188),IF(ISNUMBER(Z188),R188-Z188,""))))</f>
        <v/>
      </c>
      <c r="AB188" s="23"/>
      <c r="AC188" s="25"/>
      <c r="AD188" s="23"/>
      <c r="AE188" s="23"/>
      <c r="AF188" s="24"/>
      <c r="AG188" s="23"/>
      <c r="AH188" s="24"/>
      <c r="AI188" s="29" t="str">
        <f aca="false">IF(X188="Not accepted","Maintained",IF(X188="Partially accepted","Partially maintained",IF(X188="Accepted","Reversed",IF(X188="Withdrawn by hospital","Withdrawn by hospital",""))))</f>
        <v/>
      </c>
      <c r="AJ188" s="28" t="str">
        <f aca="false">IF(AI188="","",W188)</f>
        <v/>
      </c>
      <c r="AK188" s="29" t="str">
        <f aca="false">IF(AND(ISNUMBER(T188),ISNUMBER(W188)),W188-T188,"")</f>
        <v/>
      </c>
      <c r="AL188" s="29" t="str">
        <f aca="false">IF(A188="","",SUMIF(Actions!$C$5:$C$1004,A188,Actions!$F$5:$F$1004))</f>
        <v/>
      </c>
      <c r="AM188" s="25"/>
    </row>
    <row r="189" customFormat="false" ht="15" hidden="false" customHeight="false" outlineLevel="0" collapsed="false">
      <c r="A189" s="23"/>
      <c r="B189" s="23"/>
      <c r="C189" s="23"/>
      <c r="D189" s="23"/>
      <c r="E189" s="23"/>
      <c r="F189" s="23"/>
      <c r="G189" s="23"/>
      <c r="H189" s="23"/>
      <c r="I189" s="23"/>
      <c r="J189" s="23"/>
      <c r="K189" s="24"/>
      <c r="L189" s="23"/>
      <c r="M189" s="25"/>
      <c r="N189" s="25"/>
      <c r="O189" s="23"/>
      <c r="P189" s="26"/>
      <c r="Q189" s="26"/>
      <c r="R189" s="27" t="str">
        <f aca="false">IF(AND(ISNUMBER(P189),ISNUMBER(Q189)),P189-Q189,"")</f>
        <v/>
      </c>
      <c r="S189" s="24"/>
      <c r="T189" s="28" t="str">
        <f aca="false">IF(S189&lt;&gt;"",S189,IF(B189="","",IFERROR(IF(INDEX(Batches!$G$5:$G$64,MATCH(B189,Batches!$A$5:$A$64,0))="","",INDEX(Batches!$G$5:$G$64,MATCH(B189,Batches!$A$5:$A$64,0))),"")))</f>
        <v/>
      </c>
      <c r="U189" s="23"/>
      <c r="V189" s="24"/>
      <c r="W189" s="28" t="str">
        <f aca="false">IF(OR(X189="",X189="Pending"),"",IF(V189&lt;&gt;"",V189,IFERROR(IF(INDEX(Batches!$H$5:$H$64,MATCH(B189,Batches!$A$5:$A$64,0))="","",INDEX(Batches!$H$5:$H$64,MATCH(B189,Batches!$A$5:$A$64,0))),"")))</f>
        <v/>
      </c>
      <c r="X189" s="23"/>
      <c r="Y189" s="23"/>
      <c r="Z189" s="26"/>
      <c r="AA189" s="27" t="str">
        <f aca="false">IF(R189="","",IF(X189="Not accepted",R189,IF(OR(X189="Accepted",X189="Withdrawn by hospital"),IF(X189="Accepted",0,R189),IF(ISNUMBER(Z189),R189-Z189,""))))</f>
        <v/>
      </c>
      <c r="AB189" s="23"/>
      <c r="AC189" s="25"/>
      <c r="AD189" s="23"/>
      <c r="AE189" s="23"/>
      <c r="AF189" s="24"/>
      <c r="AG189" s="23"/>
      <c r="AH189" s="24"/>
      <c r="AI189" s="29" t="str">
        <f aca="false">IF(X189="Not accepted","Maintained",IF(X189="Partially accepted","Partially maintained",IF(X189="Accepted","Reversed",IF(X189="Withdrawn by hospital","Withdrawn by hospital",""))))</f>
        <v/>
      </c>
      <c r="AJ189" s="28" t="str">
        <f aca="false">IF(AI189="","",W189)</f>
        <v/>
      </c>
      <c r="AK189" s="29" t="str">
        <f aca="false">IF(AND(ISNUMBER(T189),ISNUMBER(W189)),W189-T189,"")</f>
        <v/>
      </c>
      <c r="AL189" s="29" t="str">
        <f aca="false">IF(A189="","",SUMIF(Actions!$C$5:$C$1004,A189,Actions!$F$5:$F$1004))</f>
        <v/>
      </c>
      <c r="AM189" s="25"/>
    </row>
    <row r="190" customFormat="false" ht="15" hidden="false" customHeight="false" outlineLevel="0" collapsed="false">
      <c r="A190" s="23"/>
      <c r="B190" s="23"/>
      <c r="C190" s="23"/>
      <c r="D190" s="23"/>
      <c r="E190" s="23"/>
      <c r="F190" s="23"/>
      <c r="G190" s="23"/>
      <c r="H190" s="23"/>
      <c r="I190" s="23"/>
      <c r="J190" s="23"/>
      <c r="K190" s="24"/>
      <c r="L190" s="23"/>
      <c r="M190" s="25"/>
      <c r="N190" s="25"/>
      <c r="O190" s="23"/>
      <c r="P190" s="26"/>
      <c r="Q190" s="26"/>
      <c r="R190" s="27" t="str">
        <f aca="false">IF(AND(ISNUMBER(P190),ISNUMBER(Q190)),P190-Q190,"")</f>
        <v/>
      </c>
      <c r="S190" s="24"/>
      <c r="T190" s="28" t="str">
        <f aca="false">IF(S190&lt;&gt;"",S190,IF(B190="","",IFERROR(IF(INDEX(Batches!$G$5:$G$64,MATCH(B190,Batches!$A$5:$A$64,0))="","",INDEX(Batches!$G$5:$G$64,MATCH(B190,Batches!$A$5:$A$64,0))),"")))</f>
        <v/>
      </c>
      <c r="U190" s="23"/>
      <c r="V190" s="24"/>
      <c r="W190" s="28" t="str">
        <f aca="false">IF(OR(X190="",X190="Pending"),"",IF(V190&lt;&gt;"",V190,IFERROR(IF(INDEX(Batches!$H$5:$H$64,MATCH(B190,Batches!$A$5:$A$64,0))="","",INDEX(Batches!$H$5:$H$64,MATCH(B190,Batches!$A$5:$A$64,0))),"")))</f>
        <v/>
      </c>
      <c r="X190" s="23"/>
      <c r="Y190" s="23"/>
      <c r="Z190" s="26"/>
      <c r="AA190" s="27" t="str">
        <f aca="false">IF(R190="","",IF(X190="Not accepted",R190,IF(OR(X190="Accepted",X190="Withdrawn by hospital"),IF(X190="Accepted",0,R190),IF(ISNUMBER(Z190),R190-Z190,""))))</f>
        <v/>
      </c>
      <c r="AB190" s="23"/>
      <c r="AC190" s="25"/>
      <c r="AD190" s="23"/>
      <c r="AE190" s="23"/>
      <c r="AF190" s="24"/>
      <c r="AG190" s="23"/>
      <c r="AH190" s="24"/>
      <c r="AI190" s="29" t="str">
        <f aca="false">IF(X190="Not accepted","Maintained",IF(X190="Partially accepted","Partially maintained",IF(X190="Accepted","Reversed",IF(X190="Withdrawn by hospital","Withdrawn by hospital",""))))</f>
        <v/>
      </c>
      <c r="AJ190" s="28" t="str">
        <f aca="false">IF(AI190="","",W190)</f>
        <v/>
      </c>
      <c r="AK190" s="29" t="str">
        <f aca="false">IF(AND(ISNUMBER(T190),ISNUMBER(W190)),W190-T190,"")</f>
        <v/>
      </c>
      <c r="AL190" s="29" t="str">
        <f aca="false">IF(A190="","",SUMIF(Actions!$C$5:$C$1004,A190,Actions!$F$5:$F$1004))</f>
        <v/>
      </c>
      <c r="AM190" s="25"/>
    </row>
    <row r="191" customFormat="false" ht="15" hidden="false" customHeight="false" outlineLevel="0" collapsed="false">
      <c r="A191" s="23"/>
      <c r="B191" s="23"/>
      <c r="C191" s="23"/>
      <c r="D191" s="23"/>
      <c r="E191" s="23"/>
      <c r="F191" s="23"/>
      <c r="G191" s="23"/>
      <c r="H191" s="23"/>
      <c r="I191" s="23"/>
      <c r="J191" s="23"/>
      <c r="K191" s="24"/>
      <c r="L191" s="23"/>
      <c r="M191" s="25"/>
      <c r="N191" s="25"/>
      <c r="O191" s="23"/>
      <c r="P191" s="26"/>
      <c r="Q191" s="26"/>
      <c r="R191" s="27" t="str">
        <f aca="false">IF(AND(ISNUMBER(P191),ISNUMBER(Q191)),P191-Q191,"")</f>
        <v/>
      </c>
      <c r="S191" s="24"/>
      <c r="T191" s="28" t="str">
        <f aca="false">IF(S191&lt;&gt;"",S191,IF(B191="","",IFERROR(IF(INDEX(Batches!$G$5:$G$64,MATCH(B191,Batches!$A$5:$A$64,0))="","",INDEX(Batches!$G$5:$G$64,MATCH(B191,Batches!$A$5:$A$64,0))),"")))</f>
        <v/>
      </c>
      <c r="U191" s="23"/>
      <c r="V191" s="24"/>
      <c r="W191" s="28" t="str">
        <f aca="false">IF(OR(X191="",X191="Pending"),"",IF(V191&lt;&gt;"",V191,IFERROR(IF(INDEX(Batches!$H$5:$H$64,MATCH(B191,Batches!$A$5:$A$64,0))="","",INDEX(Batches!$H$5:$H$64,MATCH(B191,Batches!$A$5:$A$64,0))),"")))</f>
        <v/>
      </c>
      <c r="X191" s="23"/>
      <c r="Y191" s="23"/>
      <c r="Z191" s="26"/>
      <c r="AA191" s="27" t="str">
        <f aca="false">IF(R191="","",IF(X191="Not accepted",R191,IF(OR(X191="Accepted",X191="Withdrawn by hospital"),IF(X191="Accepted",0,R191),IF(ISNUMBER(Z191),R191-Z191,""))))</f>
        <v/>
      </c>
      <c r="AB191" s="23"/>
      <c r="AC191" s="25"/>
      <c r="AD191" s="23"/>
      <c r="AE191" s="23"/>
      <c r="AF191" s="24"/>
      <c r="AG191" s="23"/>
      <c r="AH191" s="24"/>
      <c r="AI191" s="29" t="str">
        <f aca="false">IF(X191="Not accepted","Maintained",IF(X191="Partially accepted","Partially maintained",IF(X191="Accepted","Reversed",IF(X191="Withdrawn by hospital","Withdrawn by hospital",""))))</f>
        <v/>
      </c>
      <c r="AJ191" s="28" t="str">
        <f aca="false">IF(AI191="","",W191)</f>
        <v/>
      </c>
      <c r="AK191" s="29" t="str">
        <f aca="false">IF(AND(ISNUMBER(T191),ISNUMBER(W191)),W191-T191,"")</f>
        <v/>
      </c>
      <c r="AL191" s="29" t="str">
        <f aca="false">IF(A191="","",SUMIF(Actions!$C$5:$C$1004,A191,Actions!$F$5:$F$1004))</f>
        <v/>
      </c>
      <c r="AM191" s="25"/>
    </row>
    <row r="192" customFormat="false" ht="15" hidden="false" customHeight="false" outlineLevel="0" collapsed="false">
      <c r="A192" s="23"/>
      <c r="B192" s="23"/>
      <c r="C192" s="23"/>
      <c r="D192" s="23"/>
      <c r="E192" s="23"/>
      <c r="F192" s="23"/>
      <c r="G192" s="23"/>
      <c r="H192" s="23"/>
      <c r="I192" s="23"/>
      <c r="J192" s="23"/>
      <c r="K192" s="24"/>
      <c r="L192" s="23"/>
      <c r="M192" s="25"/>
      <c r="N192" s="25"/>
      <c r="O192" s="23"/>
      <c r="P192" s="26"/>
      <c r="Q192" s="26"/>
      <c r="R192" s="27" t="str">
        <f aca="false">IF(AND(ISNUMBER(P192),ISNUMBER(Q192)),P192-Q192,"")</f>
        <v/>
      </c>
      <c r="S192" s="24"/>
      <c r="T192" s="28" t="str">
        <f aca="false">IF(S192&lt;&gt;"",S192,IF(B192="","",IFERROR(IF(INDEX(Batches!$G$5:$G$64,MATCH(B192,Batches!$A$5:$A$64,0))="","",INDEX(Batches!$G$5:$G$64,MATCH(B192,Batches!$A$5:$A$64,0))),"")))</f>
        <v/>
      </c>
      <c r="U192" s="23"/>
      <c r="V192" s="24"/>
      <c r="W192" s="28" t="str">
        <f aca="false">IF(OR(X192="",X192="Pending"),"",IF(V192&lt;&gt;"",V192,IFERROR(IF(INDEX(Batches!$H$5:$H$64,MATCH(B192,Batches!$A$5:$A$64,0))="","",INDEX(Batches!$H$5:$H$64,MATCH(B192,Batches!$A$5:$A$64,0))),"")))</f>
        <v/>
      </c>
      <c r="X192" s="23"/>
      <c r="Y192" s="23"/>
      <c r="Z192" s="26"/>
      <c r="AA192" s="27" t="str">
        <f aca="false">IF(R192="","",IF(X192="Not accepted",R192,IF(OR(X192="Accepted",X192="Withdrawn by hospital"),IF(X192="Accepted",0,R192),IF(ISNUMBER(Z192),R192-Z192,""))))</f>
        <v/>
      </c>
      <c r="AB192" s="23"/>
      <c r="AC192" s="25"/>
      <c r="AD192" s="23"/>
      <c r="AE192" s="23"/>
      <c r="AF192" s="24"/>
      <c r="AG192" s="23"/>
      <c r="AH192" s="24"/>
      <c r="AI192" s="29" t="str">
        <f aca="false">IF(X192="Not accepted","Maintained",IF(X192="Partially accepted","Partially maintained",IF(X192="Accepted","Reversed",IF(X192="Withdrawn by hospital","Withdrawn by hospital",""))))</f>
        <v/>
      </c>
      <c r="AJ192" s="28" t="str">
        <f aca="false">IF(AI192="","",W192)</f>
        <v/>
      </c>
      <c r="AK192" s="29" t="str">
        <f aca="false">IF(AND(ISNUMBER(T192),ISNUMBER(W192)),W192-T192,"")</f>
        <v/>
      </c>
      <c r="AL192" s="29" t="str">
        <f aca="false">IF(A192="","",SUMIF(Actions!$C$5:$C$1004,A192,Actions!$F$5:$F$1004))</f>
        <v/>
      </c>
      <c r="AM192" s="25"/>
    </row>
    <row r="193" customFormat="false" ht="15" hidden="false" customHeight="false" outlineLevel="0" collapsed="false">
      <c r="A193" s="23"/>
      <c r="B193" s="23"/>
      <c r="C193" s="23"/>
      <c r="D193" s="23"/>
      <c r="E193" s="23"/>
      <c r="F193" s="23"/>
      <c r="G193" s="23"/>
      <c r="H193" s="23"/>
      <c r="I193" s="23"/>
      <c r="J193" s="23"/>
      <c r="K193" s="24"/>
      <c r="L193" s="23"/>
      <c r="M193" s="25"/>
      <c r="N193" s="25"/>
      <c r="O193" s="23"/>
      <c r="P193" s="26"/>
      <c r="Q193" s="26"/>
      <c r="R193" s="27" t="str">
        <f aca="false">IF(AND(ISNUMBER(P193),ISNUMBER(Q193)),P193-Q193,"")</f>
        <v/>
      </c>
      <c r="S193" s="24"/>
      <c r="T193" s="28" t="str">
        <f aca="false">IF(S193&lt;&gt;"",S193,IF(B193="","",IFERROR(IF(INDEX(Batches!$G$5:$G$64,MATCH(B193,Batches!$A$5:$A$64,0))="","",INDEX(Batches!$G$5:$G$64,MATCH(B193,Batches!$A$5:$A$64,0))),"")))</f>
        <v/>
      </c>
      <c r="U193" s="23"/>
      <c r="V193" s="24"/>
      <c r="W193" s="28" t="str">
        <f aca="false">IF(OR(X193="",X193="Pending"),"",IF(V193&lt;&gt;"",V193,IFERROR(IF(INDEX(Batches!$H$5:$H$64,MATCH(B193,Batches!$A$5:$A$64,0))="","",INDEX(Batches!$H$5:$H$64,MATCH(B193,Batches!$A$5:$A$64,0))),"")))</f>
        <v/>
      </c>
      <c r="X193" s="23"/>
      <c r="Y193" s="23"/>
      <c r="Z193" s="26"/>
      <c r="AA193" s="27" t="str">
        <f aca="false">IF(R193="","",IF(X193="Not accepted",R193,IF(OR(X193="Accepted",X193="Withdrawn by hospital"),IF(X193="Accepted",0,R193),IF(ISNUMBER(Z193),R193-Z193,""))))</f>
        <v/>
      </c>
      <c r="AB193" s="23"/>
      <c r="AC193" s="25"/>
      <c r="AD193" s="23"/>
      <c r="AE193" s="23"/>
      <c r="AF193" s="24"/>
      <c r="AG193" s="23"/>
      <c r="AH193" s="24"/>
      <c r="AI193" s="29" t="str">
        <f aca="false">IF(X193="Not accepted","Maintained",IF(X193="Partially accepted","Partially maintained",IF(X193="Accepted","Reversed",IF(X193="Withdrawn by hospital","Withdrawn by hospital",""))))</f>
        <v/>
      </c>
      <c r="AJ193" s="28" t="str">
        <f aca="false">IF(AI193="","",W193)</f>
        <v/>
      </c>
      <c r="AK193" s="29" t="str">
        <f aca="false">IF(AND(ISNUMBER(T193),ISNUMBER(W193)),W193-T193,"")</f>
        <v/>
      </c>
      <c r="AL193" s="29" t="str">
        <f aca="false">IF(A193="","",SUMIF(Actions!$C$5:$C$1004,A193,Actions!$F$5:$F$1004))</f>
        <v/>
      </c>
      <c r="AM193" s="25"/>
    </row>
    <row r="194" customFormat="false" ht="15" hidden="false" customHeight="false" outlineLevel="0" collapsed="false">
      <c r="A194" s="23"/>
      <c r="B194" s="23"/>
      <c r="C194" s="23"/>
      <c r="D194" s="23"/>
      <c r="E194" s="23"/>
      <c r="F194" s="23"/>
      <c r="G194" s="23"/>
      <c r="H194" s="23"/>
      <c r="I194" s="23"/>
      <c r="J194" s="23"/>
      <c r="K194" s="24"/>
      <c r="L194" s="23"/>
      <c r="M194" s="25"/>
      <c r="N194" s="25"/>
      <c r="O194" s="23"/>
      <c r="P194" s="26"/>
      <c r="Q194" s="26"/>
      <c r="R194" s="27" t="str">
        <f aca="false">IF(AND(ISNUMBER(P194),ISNUMBER(Q194)),P194-Q194,"")</f>
        <v/>
      </c>
      <c r="S194" s="24"/>
      <c r="T194" s="28" t="str">
        <f aca="false">IF(S194&lt;&gt;"",S194,IF(B194="","",IFERROR(IF(INDEX(Batches!$G$5:$G$64,MATCH(B194,Batches!$A$5:$A$64,0))="","",INDEX(Batches!$G$5:$G$64,MATCH(B194,Batches!$A$5:$A$64,0))),"")))</f>
        <v/>
      </c>
      <c r="U194" s="23"/>
      <c r="V194" s="24"/>
      <c r="W194" s="28" t="str">
        <f aca="false">IF(OR(X194="",X194="Pending"),"",IF(V194&lt;&gt;"",V194,IFERROR(IF(INDEX(Batches!$H$5:$H$64,MATCH(B194,Batches!$A$5:$A$64,0))="","",INDEX(Batches!$H$5:$H$64,MATCH(B194,Batches!$A$5:$A$64,0))),"")))</f>
        <v/>
      </c>
      <c r="X194" s="23"/>
      <c r="Y194" s="23"/>
      <c r="Z194" s="26"/>
      <c r="AA194" s="27" t="str">
        <f aca="false">IF(R194="","",IF(X194="Not accepted",R194,IF(OR(X194="Accepted",X194="Withdrawn by hospital"),IF(X194="Accepted",0,R194),IF(ISNUMBER(Z194),R194-Z194,""))))</f>
        <v/>
      </c>
      <c r="AB194" s="23"/>
      <c r="AC194" s="25"/>
      <c r="AD194" s="23"/>
      <c r="AE194" s="23"/>
      <c r="AF194" s="24"/>
      <c r="AG194" s="23"/>
      <c r="AH194" s="24"/>
      <c r="AI194" s="29" t="str">
        <f aca="false">IF(X194="Not accepted","Maintained",IF(X194="Partially accepted","Partially maintained",IF(X194="Accepted","Reversed",IF(X194="Withdrawn by hospital","Withdrawn by hospital",""))))</f>
        <v/>
      </c>
      <c r="AJ194" s="28" t="str">
        <f aca="false">IF(AI194="","",W194)</f>
        <v/>
      </c>
      <c r="AK194" s="29" t="str">
        <f aca="false">IF(AND(ISNUMBER(T194),ISNUMBER(W194)),W194-T194,"")</f>
        <v/>
      </c>
      <c r="AL194" s="29" t="str">
        <f aca="false">IF(A194="","",SUMIF(Actions!$C$5:$C$1004,A194,Actions!$F$5:$F$1004))</f>
        <v/>
      </c>
      <c r="AM194" s="25"/>
    </row>
    <row r="195" customFormat="false" ht="15" hidden="false" customHeight="false" outlineLevel="0" collapsed="false">
      <c r="A195" s="23"/>
      <c r="B195" s="23"/>
      <c r="C195" s="23"/>
      <c r="D195" s="23"/>
      <c r="E195" s="23"/>
      <c r="F195" s="23"/>
      <c r="G195" s="23"/>
      <c r="H195" s="23"/>
      <c r="I195" s="23"/>
      <c r="J195" s="23"/>
      <c r="K195" s="24"/>
      <c r="L195" s="23"/>
      <c r="M195" s="25"/>
      <c r="N195" s="25"/>
      <c r="O195" s="23"/>
      <c r="P195" s="26"/>
      <c r="Q195" s="26"/>
      <c r="R195" s="27" t="str">
        <f aca="false">IF(AND(ISNUMBER(P195),ISNUMBER(Q195)),P195-Q195,"")</f>
        <v/>
      </c>
      <c r="S195" s="24"/>
      <c r="T195" s="28" t="str">
        <f aca="false">IF(S195&lt;&gt;"",S195,IF(B195="","",IFERROR(IF(INDEX(Batches!$G$5:$G$64,MATCH(B195,Batches!$A$5:$A$64,0))="","",INDEX(Batches!$G$5:$G$64,MATCH(B195,Batches!$A$5:$A$64,0))),"")))</f>
        <v/>
      </c>
      <c r="U195" s="23"/>
      <c r="V195" s="24"/>
      <c r="W195" s="28" t="str">
        <f aca="false">IF(OR(X195="",X195="Pending"),"",IF(V195&lt;&gt;"",V195,IFERROR(IF(INDEX(Batches!$H$5:$H$64,MATCH(B195,Batches!$A$5:$A$64,0))="","",INDEX(Batches!$H$5:$H$64,MATCH(B195,Batches!$A$5:$A$64,0))),"")))</f>
        <v/>
      </c>
      <c r="X195" s="23"/>
      <c r="Y195" s="23"/>
      <c r="Z195" s="26"/>
      <c r="AA195" s="27" t="str">
        <f aca="false">IF(R195="","",IF(X195="Not accepted",R195,IF(OR(X195="Accepted",X195="Withdrawn by hospital"),IF(X195="Accepted",0,R195),IF(ISNUMBER(Z195),R195-Z195,""))))</f>
        <v/>
      </c>
      <c r="AB195" s="23"/>
      <c r="AC195" s="25"/>
      <c r="AD195" s="23"/>
      <c r="AE195" s="23"/>
      <c r="AF195" s="24"/>
      <c r="AG195" s="23"/>
      <c r="AH195" s="24"/>
      <c r="AI195" s="29" t="str">
        <f aca="false">IF(X195="Not accepted","Maintained",IF(X195="Partially accepted","Partially maintained",IF(X195="Accepted","Reversed",IF(X195="Withdrawn by hospital","Withdrawn by hospital",""))))</f>
        <v/>
      </c>
      <c r="AJ195" s="28" t="str">
        <f aca="false">IF(AI195="","",W195)</f>
        <v/>
      </c>
      <c r="AK195" s="29" t="str">
        <f aca="false">IF(AND(ISNUMBER(T195),ISNUMBER(W195)),W195-T195,"")</f>
        <v/>
      </c>
      <c r="AL195" s="29" t="str">
        <f aca="false">IF(A195="","",SUMIF(Actions!$C$5:$C$1004,A195,Actions!$F$5:$F$1004))</f>
        <v/>
      </c>
      <c r="AM195" s="25"/>
    </row>
    <row r="196" customFormat="false" ht="15" hidden="false" customHeight="false" outlineLevel="0" collapsed="false">
      <c r="A196" s="23"/>
      <c r="B196" s="23"/>
      <c r="C196" s="23"/>
      <c r="D196" s="23"/>
      <c r="E196" s="23"/>
      <c r="F196" s="23"/>
      <c r="G196" s="23"/>
      <c r="H196" s="23"/>
      <c r="I196" s="23"/>
      <c r="J196" s="23"/>
      <c r="K196" s="24"/>
      <c r="L196" s="23"/>
      <c r="M196" s="25"/>
      <c r="N196" s="25"/>
      <c r="O196" s="23"/>
      <c r="P196" s="26"/>
      <c r="Q196" s="26"/>
      <c r="R196" s="27" t="str">
        <f aca="false">IF(AND(ISNUMBER(P196),ISNUMBER(Q196)),P196-Q196,"")</f>
        <v/>
      </c>
      <c r="S196" s="24"/>
      <c r="T196" s="28" t="str">
        <f aca="false">IF(S196&lt;&gt;"",S196,IF(B196="","",IFERROR(IF(INDEX(Batches!$G$5:$G$64,MATCH(B196,Batches!$A$5:$A$64,0))="","",INDEX(Batches!$G$5:$G$64,MATCH(B196,Batches!$A$5:$A$64,0))),"")))</f>
        <v/>
      </c>
      <c r="U196" s="23"/>
      <c r="V196" s="24"/>
      <c r="W196" s="28" t="str">
        <f aca="false">IF(OR(X196="",X196="Pending"),"",IF(V196&lt;&gt;"",V196,IFERROR(IF(INDEX(Batches!$H$5:$H$64,MATCH(B196,Batches!$A$5:$A$64,0))="","",INDEX(Batches!$H$5:$H$64,MATCH(B196,Batches!$A$5:$A$64,0))),"")))</f>
        <v/>
      </c>
      <c r="X196" s="23"/>
      <c r="Y196" s="23"/>
      <c r="Z196" s="26"/>
      <c r="AA196" s="27" t="str">
        <f aca="false">IF(R196="","",IF(X196="Not accepted",R196,IF(OR(X196="Accepted",X196="Withdrawn by hospital"),IF(X196="Accepted",0,R196),IF(ISNUMBER(Z196),R196-Z196,""))))</f>
        <v/>
      </c>
      <c r="AB196" s="23"/>
      <c r="AC196" s="25"/>
      <c r="AD196" s="23"/>
      <c r="AE196" s="23"/>
      <c r="AF196" s="24"/>
      <c r="AG196" s="23"/>
      <c r="AH196" s="24"/>
      <c r="AI196" s="29" t="str">
        <f aca="false">IF(X196="Not accepted","Maintained",IF(X196="Partially accepted","Partially maintained",IF(X196="Accepted","Reversed",IF(X196="Withdrawn by hospital","Withdrawn by hospital",""))))</f>
        <v/>
      </c>
      <c r="AJ196" s="28" t="str">
        <f aca="false">IF(AI196="","",W196)</f>
        <v/>
      </c>
      <c r="AK196" s="29" t="str">
        <f aca="false">IF(AND(ISNUMBER(T196),ISNUMBER(W196)),W196-T196,"")</f>
        <v/>
      </c>
      <c r="AL196" s="29" t="str">
        <f aca="false">IF(A196="","",SUMIF(Actions!$C$5:$C$1004,A196,Actions!$F$5:$F$1004))</f>
        <v/>
      </c>
      <c r="AM196" s="25"/>
    </row>
    <row r="197" customFormat="false" ht="15" hidden="false" customHeight="false" outlineLevel="0" collapsed="false">
      <c r="A197" s="23"/>
      <c r="B197" s="23"/>
      <c r="C197" s="23"/>
      <c r="D197" s="23"/>
      <c r="E197" s="23"/>
      <c r="F197" s="23"/>
      <c r="G197" s="23"/>
      <c r="H197" s="23"/>
      <c r="I197" s="23"/>
      <c r="J197" s="23"/>
      <c r="K197" s="24"/>
      <c r="L197" s="23"/>
      <c r="M197" s="25"/>
      <c r="N197" s="25"/>
      <c r="O197" s="23"/>
      <c r="P197" s="26"/>
      <c r="Q197" s="26"/>
      <c r="R197" s="27" t="str">
        <f aca="false">IF(AND(ISNUMBER(P197),ISNUMBER(Q197)),P197-Q197,"")</f>
        <v/>
      </c>
      <c r="S197" s="24"/>
      <c r="T197" s="28" t="str">
        <f aca="false">IF(S197&lt;&gt;"",S197,IF(B197="","",IFERROR(IF(INDEX(Batches!$G$5:$G$64,MATCH(B197,Batches!$A$5:$A$64,0))="","",INDEX(Batches!$G$5:$G$64,MATCH(B197,Batches!$A$5:$A$64,0))),"")))</f>
        <v/>
      </c>
      <c r="U197" s="23"/>
      <c r="V197" s="24"/>
      <c r="W197" s="28" t="str">
        <f aca="false">IF(OR(X197="",X197="Pending"),"",IF(V197&lt;&gt;"",V197,IFERROR(IF(INDEX(Batches!$H$5:$H$64,MATCH(B197,Batches!$A$5:$A$64,0))="","",INDEX(Batches!$H$5:$H$64,MATCH(B197,Batches!$A$5:$A$64,0))),"")))</f>
        <v/>
      </c>
      <c r="X197" s="23"/>
      <c r="Y197" s="23"/>
      <c r="Z197" s="26"/>
      <c r="AA197" s="27" t="str">
        <f aca="false">IF(R197="","",IF(X197="Not accepted",R197,IF(OR(X197="Accepted",X197="Withdrawn by hospital"),IF(X197="Accepted",0,R197),IF(ISNUMBER(Z197),R197-Z197,""))))</f>
        <v/>
      </c>
      <c r="AB197" s="23"/>
      <c r="AC197" s="25"/>
      <c r="AD197" s="23"/>
      <c r="AE197" s="23"/>
      <c r="AF197" s="24"/>
      <c r="AG197" s="23"/>
      <c r="AH197" s="24"/>
      <c r="AI197" s="29" t="str">
        <f aca="false">IF(X197="Not accepted","Maintained",IF(X197="Partially accepted","Partially maintained",IF(X197="Accepted","Reversed",IF(X197="Withdrawn by hospital","Withdrawn by hospital",""))))</f>
        <v/>
      </c>
      <c r="AJ197" s="28" t="str">
        <f aca="false">IF(AI197="","",W197)</f>
        <v/>
      </c>
      <c r="AK197" s="29" t="str">
        <f aca="false">IF(AND(ISNUMBER(T197),ISNUMBER(W197)),W197-T197,"")</f>
        <v/>
      </c>
      <c r="AL197" s="29" t="str">
        <f aca="false">IF(A197="","",SUMIF(Actions!$C$5:$C$1004,A197,Actions!$F$5:$F$1004))</f>
        <v/>
      </c>
      <c r="AM197" s="25"/>
    </row>
    <row r="198" customFormat="false" ht="15" hidden="false" customHeight="false" outlineLevel="0" collapsed="false">
      <c r="A198" s="23"/>
      <c r="B198" s="23"/>
      <c r="C198" s="23"/>
      <c r="D198" s="23"/>
      <c r="E198" s="23"/>
      <c r="F198" s="23"/>
      <c r="G198" s="23"/>
      <c r="H198" s="23"/>
      <c r="I198" s="23"/>
      <c r="J198" s="23"/>
      <c r="K198" s="24"/>
      <c r="L198" s="23"/>
      <c r="M198" s="25"/>
      <c r="N198" s="25"/>
      <c r="O198" s="23"/>
      <c r="P198" s="26"/>
      <c r="Q198" s="26"/>
      <c r="R198" s="27" t="str">
        <f aca="false">IF(AND(ISNUMBER(P198),ISNUMBER(Q198)),P198-Q198,"")</f>
        <v/>
      </c>
      <c r="S198" s="24"/>
      <c r="T198" s="28" t="str">
        <f aca="false">IF(S198&lt;&gt;"",S198,IF(B198="","",IFERROR(IF(INDEX(Batches!$G$5:$G$64,MATCH(B198,Batches!$A$5:$A$64,0))="","",INDEX(Batches!$G$5:$G$64,MATCH(B198,Batches!$A$5:$A$64,0))),"")))</f>
        <v/>
      </c>
      <c r="U198" s="23"/>
      <c r="V198" s="24"/>
      <c r="W198" s="28" t="str">
        <f aca="false">IF(OR(X198="",X198="Pending"),"",IF(V198&lt;&gt;"",V198,IFERROR(IF(INDEX(Batches!$H$5:$H$64,MATCH(B198,Batches!$A$5:$A$64,0))="","",INDEX(Batches!$H$5:$H$64,MATCH(B198,Batches!$A$5:$A$64,0))),"")))</f>
        <v/>
      </c>
      <c r="X198" s="23"/>
      <c r="Y198" s="23"/>
      <c r="Z198" s="26"/>
      <c r="AA198" s="27" t="str">
        <f aca="false">IF(R198="","",IF(X198="Not accepted",R198,IF(OR(X198="Accepted",X198="Withdrawn by hospital"),IF(X198="Accepted",0,R198),IF(ISNUMBER(Z198),R198-Z198,""))))</f>
        <v/>
      </c>
      <c r="AB198" s="23"/>
      <c r="AC198" s="25"/>
      <c r="AD198" s="23"/>
      <c r="AE198" s="23"/>
      <c r="AF198" s="24"/>
      <c r="AG198" s="23"/>
      <c r="AH198" s="24"/>
      <c r="AI198" s="29" t="str">
        <f aca="false">IF(X198="Not accepted","Maintained",IF(X198="Partially accepted","Partially maintained",IF(X198="Accepted","Reversed",IF(X198="Withdrawn by hospital","Withdrawn by hospital",""))))</f>
        <v/>
      </c>
      <c r="AJ198" s="28" t="str">
        <f aca="false">IF(AI198="","",W198)</f>
        <v/>
      </c>
      <c r="AK198" s="29" t="str">
        <f aca="false">IF(AND(ISNUMBER(T198),ISNUMBER(W198)),W198-T198,"")</f>
        <v/>
      </c>
      <c r="AL198" s="29" t="str">
        <f aca="false">IF(A198="","",SUMIF(Actions!$C$5:$C$1004,A198,Actions!$F$5:$F$1004))</f>
        <v/>
      </c>
      <c r="AM198" s="25"/>
    </row>
    <row r="199" customFormat="false" ht="15" hidden="false" customHeight="false" outlineLevel="0" collapsed="false">
      <c r="A199" s="23"/>
      <c r="B199" s="23"/>
      <c r="C199" s="23"/>
      <c r="D199" s="23"/>
      <c r="E199" s="23"/>
      <c r="F199" s="23"/>
      <c r="G199" s="23"/>
      <c r="H199" s="23"/>
      <c r="I199" s="23"/>
      <c r="J199" s="23"/>
      <c r="K199" s="24"/>
      <c r="L199" s="23"/>
      <c r="M199" s="25"/>
      <c r="N199" s="25"/>
      <c r="O199" s="23"/>
      <c r="P199" s="26"/>
      <c r="Q199" s="26"/>
      <c r="R199" s="27" t="str">
        <f aca="false">IF(AND(ISNUMBER(P199),ISNUMBER(Q199)),P199-Q199,"")</f>
        <v/>
      </c>
      <c r="S199" s="24"/>
      <c r="T199" s="28" t="str">
        <f aca="false">IF(S199&lt;&gt;"",S199,IF(B199="","",IFERROR(IF(INDEX(Batches!$G$5:$G$64,MATCH(B199,Batches!$A$5:$A$64,0))="","",INDEX(Batches!$G$5:$G$64,MATCH(B199,Batches!$A$5:$A$64,0))),"")))</f>
        <v/>
      </c>
      <c r="U199" s="23"/>
      <c r="V199" s="24"/>
      <c r="W199" s="28" t="str">
        <f aca="false">IF(OR(X199="",X199="Pending"),"",IF(V199&lt;&gt;"",V199,IFERROR(IF(INDEX(Batches!$H$5:$H$64,MATCH(B199,Batches!$A$5:$A$64,0))="","",INDEX(Batches!$H$5:$H$64,MATCH(B199,Batches!$A$5:$A$64,0))),"")))</f>
        <v/>
      </c>
      <c r="X199" s="23"/>
      <c r="Y199" s="23"/>
      <c r="Z199" s="26"/>
      <c r="AA199" s="27" t="str">
        <f aca="false">IF(R199="","",IF(X199="Not accepted",R199,IF(OR(X199="Accepted",X199="Withdrawn by hospital"),IF(X199="Accepted",0,R199),IF(ISNUMBER(Z199),R199-Z199,""))))</f>
        <v/>
      </c>
      <c r="AB199" s="23"/>
      <c r="AC199" s="25"/>
      <c r="AD199" s="23"/>
      <c r="AE199" s="23"/>
      <c r="AF199" s="24"/>
      <c r="AG199" s="23"/>
      <c r="AH199" s="24"/>
      <c r="AI199" s="29" t="str">
        <f aca="false">IF(X199="Not accepted","Maintained",IF(X199="Partially accepted","Partially maintained",IF(X199="Accepted","Reversed",IF(X199="Withdrawn by hospital","Withdrawn by hospital",""))))</f>
        <v/>
      </c>
      <c r="AJ199" s="28" t="str">
        <f aca="false">IF(AI199="","",W199)</f>
        <v/>
      </c>
      <c r="AK199" s="29" t="str">
        <f aca="false">IF(AND(ISNUMBER(T199),ISNUMBER(W199)),W199-T199,"")</f>
        <v/>
      </c>
      <c r="AL199" s="29" t="str">
        <f aca="false">IF(A199="","",SUMIF(Actions!$C$5:$C$1004,A199,Actions!$F$5:$F$1004))</f>
        <v/>
      </c>
      <c r="AM199" s="25"/>
    </row>
    <row r="200" customFormat="false" ht="15" hidden="false" customHeight="false" outlineLevel="0" collapsed="false">
      <c r="A200" s="23"/>
      <c r="B200" s="23"/>
      <c r="C200" s="23"/>
      <c r="D200" s="23"/>
      <c r="E200" s="23"/>
      <c r="F200" s="23"/>
      <c r="G200" s="23"/>
      <c r="H200" s="23"/>
      <c r="I200" s="23"/>
      <c r="J200" s="23"/>
      <c r="K200" s="24"/>
      <c r="L200" s="23"/>
      <c r="M200" s="25"/>
      <c r="N200" s="25"/>
      <c r="O200" s="23"/>
      <c r="P200" s="26"/>
      <c r="Q200" s="26"/>
      <c r="R200" s="27" t="str">
        <f aca="false">IF(AND(ISNUMBER(P200),ISNUMBER(Q200)),P200-Q200,"")</f>
        <v/>
      </c>
      <c r="S200" s="24"/>
      <c r="T200" s="28" t="str">
        <f aca="false">IF(S200&lt;&gt;"",S200,IF(B200="","",IFERROR(IF(INDEX(Batches!$G$5:$G$64,MATCH(B200,Batches!$A$5:$A$64,0))="","",INDEX(Batches!$G$5:$G$64,MATCH(B200,Batches!$A$5:$A$64,0))),"")))</f>
        <v/>
      </c>
      <c r="U200" s="23"/>
      <c r="V200" s="24"/>
      <c r="W200" s="28" t="str">
        <f aca="false">IF(OR(X200="",X200="Pending"),"",IF(V200&lt;&gt;"",V200,IFERROR(IF(INDEX(Batches!$H$5:$H$64,MATCH(B200,Batches!$A$5:$A$64,0))="","",INDEX(Batches!$H$5:$H$64,MATCH(B200,Batches!$A$5:$A$64,0))),"")))</f>
        <v/>
      </c>
      <c r="X200" s="23"/>
      <c r="Y200" s="23"/>
      <c r="Z200" s="26"/>
      <c r="AA200" s="27" t="str">
        <f aca="false">IF(R200="","",IF(X200="Not accepted",R200,IF(OR(X200="Accepted",X200="Withdrawn by hospital"),IF(X200="Accepted",0,R200),IF(ISNUMBER(Z200),R200-Z200,""))))</f>
        <v/>
      </c>
      <c r="AB200" s="23"/>
      <c r="AC200" s="25"/>
      <c r="AD200" s="23"/>
      <c r="AE200" s="23"/>
      <c r="AF200" s="24"/>
      <c r="AG200" s="23"/>
      <c r="AH200" s="24"/>
      <c r="AI200" s="29" t="str">
        <f aca="false">IF(X200="Not accepted","Maintained",IF(X200="Partially accepted","Partially maintained",IF(X200="Accepted","Reversed",IF(X200="Withdrawn by hospital","Withdrawn by hospital",""))))</f>
        <v/>
      </c>
      <c r="AJ200" s="28" t="str">
        <f aca="false">IF(AI200="","",W200)</f>
        <v/>
      </c>
      <c r="AK200" s="29" t="str">
        <f aca="false">IF(AND(ISNUMBER(T200),ISNUMBER(W200)),W200-T200,"")</f>
        <v/>
      </c>
      <c r="AL200" s="29" t="str">
        <f aca="false">IF(A200="","",SUMIF(Actions!$C$5:$C$1004,A200,Actions!$F$5:$F$1004))</f>
        <v/>
      </c>
      <c r="AM200" s="25"/>
    </row>
    <row r="201" customFormat="false" ht="15" hidden="false" customHeight="false" outlineLevel="0" collapsed="false">
      <c r="A201" s="23"/>
      <c r="B201" s="23"/>
      <c r="C201" s="23"/>
      <c r="D201" s="23"/>
      <c r="E201" s="23"/>
      <c r="F201" s="23"/>
      <c r="G201" s="23"/>
      <c r="H201" s="23"/>
      <c r="I201" s="23"/>
      <c r="J201" s="23"/>
      <c r="K201" s="24"/>
      <c r="L201" s="23"/>
      <c r="M201" s="25"/>
      <c r="N201" s="25"/>
      <c r="O201" s="23"/>
      <c r="P201" s="26"/>
      <c r="Q201" s="26"/>
      <c r="R201" s="27" t="str">
        <f aca="false">IF(AND(ISNUMBER(P201),ISNUMBER(Q201)),P201-Q201,"")</f>
        <v/>
      </c>
      <c r="S201" s="24"/>
      <c r="T201" s="28" t="str">
        <f aca="false">IF(S201&lt;&gt;"",S201,IF(B201="","",IFERROR(IF(INDEX(Batches!$G$5:$G$64,MATCH(B201,Batches!$A$5:$A$64,0))="","",INDEX(Batches!$G$5:$G$64,MATCH(B201,Batches!$A$5:$A$64,0))),"")))</f>
        <v/>
      </c>
      <c r="U201" s="23"/>
      <c r="V201" s="24"/>
      <c r="W201" s="28" t="str">
        <f aca="false">IF(OR(X201="",X201="Pending"),"",IF(V201&lt;&gt;"",V201,IFERROR(IF(INDEX(Batches!$H$5:$H$64,MATCH(B201,Batches!$A$5:$A$64,0))="","",INDEX(Batches!$H$5:$H$64,MATCH(B201,Batches!$A$5:$A$64,0))),"")))</f>
        <v/>
      </c>
      <c r="X201" s="23"/>
      <c r="Y201" s="23"/>
      <c r="Z201" s="26"/>
      <c r="AA201" s="27" t="str">
        <f aca="false">IF(R201="","",IF(X201="Not accepted",R201,IF(OR(X201="Accepted",X201="Withdrawn by hospital"),IF(X201="Accepted",0,R201),IF(ISNUMBER(Z201),R201-Z201,""))))</f>
        <v/>
      </c>
      <c r="AB201" s="23"/>
      <c r="AC201" s="25"/>
      <c r="AD201" s="23"/>
      <c r="AE201" s="23"/>
      <c r="AF201" s="24"/>
      <c r="AG201" s="23"/>
      <c r="AH201" s="24"/>
      <c r="AI201" s="29" t="str">
        <f aca="false">IF(X201="Not accepted","Maintained",IF(X201="Partially accepted","Partially maintained",IF(X201="Accepted","Reversed",IF(X201="Withdrawn by hospital","Withdrawn by hospital",""))))</f>
        <v/>
      </c>
      <c r="AJ201" s="28" t="str">
        <f aca="false">IF(AI201="","",W201)</f>
        <v/>
      </c>
      <c r="AK201" s="29" t="str">
        <f aca="false">IF(AND(ISNUMBER(T201),ISNUMBER(W201)),W201-T201,"")</f>
        <v/>
      </c>
      <c r="AL201" s="29" t="str">
        <f aca="false">IF(A201="","",SUMIF(Actions!$C$5:$C$1004,A201,Actions!$F$5:$F$1004))</f>
        <v/>
      </c>
      <c r="AM201" s="25"/>
    </row>
    <row r="202" customFormat="false" ht="15" hidden="false" customHeight="false" outlineLevel="0" collapsed="false">
      <c r="A202" s="23"/>
      <c r="B202" s="23"/>
      <c r="C202" s="23"/>
      <c r="D202" s="23"/>
      <c r="E202" s="23"/>
      <c r="F202" s="23"/>
      <c r="G202" s="23"/>
      <c r="H202" s="23"/>
      <c r="I202" s="23"/>
      <c r="J202" s="23"/>
      <c r="K202" s="24"/>
      <c r="L202" s="23"/>
      <c r="M202" s="25"/>
      <c r="N202" s="25"/>
      <c r="O202" s="23"/>
      <c r="P202" s="26"/>
      <c r="Q202" s="26"/>
      <c r="R202" s="27" t="str">
        <f aca="false">IF(AND(ISNUMBER(P202),ISNUMBER(Q202)),P202-Q202,"")</f>
        <v/>
      </c>
      <c r="S202" s="24"/>
      <c r="T202" s="28" t="str">
        <f aca="false">IF(S202&lt;&gt;"",S202,IF(B202="","",IFERROR(IF(INDEX(Batches!$G$5:$G$64,MATCH(B202,Batches!$A$5:$A$64,0))="","",INDEX(Batches!$G$5:$G$64,MATCH(B202,Batches!$A$5:$A$64,0))),"")))</f>
        <v/>
      </c>
      <c r="U202" s="23"/>
      <c r="V202" s="24"/>
      <c r="W202" s="28" t="str">
        <f aca="false">IF(OR(X202="",X202="Pending"),"",IF(V202&lt;&gt;"",V202,IFERROR(IF(INDEX(Batches!$H$5:$H$64,MATCH(B202,Batches!$A$5:$A$64,0))="","",INDEX(Batches!$H$5:$H$64,MATCH(B202,Batches!$A$5:$A$64,0))),"")))</f>
        <v/>
      </c>
      <c r="X202" s="23"/>
      <c r="Y202" s="23"/>
      <c r="Z202" s="26"/>
      <c r="AA202" s="27" t="str">
        <f aca="false">IF(R202="","",IF(X202="Not accepted",R202,IF(OR(X202="Accepted",X202="Withdrawn by hospital"),IF(X202="Accepted",0,R202),IF(ISNUMBER(Z202),R202-Z202,""))))</f>
        <v/>
      </c>
      <c r="AB202" s="23"/>
      <c r="AC202" s="25"/>
      <c r="AD202" s="23"/>
      <c r="AE202" s="23"/>
      <c r="AF202" s="24"/>
      <c r="AG202" s="23"/>
      <c r="AH202" s="24"/>
      <c r="AI202" s="29" t="str">
        <f aca="false">IF(X202="Not accepted","Maintained",IF(X202="Partially accepted","Partially maintained",IF(X202="Accepted","Reversed",IF(X202="Withdrawn by hospital","Withdrawn by hospital",""))))</f>
        <v/>
      </c>
      <c r="AJ202" s="28" t="str">
        <f aca="false">IF(AI202="","",W202)</f>
        <v/>
      </c>
      <c r="AK202" s="29" t="str">
        <f aca="false">IF(AND(ISNUMBER(T202),ISNUMBER(W202)),W202-T202,"")</f>
        <v/>
      </c>
      <c r="AL202" s="29" t="str">
        <f aca="false">IF(A202="","",SUMIF(Actions!$C$5:$C$1004,A202,Actions!$F$5:$F$1004))</f>
        <v/>
      </c>
      <c r="AM202" s="25"/>
    </row>
    <row r="203" customFormat="false" ht="15" hidden="false" customHeight="false" outlineLevel="0" collapsed="false">
      <c r="A203" s="23"/>
      <c r="B203" s="23"/>
      <c r="C203" s="23"/>
      <c r="D203" s="23"/>
      <c r="E203" s="23"/>
      <c r="F203" s="23"/>
      <c r="G203" s="23"/>
      <c r="H203" s="23"/>
      <c r="I203" s="23"/>
      <c r="J203" s="23"/>
      <c r="K203" s="24"/>
      <c r="L203" s="23"/>
      <c r="M203" s="25"/>
      <c r="N203" s="25"/>
      <c r="O203" s="23"/>
      <c r="P203" s="26"/>
      <c r="Q203" s="26"/>
      <c r="R203" s="27" t="str">
        <f aca="false">IF(AND(ISNUMBER(P203),ISNUMBER(Q203)),P203-Q203,"")</f>
        <v/>
      </c>
      <c r="S203" s="24"/>
      <c r="T203" s="28" t="str">
        <f aca="false">IF(S203&lt;&gt;"",S203,IF(B203="","",IFERROR(IF(INDEX(Batches!$G$5:$G$64,MATCH(B203,Batches!$A$5:$A$64,0))="","",INDEX(Batches!$G$5:$G$64,MATCH(B203,Batches!$A$5:$A$64,0))),"")))</f>
        <v/>
      </c>
      <c r="U203" s="23"/>
      <c r="V203" s="24"/>
      <c r="W203" s="28" t="str">
        <f aca="false">IF(OR(X203="",X203="Pending"),"",IF(V203&lt;&gt;"",V203,IFERROR(IF(INDEX(Batches!$H$5:$H$64,MATCH(B203,Batches!$A$5:$A$64,0))="","",INDEX(Batches!$H$5:$H$64,MATCH(B203,Batches!$A$5:$A$64,0))),"")))</f>
        <v/>
      </c>
      <c r="X203" s="23"/>
      <c r="Y203" s="23"/>
      <c r="Z203" s="26"/>
      <c r="AA203" s="27" t="str">
        <f aca="false">IF(R203="","",IF(X203="Not accepted",R203,IF(OR(X203="Accepted",X203="Withdrawn by hospital"),IF(X203="Accepted",0,R203),IF(ISNUMBER(Z203),R203-Z203,""))))</f>
        <v/>
      </c>
      <c r="AB203" s="23"/>
      <c r="AC203" s="25"/>
      <c r="AD203" s="23"/>
      <c r="AE203" s="23"/>
      <c r="AF203" s="24"/>
      <c r="AG203" s="23"/>
      <c r="AH203" s="24"/>
      <c r="AI203" s="29" t="str">
        <f aca="false">IF(X203="Not accepted","Maintained",IF(X203="Partially accepted","Partially maintained",IF(X203="Accepted","Reversed",IF(X203="Withdrawn by hospital","Withdrawn by hospital",""))))</f>
        <v/>
      </c>
      <c r="AJ203" s="28" t="str">
        <f aca="false">IF(AI203="","",W203)</f>
        <v/>
      </c>
      <c r="AK203" s="29" t="str">
        <f aca="false">IF(AND(ISNUMBER(T203),ISNUMBER(W203)),W203-T203,"")</f>
        <v/>
      </c>
      <c r="AL203" s="29" t="str">
        <f aca="false">IF(A203="","",SUMIF(Actions!$C$5:$C$1004,A203,Actions!$F$5:$F$1004))</f>
        <v/>
      </c>
      <c r="AM203" s="25"/>
    </row>
    <row r="204" customFormat="false" ht="15" hidden="false" customHeight="false" outlineLevel="0" collapsed="false">
      <c r="A204" s="23"/>
      <c r="B204" s="23"/>
      <c r="C204" s="23"/>
      <c r="D204" s="23"/>
      <c r="E204" s="23"/>
      <c r="F204" s="23"/>
      <c r="G204" s="23"/>
      <c r="H204" s="23"/>
      <c r="I204" s="23"/>
      <c r="J204" s="23"/>
      <c r="K204" s="24"/>
      <c r="L204" s="23"/>
      <c r="M204" s="25"/>
      <c r="N204" s="25"/>
      <c r="O204" s="23"/>
      <c r="P204" s="26"/>
      <c r="Q204" s="26"/>
      <c r="R204" s="27" t="str">
        <f aca="false">IF(AND(ISNUMBER(P204),ISNUMBER(Q204)),P204-Q204,"")</f>
        <v/>
      </c>
      <c r="S204" s="24"/>
      <c r="T204" s="28" t="str">
        <f aca="false">IF(S204&lt;&gt;"",S204,IF(B204="","",IFERROR(IF(INDEX(Batches!$G$5:$G$64,MATCH(B204,Batches!$A$5:$A$64,0))="","",INDEX(Batches!$G$5:$G$64,MATCH(B204,Batches!$A$5:$A$64,0))),"")))</f>
        <v/>
      </c>
      <c r="U204" s="23"/>
      <c r="V204" s="24"/>
      <c r="W204" s="28" t="str">
        <f aca="false">IF(OR(X204="",X204="Pending"),"",IF(V204&lt;&gt;"",V204,IFERROR(IF(INDEX(Batches!$H$5:$H$64,MATCH(B204,Batches!$A$5:$A$64,0))="","",INDEX(Batches!$H$5:$H$64,MATCH(B204,Batches!$A$5:$A$64,0))),"")))</f>
        <v/>
      </c>
      <c r="X204" s="23"/>
      <c r="Y204" s="23"/>
      <c r="Z204" s="26"/>
      <c r="AA204" s="27" t="str">
        <f aca="false">IF(R204="","",IF(X204="Not accepted",R204,IF(OR(X204="Accepted",X204="Withdrawn by hospital"),IF(X204="Accepted",0,R204),IF(ISNUMBER(Z204),R204-Z204,""))))</f>
        <v/>
      </c>
      <c r="AB204" s="23"/>
      <c r="AC204" s="25"/>
      <c r="AD204" s="23"/>
      <c r="AE204" s="23"/>
      <c r="AF204" s="24"/>
      <c r="AG204" s="23"/>
      <c r="AH204" s="24"/>
      <c r="AI204" s="29" t="str">
        <f aca="false">IF(X204="Not accepted","Maintained",IF(X204="Partially accepted","Partially maintained",IF(X204="Accepted","Reversed",IF(X204="Withdrawn by hospital","Withdrawn by hospital",""))))</f>
        <v/>
      </c>
      <c r="AJ204" s="28" t="str">
        <f aca="false">IF(AI204="","",W204)</f>
        <v/>
      </c>
      <c r="AK204" s="29" t="str">
        <f aca="false">IF(AND(ISNUMBER(T204),ISNUMBER(W204)),W204-T204,"")</f>
        <v/>
      </c>
      <c r="AL204" s="29" t="str">
        <f aca="false">IF(A204="","",SUMIF(Actions!$C$5:$C$1004,A204,Actions!$F$5:$F$1004))</f>
        <v/>
      </c>
      <c r="AM204" s="25"/>
    </row>
    <row r="205" customFormat="false" ht="15" hidden="false" customHeight="false" outlineLevel="0" collapsed="false">
      <c r="A205" s="23"/>
      <c r="B205" s="23"/>
      <c r="C205" s="23"/>
      <c r="D205" s="23"/>
      <c r="E205" s="23"/>
      <c r="F205" s="23"/>
      <c r="G205" s="23"/>
      <c r="H205" s="23"/>
      <c r="I205" s="23"/>
      <c r="J205" s="23"/>
      <c r="K205" s="24"/>
      <c r="L205" s="23"/>
      <c r="M205" s="25"/>
      <c r="N205" s="25"/>
      <c r="O205" s="23"/>
      <c r="P205" s="26"/>
      <c r="Q205" s="26"/>
      <c r="R205" s="27" t="str">
        <f aca="false">IF(AND(ISNUMBER(P205),ISNUMBER(Q205)),P205-Q205,"")</f>
        <v/>
      </c>
      <c r="S205" s="24"/>
      <c r="T205" s="28" t="str">
        <f aca="false">IF(S205&lt;&gt;"",S205,IF(B205="","",IFERROR(IF(INDEX(Batches!$G$5:$G$64,MATCH(B205,Batches!$A$5:$A$64,0))="","",INDEX(Batches!$G$5:$G$64,MATCH(B205,Batches!$A$5:$A$64,0))),"")))</f>
        <v/>
      </c>
      <c r="U205" s="23"/>
      <c r="V205" s="24"/>
      <c r="W205" s="28" t="str">
        <f aca="false">IF(OR(X205="",X205="Pending"),"",IF(V205&lt;&gt;"",V205,IFERROR(IF(INDEX(Batches!$H$5:$H$64,MATCH(B205,Batches!$A$5:$A$64,0))="","",INDEX(Batches!$H$5:$H$64,MATCH(B205,Batches!$A$5:$A$64,0))),"")))</f>
        <v/>
      </c>
      <c r="X205" s="23"/>
      <c r="Y205" s="23"/>
      <c r="Z205" s="26"/>
      <c r="AA205" s="27" t="str">
        <f aca="false">IF(R205="","",IF(X205="Not accepted",R205,IF(OR(X205="Accepted",X205="Withdrawn by hospital"),IF(X205="Accepted",0,R205),IF(ISNUMBER(Z205),R205-Z205,""))))</f>
        <v/>
      </c>
      <c r="AB205" s="23"/>
      <c r="AC205" s="25"/>
      <c r="AD205" s="23"/>
      <c r="AE205" s="23"/>
      <c r="AF205" s="24"/>
      <c r="AG205" s="23"/>
      <c r="AH205" s="24"/>
      <c r="AI205" s="29" t="str">
        <f aca="false">IF(X205="Not accepted","Maintained",IF(X205="Partially accepted","Partially maintained",IF(X205="Accepted","Reversed",IF(X205="Withdrawn by hospital","Withdrawn by hospital",""))))</f>
        <v/>
      </c>
      <c r="AJ205" s="28" t="str">
        <f aca="false">IF(AI205="","",W205)</f>
        <v/>
      </c>
      <c r="AK205" s="29" t="str">
        <f aca="false">IF(AND(ISNUMBER(T205),ISNUMBER(W205)),W205-T205,"")</f>
        <v/>
      </c>
      <c r="AL205" s="29" t="str">
        <f aca="false">IF(A205="","",SUMIF(Actions!$C$5:$C$1004,A205,Actions!$F$5:$F$1004))</f>
        <v/>
      </c>
      <c r="AM205" s="25"/>
    </row>
    <row r="206" customFormat="false" ht="15" hidden="false" customHeight="false" outlineLevel="0" collapsed="false">
      <c r="A206" s="23"/>
      <c r="B206" s="23"/>
      <c r="C206" s="23"/>
      <c r="D206" s="23"/>
      <c r="E206" s="23"/>
      <c r="F206" s="23"/>
      <c r="G206" s="23"/>
      <c r="H206" s="23"/>
      <c r="I206" s="23"/>
      <c r="J206" s="23"/>
      <c r="K206" s="24"/>
      <c r="L206" s="23"/>
      <c r="M206" s="25"/>
      <c r="N206" s="25"/>
      <c r="O206" s="23"/>
      <c r="P206" s="26"/>
      <c r="Q206" s="26"/>
      <c r="R206" s="27" t="str">
        <f aca="false">IF(AND(ISNUMBER(P206),ISNUMBER(Q206)),P206-Q206,"")</f>
        <v/>
      </c>
      <c r="S206" s="24"/>
      <c r="T206" s="28" t="str">
        <f aca="false">IF(S206&lt;&gt;"",S206,IF(B206="","",IFERROR(IF(INDEX(Batches!$G$5:$G$64,MATCH(B206,Batches!$A$5:$A$64,0))="","",INDEX(Batches!$G$5:$G$64,MATCH(B206,Batches!$A$5:$A$64,0))),"")))</f>
        <v/>
      </c>
      <c r="U206" s="23"/>
      <c r="V206" s="24"/>
      <c r="W206" s="28" t="str">
        <f aca="false">IF(OR(X206="",X206="Pending"),"",IF(V206&lt;&gt;"",V206,IFERROR(IF(INDEX(Batches!$H$5:$H$64,MATCH(B206,Batches!$A$5:$A$64,0))="","",INDEX(Batches!$H$5:$H$64,MATCH(B206,Batches!$A$5:$A$64,0))),"")))</f>
        <v/>
      </c>
      <c r="X206" s="23"/>
      <c r="Y206" s="23"/>
      <c r="Z206" s="26"/>
      <c r="AA206" s="27" t="str">
        <f aca="false">IF(R206="","",IF(X206="Not accepted",R206,IF(OR(X206="Accepted",X206="Withdrawn by hospital"),IF(X206="Accepted",0,R206),IF(ISNUMBER(Z206),R206-Z206,""))))</f>
        <v/>
      </c>
      <c r="AB206" s="23"/>
      <c r="AC206" s="25"/>
      <c r="AD206" s="23"/>
      <c r="AE206" s="23"/>
      <c r="AF206" s="24"/>
      <c r="AG206" s="23"/>
      <c r="AH206" s="24"/>
      <c r="AI206" s="29" t="str">
        <f aca="false">IF(X206="Not accepted","Maintained",IF(X206="Partially accepted","Partially maintained",IF(X206="Accepted","Reversed",IF(X206="Withdrawn by hospital","Withdrawn by hospital",""))))</f>
        <v/>
      </c>
      <c r="AJ206" s="28" t="str">
        <f aca="false">IF(AI206="","",W206)</f>
        <v/>
      </c>
      <c r="AK206" s="29" t="str">
        <f aca="false">IF(AND(ISNUMBER(T206),ISNUMBER(W206)),W206-T206,"")</f>
        <v/>
      </c>
      <c r="AL206" s="29" t="str">
        <f aca="false">IF(A206="","",SUMIF(Actions!$C$5:$C$1004,A206,Actions!$F$5:$F$1004))</f>
        <v/>
      </c>
      <c r="AM206" s="25"/>
    </row>
    <row r="207" customFormat="false" ht="15" hidden="false" customHeight="false" outlineLevel="0" collapsed="false">
      <c r="A207" s="23"/>
      <c r="B207" s="23"/>
      <c r="C207" s="23"/>
      <c r="D207" s="23"/>
      <c r="E207" s="23"/>
      <c r="F207" s="23"/>
      <c r="G207" s="23"/>
      <c r="H207" s="23"/>
      <c r="I207" s="23"/>
      <c r="J207" s="23"/>
      <c r="K207" s="24"/>
      <c r="L207" s="23"/>
      <c r="M207" s="25"/>
      <c r="N207" s="25"/>
      <c r="O207" s="23"/>
      <c r="P207" s="26"/>
      <c r="Q207" s="26"/>
      <c r="R207" s="27" t="str">
        <f aca="false">IF(AND(ISNUMBER(P207),ISNUMBER(Q207)),P207-Q207,"")</f>
        <v/>
      </c>
      <c r="S207" s="24"/>
      <c r="T207" s="28" t="str">
        <f aca="false">IF(S207&lt;&gt;"",S207,IF(B207="","",IFERROR(IF(INDEX(Batches!$G$5:$G$64,MATCH(B207,Batches!$A$5:$A$64,0))="","",INDEX(Batches!$G$5:$G$64,MATCH(B207,Batches!$A$5:$A$64,0))),"")))</f>
        <v/>
      </c>
      <c r="U207" s="23"/>
      <c r="V207" s="24"/>
      <c r="W207" s="28" t="str">
        <f aca="false">IF(OR(X207="",X207="Pending"),"",IF(V207&lt;&gt;"",V207,IFERROR(IF(INDEX(Batches!$H$5:$H$64,MATCH(B207,Batches!$A$5:$A$64,0))="","",INDEX(Batches!$H$5:$H$64,MATCH(B207,Batches!$A$5:$A$64,0))),"")))</f>
        <v/>
      </c>
      <c r="X207" s="23"/>
      <c r="Y207" s="23"/>
      <c r="Z207" s="26"/>
      <c r="AA207" s="27" t="str">
        <f aca="false">IF(R207="","",IF(X207="Not accepted",R207,IF(OR(X207="Accepted",X207="Withdrawn by hospital"),IF(X207="Accepted",0,R207),IF(ISNUMBER(Z207),R207-Z207,""))))</f>
        <v/>
      </c>
      <c r="AB207" s="23"/>
      <c r="AC207" s="25"/>
      <c r="AD207" s="23"/>
      <c r="AE207" s="23"/>
      <c r="AF207" s="24"/>
      <c r="AG207" s="23"/>
      <c r="AH207" s="24"/>
      <c r="AI207" s="29" t="str">
        <f aca="false">IF(X207="Not accepted","Maintained",IF(X207="Partially accepted","Partially maintained",IF(X207="Accepted","Reversed",IF(X207="Withdrawn by hospital","Withdrawn by hospital",""))))</f>
        <v/>
      </c>
      <c r="AJ207" s="28" t="str">
        <f aca="false">IF(AI207="","",W207)</f>
        <v/>
      </c>
      <c r="AK207" s="29" t="str">
        <f aca="false">IF(AND(ISNUMBER(T207),ISNUMBER(W207)),W207-T207,"")</f>
        <v/>
      </c>
      <c r="AL207" s="29" t="str">
        <f aca="false">IF(A207="","",SUMIF(Actions!$C$5:$C$1004,A207,Actions!$F$5:$F$1004))</f>
        <v/>
      </c>
      <c r="AM207" s="25"/>
    </row>
    <row r="208" customFormat="false" ht="15" hidden="false" customHeight="false" outlineLevel="0" collapsed="false">
      <c r="A208" s="23"/>
      <c r="B208" s="23"/>
      <c r="C208" s="23"/>
      <c r="D208" s="23"/>
      <c r="E208" s="23"/>
      <c r="F208" s="23"/>
      <c r="G208" s="23"/>
      <c r="H208" s="23"/>
      <c r="I208" s="23"/>
      <c r="J208" s="23"/>
      <c r="K208" s="24"/>
      <c r="L208" s="23"/>
      <c r="M208" s="25"/>
      <c r="N208" s="25"/>
      <c r="O208" s="23"/>
      <c r="P208" s="26"/>
      <c r="Q208" s="26"/>
      <c r="R208" s="27" t="str">
        <f aca="false">IF(AND(ISNUMBER(P208),ISNUMBER(Q208)),P208-Q208,"")</f>
        <v/>
      </c>
      <c r="S208" s="24"/>
      <c r="T208" s="28" t="str">
        <f aca="false">IF(S208&lt;&gt;"",S208,IF(B208="","",IFERROR(IF(INDEX(Batches!$G$5:$G$64,MATCH(B208,Batches!$A$5:$A$64,0))="","",INDEX(Batches!$G$5:$G$64,MATCH(B208,Batches!$A$5:$A$64,0))),"")))</f>
        <v/>
      </c>
      <c r="U208" s="23"/>
      <c r="V208" s="24"/>
      <c r="W208" s="28" t="str">
        <f aca="false">IF(OR(X208="",X208="Pending"),"",IF(V208&lt;&gt;"",V208,IFERROR(IF(INDEX(Batches!$H$5:$H$64,MATCH(B208,Batches!$A$5:$A$64,0))="","",INDEX(Batches!$H$5:$H$64,MATCH(B208,Batches!$A$5:$A$64,0))),"")))</f>
        <v/>
      </c>
      <c r="X208" s="23"/>
      <c r="Y208" s="23"/>
      <c r="Z208" s="26"/>
      <c r="AA208" s="27" t="str">
        <f aca="false">IF(R208="","",IF(X208="Not accepted",R208,IF(OR(X208="Accepted",X208="Withdrawn by hospital"),IF(X208="Accepted",0,R208),IF(ISNUMBER(Z208),R208-Z208,""))))</f>
        <v/>
      </c>
      <c r="AB208" s="23"/>
      <c r="AC208" s="25"/>
      <c r="AD208" s="23"/>
      <c r="AE208" s="23"/>
      <c r="AF208" s="24"/>
      <c r="AG208" s="23"/>
      <c r="AH208" s="24"/>
      <c r="AI208" s="29" t="str">
        <f aca="false">IF(X208="Not accepted","Maintained",IF(X208="Partially accepted","Partially maintained",IF(X208="Accepted","Reversed",IF(X208="Withdrawn by hospital","Withdrawn by hospital",""))))</f>
        <v/>
      </c>
      <c r="AJ208" s="28" t="str">
        <f aca="false">IF(AI208="","",W208)</f>
        <v/>
      </c>
      <c r="AK208" s="29" t="str">
        <f aca="false">IF(AND(ISNUMBER(T208),ISNUMBER(W208)),W208-T208,"")</f>
        <v/>
      </c>
      <c r="AL208" s="29" t="str">
        <f aca="false">IF(A208="","",SUMIF(Actions!$C$5:$C$1004,A208,Actions!$F$5:$F$1004))</f>
        <v/>
      </c>
      <c r="AM208" s="25"/>
    </row>
    <row r="209" customFormat="false" ht="15" hidden="false" customHeight="false" outlineLevel="0" collapsed="false">
      <c r="A209" s="23"/>
      <c r="B209" s="23"/>
      <c r="C209" s="23"/>
      <c r="D209" s="23"/>
      <c r="E209" s="23"/>
      <c r="F209" s="23"/>
      <c r="G209" s="23"/>
      <c r="H209" s="23"/>
      <c r="I209" s="23"/>
      <c r="J209" s="23"/>
      <c r="K209" s="24"/>
      <c r="L209" s="23"/>
      <c r="M209" s="25"/>
      <c r="N209" s="25"/>
      <c r="O209" s="23"/>
      <c r="P209" s="26"/>
      <c r="Q209" s="26"/>
      <c r="R209" s="27" t="str">
        <f aca="false">IF(AND(ISNUMBER(P209),ISNUMBER(Q209)),P209-Q209,"")</f>
        <v/>
      </c>
      <c r="S209" s="24"/>
      <c r="T209" s="28" t="str">
        <f aca="false">IF(S209&lt;&gt;"",S209,IF(B209="","",IFERROR(IF(INDEX(Batches!$G$5:$G$64,MATCH(B209,Batches!$A$5:$A$64,0))="","",INDEX(Batches!$G$5:$G$64,MATCH(B209,Batches!$A$5:$A$64,0))),"")))</f>
        <v/>
      </c>
      <c r="U209" s="23"/>
      <c r="V209" s="24"/>
      <c r="W209" s="28" t="str">
        <f aca="false">IF(OR(X209="",X209="Pending"),"",IF(V209&lt;&gt;"",V209,IFERROR(IF(INDEX(Batches!$H$5:$H$64,MATCH(B209,Batches!$A$5:$A$64,0))="","",INDEX(Batches!$H$5:$H$64,MATCH(B209,Batches!$A$5:$A$64,0))),"")))</f>
        <v/>
      </c>
      <c r="X209" s="23"/>
      <c r="Y209" s="23"/>
      <c r="Z209" s="26"/>
      <c r="AA209" s="27" t="str">
        <f aca="false">IF(R209="","",IF(X209="Not accepted",R209,IF(OR(X209="Accepted",X209="Withdrawn by hospital"),IF(X209="Accepted",0,R209),IF(ISNUMBER(Z209),R209-Z209,""))))</f>
        <v/>
      </c>
      <c r="AB209" s="23"/>
      <c r="AC209" s="25"/>
      <c r="AD209" s="23"/>
      <c r="AE209" s="23"/>
      <c r="AF209" s="24"/>
      <c r="AG209" s="23"/>
      <c r="AH209" s="24"/>
      <c r="AI209" s="29" t="str">
        <f aca="false">IF(X209="Not accepted","Maintained",IF(X209="Partially accepted","Partially maintained",IF(X209="Accepted","Reversed",IF(X209="Withdrawn by hospital","Withdrawn by hospital",""))))</f>
        <v/>
      </c>
      <c r="AJ209" s="28" t="str">
        <f aca="false">IF(AI209="","",W209)</f>
        <v/>
      </c>
      <c r="AK209" s="29" t="str">
        <f aca="false">IF(AND(ISNUMBER(T209),ISNUMBER(W209)),W209-T209,"")</f>
        <v/>
      </c>
      <c r="AL209" s="29" t="str">
        <f aca="false">IF(A209="","",SUMIF(Actions!$C$5:$C$1004,A209,Actions!$F$5:$F$1004))</f>
        <v/>
      </c>
      <c r="AM209" s="25"/>
    </row>
    <row r="210" customFormat="false" ht="15" hidden="false" customHeight="false" outlineLevel="0" collapsed="false">
      <c r="A210" s="23"/>
      <c r="B210" s="23"/>
      <c r="C210" s="23"/>
      <c r="D210" s="23"/>
      <c r="E210" s="23"/>
      <c r="F210" s="23"/>
      <c r="G210" s="23"/>
      <c r="H210" s="23"/>
      <c r="I210" s="23"/>
      <c r="J210" s="23"/>
      <c r="K210" s="24"/>
      <c r="L210" s="23"/>
      <c r="M210" s="25"/>
      <c r="N210" s="25"/>
      <c r="O210" s="23"/>
      <c r="P210" s="26"/>
      <c r="Q210" s="26"/>
      <c r="R210" s="27" t="str">
        <f aca="false">IF(AND(ISNUMBER(P210),ISNUMBER(Q210)),P210-Q210,"")</f>
        <v/>
      </c>
      <c r="S210" s="24"/>
      <c r="T210" s="28" t="str">
        <f aca="false">IF(S210&lt;&gt;"",S210,IF(B210="","",IFERROR(IF(INDEX(Batches!$G$5:$G$64,MATCH(B210,Batches!$A$5:$A$64,0))="","",INDEX(Batches!$G$5:$G$64,MATCH(B210,Batches!$A$5:$A$64,0))),"")))</f>
        <v/>
      </c>
      <c r="U210" s="23"/>
      <c r="V210" s="24"/>
      <c r="W210" s="28" t="str">
        <f aca="false">IF(OR(X210="",X210="Pending"),"",IF(V210&lt;&gt;"",V210,IFERROR(IF(INDEX(Batches!$H$5:$H$64,MATCH(B210,Batches!$A$5:$A$64,0))="","",INDEX(Batches!$H$5:$H$64,MATCH(B210,Batches!$A$5:$A$64,0))),"")))</f>
        <v/>
      </c>
      <c r="X210" s="23"/>
      <c r="Y210" s="23"/>
      <c r="Z210" s="26"/>
      <c r="AA210" s="27" t="str">
        <f aca="false">IF(R210="","",IF(X210="Not accepted",R210,IF(OR(X210="Accepted",X210="Withdrawn by hospital"),IF(X210="Accepted",0,R210),IF(ISNUMBER(Z210),R210-Z210,""))))</f>
        <v/>
      </c>
      <c r="AB210" s="23"/>
      <c r="AC210" s="25"/>
      <c r="AD210" s="23"/>
      <c r="AE210" s="23"/>
      <c r="AF210" s="24"/>
      <c r="AG210" s="23"/>
      <c r="AH210" s="24"/>
      <c r="AI210" s="29" t="str">
        <f aca="false">IF(X210="Not accepted","Maintained",IF(X210="Partially accepted","Partially maintained",IF(X210="Accepted","Reversed",IF(X210="Withdrawn by hospital","Withdrawn by hospital",""))))</f>
        <v/>
      </c>
      <c r="AJ210" s="28" t="str">
        <f aca="false">IF(AI210="","",W210)</f>
        <v/>
      </c>
      <c r="AK210" s="29" t="str">
        <f aca="false">IF(AND(ISNUMBER(T210),ISNUMBER(W210)),W210-T210,"")</f>
        <v/>
      </c>
      <c r="AL210" s="29" t="str">
        <f aca="false">IF(A210="","",SUMIF(Actions!$C$5:$C$1004,A210,Actions!$F$5:$F$1004))</f>
        <v/>
      </c>
      <c r="AM210" s="25"/>
    </row>
    <row r="211" customFormat="false" ht="15" hidden="false" customHeight="false" outlineLevel="0" collapsed="false">
      <c r="A211" s="23"/>
      <c r="B211" s="23"/>
      <c r="C211" s="23"/>
      <c r="D211" s="23"/>
      <c r="E211" s="23"/>
      <c r="F211" s="23"/>
      <c r="G211" s="23"/>
      <c r="H211" s="23"/>
      <c r="I211" s="23"/>
      <c r="J211" s="23"/>
      <c r="K211" s="24"/>
      <c r="L211" s="23"/>
      <c r="M211" s="25"/>
      <c r="N211" s="25"/>
      <c r="O211" s="23"/>
      <c r="P211" s="26"/>
      <c r="Q211" s="26"/>
      <c r="R211" s="27" t="str">
        <f aca="false">IF(AND(ISNUMBER(P211),ISNUMBER(Q211)),P211-Q211,"")</f>
        <v/>
      </c>
      <c r="S211" s="24"/>
      <c r="T211" s="28" t="str">
        <f aca="false">IF(S211&lt;&gt;"",S211,IF(B211="","",IFERROR(IF(INDEX(Batches!$G$5:$G$64,MATCH(B211,Batches!$A$5:$A$64,0))="","",INDEX(Batches!$G$5:$G$64,MATCH(B211,Batches!$A$5:$A$64,0))),"")))</f>
        <v/>
      </c>
      <c r="U211" s="23"/>
      <c r="V211" s="24"/>
      <c r="W211" s="28" t="str">
        <f aca="false">IF(OR(X211="",X211="Pending"),"",IF(V211&lt;&gt;"",V211,IFERROR(IF(INDEX(Batches!$H$5:$H$64,MATCH(B211,Batches!$A$5:$A$64,0))="","",INDEX(Batches!$H$5:$H$64,MATCH(B211,Batches!$A$5:$A$64,0))),"")))</f>
        <v/>
      </c>
      <c r="X211" s="23"/>
      <c r="Y211" s="23"/>
      <c r="Z211" s="26"/>
      <c r="AA211" s="27" t="str">
        <f aca="false">IF(R211="","",IF(X211="Not accepted",R211,IF(OR(X211="Accepted",X211="Withdrawn by hospital"),IF(X211="Accepted",0,R211),IF(ISNUMBER(Z211),R211-Z211,""))))</f>
        <v/>
      </c>
      <c r="AB211" s="23"/>
      <c r="AC211" s="25"/>
      <c r="AD211" s="23"/>
      <c r="AE211" s="23"/>
      <c r="AF211" s="24"/>
      <c r="AG211" s="23"/>
      <c r="AH211" s="24"/>
      <c r="AI211" s="29" t="str">
        <f aca="false">IF(X211="Not accepted","Maintained",IF(X211="Partially accepted","Partially maintained",IF(X211="Accepted","Reversed",IF(X211="Withdrawn by hospital","Withdrawn by hospital",""))))</f>
        <v/>
      </c>
      <c r="AJ211" s="28" t="str">
        <f aca="false">IF(AI211="","",W211)</f>
        <v/>
      </c>
      <c r="AK211" s="29" t="str">
        <f aca="false">IF(AND(ISNUMBER(T211),ISNUMBER(W211)),W211-T211,"")</f>
        <v/>
      </c>
      <c r="AL211" s="29" t="str">
        <f aca="false">IF(A211="","",SUMIF(Actions!$C$5:$C$1004,A211,Actions!$F$5:$F$1004))</f>
        <v/>
      </c>
      <c r="AM211" s="25"/>
    </row>
    <row r="212" customFormat="false" ht="15" hidden="false" customHeight="false" outlineLevel="0" collapsed="false">
      <c r="A212" s="23"/>
      <c r="B212" s="23"/>
      <c r="C212" s="23"/>
      <c r="D212" s="23"/>
      <c r="E212" s="23"/>
      <c r="F212" s="23"/>
      <c r="G212" s="23"/>
      <c r="H212" s="23"/>
      <c r="I212" s="23"/>
      <c r="J212" s="23"/>
      <c r="K212" s="24"/>
      <c r="L212" s="23"/>
      <c r="M212" s="25"/>
      <c r="N212" s="25"/>
      <c r="O212" s="23"/>
      <c r="P212" s="26"/>
      <c r="Q212" s="26"/>
      <c r="R212" s="27" t="str">
        <f aca="false">IF(AND(ISNUMBER(P212),ISNUMBER(Q212)),P212-Q212,"")</f>
        <v/>
      </c>
      <c r="S212" s="24"/>
      <c r="T212" s="28" t="str">
        <f aca="false">IF(S212&lt;&gt;"",S212,IF(B212="","",IFERROR(IF(INDEX(Batches!$G$5:$G$64,MATCH(B212,Batches!$A$5:$A$64,0))="","",INDEX(Batches!$G$5:$G$64,MATCH(B212,Batches!$A$5:$A$64,0))),"")))</f>
        <v/>
      </c>
      <c r="U212" s="23"/>
      <c r="V212" s="24"/>
      <c r="W212" s="28" t="str">
        <f aca="false">IF(OR(X212="",X212="Pending"),"",IF(V212&lt;&gt;"",V212,IFERROR(IF(INDEX(Batches!$H$5:$H$64,MATCH(B212,Batches!$A$5:$A$64,0))="","",INDEX(Batches!$H$5:$H$64,MATCH(B212,Batches!$A$5:$A$64,0))),"")))</f>
        <v/>
      </c>
      <c r="X212" s="23"/>
      <c r="Y212" s="23"/>
      <c r="Z212" s="26"/>
      <c r="AA212" s="27" t="str">
        <f aca="false">IF(R212="","",IF(X212="Not accepted",R212,IF(OR(X212="Accepted",X212="Withdrawn by hospital"),IF(X212="Accepted",0,R212),IF(ISNUMBER(Z212),R212-Z212,""))))</f>
        <v/>
      </c>
      <c r="AB212" s="23"/>
      <c r="AC212" s="25"/>
      <c r="AD212" s="23"/>
      <c r="AE212" s="23"/>
      <c r="AF212" s="24"/>
      <c r="AG212" s="23"/>
      <c r="AH212" s="24"/>
      <c r="AI212" s="29" t="str">
        <f aca="false">IF(X212="Not accepted","Maintained",IF(X212="Partially accepted","Partially maintained",IF(X212="Accepted","Reversed",IF(X212="Withdrawn by hospital","Withdrawn by hospital",""))))</f>
        <v/>
      </c>
      <c r="AJ212" s="28" t="str">
        <f aca="false">IF(AI212="","",W212)</f>
        <v/>
      </c>
      <c r="AK212" s="29" t="str">
        <f aca="false">IF(AND(ISNUMBER(T212),ISNUMBER(W212)),W212-T212,"")</f>
        <v/>
      </c>
      <c r="AL212" s="29" t="str">
        <f aca="false">IF(A212="","",SUMIF(Actions!$C$5:$C$1004,A212,Actions!$F$5:$F$1004))</f>
        <v/>
      </c>
      <c r="AM212" s="25"/>
    </row>
    <row r="213" customFormat="false" ht="15" hidden="false" customHeight="false" outlineLevel="0" collapsed="false">
      <c r="A213" s="23"/>
      <c r="B213" s="23"/>
      <c r="C213" s="23"/>
      <c r="D213" s="23"/>
      <c r="E213" s="23"/>
      <c r="F213" s="23"/>
      <c r="G213" s="23"/>
      <c r="H213" s="23"/>
      <c r="I213" s="23"/>
      <c r="J213" s="23"/>
      <c r="K213" s="24"/>
      <c r="L213" s="23"/>
      <c r="M213" s="25"/>
      <c r="N213" s="25"/>
      <c r="O213" s="23"/>
      <c r="P213" s="26"/>
      <c r="Q213" s="26"/>
      <c r="R213" s="27" t="str">
        <f aca="false">IF(AND(ISNUMBER(P213),ISNUMBER(Q213)),P213-Q213,"")</f>
        <v/>
      </c>
      <c r="S213" s="24"/>
      <c r="T213" s="28" t="str">
        <f aca="false">IF(S213&lt;&gt;"",S213,IF(B213="","",IFERROR(IF(INDEX(Batches!$G$5:$G$64,MATCH(B213,Batches!$A$5:$A$64,0))="","",INDEX(Batches!$G$5:$G$64,MATCH(B213,Batches!$A$5:$A$64,0))),"")))</f>
        <v/>
      </c>
      <c r="U213" s="23"/>
      <c r="V213" s="24"/>
      <c r="W213" s="28" t="str">
        <f aca="false">IF(OR(X213="",X213="Pending"),"",IF(V213&lt;&gt;"",V213,IFERROR(IF(INDEX(Batches!$H$5:$H$64,MATCH(B213,Batches!$A$5:$A$64,0))="","",INDEX(Batches!$H$5:$H$64,MATCH(B213,Batches!$A$5:$A$64,0))),"")))</f>
        <v/>
      </c>
      <c r="X213" s="23"/>
      <c r="Y213" s="23"/>
      <c r="Z213" s="26"/>
      <c r="AA213" s="27" t="str">
        <f aca="false">IF(R213="","",IF(X213="Not accepted",R213,IF(OR(X213="Accepted",X213="Withdrawn by hospital"),IF(X213="Accepted",0,R213),IF(ISNUMBER(Z213),R213-Z213,""))))</f>
        <v/>
      </c>
      <c r="AB213" s="23"/>
      <c r="AC213" s="25"/>
      <c r="AD213" s="23"/>
      <c r="AE213" s="23"/>
      <c r="AF213" s="24"/>
      <c r="AG213" s="23"/>
      <c r="AH213" s="24"/>
      <c r="AI213" s="29" t="str">
        <f aca="false">IF(X213="Not accepted","Maintained",IF(X213="Partially accepted","Partially maintained",IF(X213="Accepted","Reversed",IF(X213="Withdrawn by hospital","Withdrawn by hospital",""))))</f>
        <v/>
      </c>
      <c r="AJ213" s="28" t="str">
        <f aca="false">IF(AI213="","",W213)</f>
        <v/>
      </c>
      <c r="AK213" s="29" t="str">
        <f aca="false">IF(AND(ISNUMBER(T213),ISNUMBER(W213)),W213-T213,"")</f>
        <v/>
      </c>
      <c r="AL213" s="29" t="str">
        <f aca="false">IF(A213="","",SUMIF(Actions!$C$5:$C$1004,A213,Actions!$F$5:$F$1004))</f>
        <v/>
      </c>
      <c r="AM213" s="25"/>
    </row>
    <row r="214" customFormat="false" ht="15" hidden="false" customHeight="false" outlineLevel="0" collapsed="false">
      <c r="A214" s="23"/>
      <c r="B214" s="23"/>
      <c r="C214" s="23"/>
      <c r="D214" s="23"/>
      <c r="E214" s="23"/>
      <c r="F214" s="23"/>
      <c r="G214" s="23"/>
      <c r="H214" s="23"/>
      <c r="I214" s="23"/>
      <c r="J214" s="23"/>
      <c r="K214" s="24"/>
      <c r="L214" s="23"/>
      <c r="M214" s="25"/>
      <c r="N214" s="25"/>
      <c r="O214" s="23"/>
      <c r="P214" s="26"/>
      <c r="Q214" s="26"/>
      <c r="R214" s="27" t="str">
        <f aca="false">IF(AND(ISNUMBER(P214),ISNUMBER(Q214)),P214-Q214,"")</f>
        <v/>
      </c>
      <c r="S214" s="24"/>
      <c r="T214" s="28" t="str">
        <f aca="false">IF(S214&lt;&gt;"",S214,IF(B214="","",IFERROR(IF(INDEX(Batches!$G$5:$G$64,MATCH(B214,Batches!$A$5:$A$64,0))="","",INDEX(Batches!$G$5:$G$64,MATCH(B214,Batches!$A$5:$A$64,0))),"")))</f>
        <v/>
      </c>
      <c r="U214" s="23"/>
      <c r="V214" s="24"/>
      <c r="W214" s="28" t="str">
        <f aca="false">IF(OR(X214="",X214="Pending"),"",IF(V214&lt;&gt;"",V214,IFERROR(IF(INDEX(Batches!$H$5:$H$64,MATCH(B214,Batches!$A$5:$A$64,0))="","",INDEX(Batches!$H$5:$H$64,MATCH(B214,Batches!$A$5:$A$64,0))),"")))</f>
        <v/>
      </c>
      <c r="X214" s="23"/>
      <c r="Y214" s="23"/>
      <c r="Z214" s="26"/>
      <c r="AA214" s="27" t="str">
        <f aca="false">IF(R214="","",IF(X214="Not accepted",R214,IF(OR(X214="Accepted",X214="Withdrawn by hospital"),IF(X214="Accepted",0,R214),IF(ISNUMBER(Z214),R214-Z214,""))))</f>
        <v/>
      </c>
      <c r="AB214" s="23"/>
      <c r="AC214" s="25"/>
      <c r="AD214" s="23"/>
      <c r="AE214" s="23"/>
      <c r="AF214" s="24"/>
      <c r="AG214" s="23"/>
      <c r="AH214" s="24"/>
      <c r="AI214" s="29" t="str">
        <f aca="false">IF(X214="Not accepted","Maintained",IF(X214="Partially accepted","Partially maintained",IF(X214="Accepted","Reversed",IF(X214="Withdrawn by hospital","Withdrawn by hospital",""))))</f>
        <v/>
      </c>
      <c r="AJ214" s="28" t="str">
        <f aca="false">IF(AI214="","",W214)</f>
        <v/>
      </c>
      <c r="AK214" s="29" t="str">
        <f aca="false">IF(AND(ISNUMBER(T214),ISNUMBER(W214)),W214-T214,"")</f>
        <v/>
      </c>
      <c r="AL214" s="29" t="str">
        <f aca="false">IF(A214="","",SUMIF(Actions!$C$5:$C$1004,A214,Actions!$F$5:$F$1004))</f>
        <v/>
      </c>
      <c r="AM214" s="25"/>
    </row>
    <row r="215" customFormat="false" ht="15" hidden="false" customHeight="false" outlineLevel="0" collapsed="false">
      <c r="A215" s="23"/>
      <c r="B215" s="23"/>
      <c r="C215" s="23"/>
      <c r="D215" s="23"/>
      <c r="E215" s="23"/>
      <c r="F215" s="23"/>
      <c r="G215" s="23"/>
      <c r="H215" s="23"/>
      <c r="I215" s="23"/>
      <c r="J215" s="23"/>
      <c r="K215" s="24"/>
      <c r="L215" s="23"/>
      <c r="M215" s="25"/>
      <c r="N215" s="25"/>
      <c r="O215" s="23"/>
      <c r="P215" s="26"/>
      <c r="Q215" s="26"/>
      <c r="R215" s="27" t="str">
        <f aca="false">IF(AND(ISNUMBER(P215),ISNUMBER(Q215)),P215-Q215,"")</f>
        <v/>
      </c>
      <c r="S215" s="24"/>
      <c r="T215" s="28" t="str">
        <f aca="false">IF(S215&lt;&gt;"",S215,IF(B215="","",IFERROR(IF(INDEX(Batches!$G$5:$G$64,MATCH(B215,Batches!$A$5:$A$64,0))="","",INDEX(Batches!$G$5:$G$64,MATCH(B215,Batches!$A$5:$A$64,0))),"")))</f>
        <v/>
      </c>
      <c r="U215" s="23"/>
      <c r="V215" s="24"/>
      <c r="W215" s="28" t="str">
        <f aca="false">IF(OR(X215="",X215="Pending"),"",IF(V215&lt;&gt;"",V215,IFERROR(IF(INDEX(Batches!$H$5:$H$64,MATCH(B215,Batches!$A$5:$A$64,0))="","",INDEX(Batches!$H$5:$H$64,MATCH(B215,Batches!$A$5:$A$64,0))),"")))</f>
        <v/>
      </c>
      <c r="X215" s="23"/>
      <c r="Y215" s="23"/>
      <c r="Z215" s="26"/>
      <c r="AA215" s="27" t="str">
        <f aca="false">IF(R215="","",IF(X215="Not accepted",R215,IF(OR(X215="Accepted",X215="Withdrawn by hospital"),IF(X215="Accepted",0,R215),IF(ISNUMBER(Z215),R215-Z215,""))))</f>
        <v/>
      </c>
      <c r="AB215" s="23"/>
      <c r="AC215" s="25"/>
      <c r="AD215" s="23"/>
      <c r="AE215" s="23"/>
      <c r="AF215" s="24"/>
      <c r="AG215" s="23"/>
      <c r="AH215" s="24"/>
      <c r="AI215" s="29" t="str">
        <f aca="false">IF(X215="Not accepted","Maintained",IF(X215="Partially accepted","Partially maintained",IF(X215="Accepted","Reversed",IF(X215="Withdrawn by hospital","Withdrawn by hospital",""))))</f>
        <v/>
      </c>
      <c r="AJ215" s="28" t="str">
        <f aca="false">IF(AI215="","",W215)</f>
        <v/>
      </c>
      <c r="AK215" s="29" t="str">
        <f aca="false">IF(AND(ISNUMBER(T215),ISNUMBER(W215)),W215-T215,"")</f>
        <v/>
      </c>
      <c r="AL215" s="29" t="str">
        <f aca="false">IF(A215="","",SUMIF(Actions!$C$5:$C$1004,A215,Actions!$F$5:$F$1004))</f>
        <v/>
      </c>
      <c r="AM215" s="25"/>
    </row>
    <row r="216" customFormat="false" ht="15" hidden="false" customHeight="false" outlineLevel="0" collapsed="false">
      <c r="A216" s="23"/>
      <c r="B216" s="23"/>
      <c r="C216" s="23"/>
      <c r="D216" s="23"/>
      <c r="E216" s="23"/>
      <c r="F216" s="23"/>
      <c r="G216" s="23"/>
      <c r="H216" s="23"/>
      <c r="I216" s="23"/>
      <c r="J216" s="23"/>
      <c r="K216" s="24"/>
      <c r="L216" s="23"/>
      <c r="M216" s="25"/>
      <c r="N216" s="25"/>
      <c r="O216" s="23"/>
      <c r="P216" s="26"/>
      <c r="Q216" s="26"/>
      <c r="R216" s="27" t="str">
        <f aca="false">IF(AND(ISNUMBER(P216),ISNUMBER(Q216)),P216-Q216,"")</f>
        <v/>
      </c>
      <c r="S216" s="24"/>
      <c r="T216" s="28" t="str">
        <f aca="false">IF(S216&lt;&gt;"",S216,IF(B216="","",IFERROR(IF(INDEX(Batches!$G$5:$G$64,MATCH(B216,Batches!$A$5:$A$64,0))="","",INDEX(Batches!$G$5:$G$64,MATCH(B216,Batches!$A$5:$A$64,0))),"")))</f>
        <v/>
      </c>
      <c r="U216" s="23"/>
      <c r="V216" s="24"/>
      <c r="W216" s="28" t="str">
        <f aca="false">IF(OR(X216="",X216="Pending"),"",IF(V216&lt;&gt;"",V216,IFERROR(IF(INDEX(Batches!$H$5:$H$64,MATCH(B216,Batches!$A$5:$A$64,0))="","",INDEX(Batches!$H$5:$H$64,MATCH(B216,Batches!$A$5:$A$64,0))),"")))</f>
        <v/>
      </c>
      <c r="X216" s="23"/>
      <c r="Y216" s="23"/>
      <c r="Z216" s="26"/>
      <c r="AA216" s="27" t="str">
        <f aca="false">IF(R216="","",IF(X216="Not accepted",R216,IF(OR(X216="Accepted",X216="Withdrawn by hospital"),IF(X216="Accepted",0,R216),IF(ISNUMBER(Z216),R216-Z216,""))))</f>
        <v/>
      </c>
      <c r="AB216" s="23"/>
      <c r="AC216" s="25"/>
      <c r="AD216" s="23"/>
      <c r="AE216" s="23"/>
      <c r="AF216" s="24"/>
      <c r="AG216" s="23"/>
      <c r="AH216" s="24"/>
      <c r="AI216" s="29" t="str">
        <f aca="false">IF(X216="Not accepted","Maintained",IF(X216="Partially accepted","Partially maintained",IF(X216="Accepted","Reversed",IF(X216="Withdrawn by hospital","Withdrawn by hospital",""))))</f>
        <v/>
      </c>
      <c r="AJ216" s="28" t="str">
        <f aca="false">IF(AI216="","",W216)</f>
        <v/>
      </c>
      <c r="AK216" s="29" t="str">
        <f aca="false">IF(AND(ISNUMBER(T216),ISNUMBER(W216)),W216-T216,"")</f>
        <v/>
      </c>
      <c r="AL216" s="29" t="str">
        <f aca="false">IF(A216="","",SUMIF(Actions!$C$5:$C$1004,A216,Actions!$F$5:$F$1004))</f>
        <v/>
      </c>
      <c r="AM216" s="25"/>
    </row>
    <row r="217" customFormat="false" ht="15" hidden="false" customHeight="false" outlineLevel="0" collapsed="false">
      <c r="A217" s="23"/>
      <c r="B217" s="23"/>
      <c r="C217" s="23"/>
      <c r="D217" s="23"/>
      <c r="E217" s="23"/>
      <c r="F217" s="23"/>
      <c r="G217" s="23"/>
      <c r="H217" s="23"/>
      <c r="I217" s="23"/>
      <c r="J217" s="23"/>
      <c r="K217" s="24"/>
      <c r="L217" s="23"/>
      <c r="M217" s="25"/>
      <c r="N217" s="25"/>
      <c r="O217" s="23"/>
      <c r="P217" s="26"/>
      <c r="Q217" s="26"/>
      <c r="R217" s="27" t="str">
        <f aca="false">IF(AND(ISNUMBER(P217),ISNUMBER(Q217)),P217-Q217,"")</f>
        <v/>
      </c>
      <c r="S217" s="24"/>
      <c r="T217" s="28" t="str">
        <f aca="false">IF(S217&lt;&gt;"",S217,IF(B217="","",IFERROR(IF(INDEX(Batches!$G$5:$G$64,MATCH(B217,Batches!$A$5:$A$64,0))="","",INDEX(Batches!$G$5:$G$64,MATCH(B217,Batches!$A$5:$A$64,0))),"")))</f>
        <v/>
      </c>
      <c r="U217" s="23"/>
      <c r="V217" s="24"/>
      <c r="W217" s="28" t="str">
        <f aca="false">IF(OR(X217="",X217="Pending"),"",IF(V217&lt;&gt;"",V217,IFERROR(IF(INDEX(Batches!$H$5:$H$64,MATCH(B217,Batches!$A$5:$A$64,0))="","",INDEX(Batches!$H$5:$H$64,MATCH(B217,Batches!$A$5:$A$64,0))),"")))</f>
        <v/>
      </c>
      <c r="X217" s="23"/>
      <c r="Y217" s="23"/>
      <c r="Z217" s="26"/>
      <c r="AA217" s="27" t="str">
        <f aca="false">IF(R217="","",IF(X217="Not accepted",R217,IF(OR(X217="Accepted",X217="Withdrawn by hospital"),IF(X217="Accepted",0,R217),IF(ISNUMBER(Z217),R217-Z217,""))))</f>
        <v/>
      </c>
      <c r="AB217" s="23"/>
      <c r="AC217" s="25"/>
      <c r="AD217" s="23"/>
      <c r="AE217" s="23"/>
      <c r="AF217" s="24"/>
      <c r="AG217" s="23"/>
      <c r="AH217" s="24"/>
      <c r="AI217" s="29" t="str">
        <f aca="false">IF(X217="Not accepted","Maintained",IF(X217="Partially accepted","Partially maintained",IF(X217="Accepted","Reversed",IF(X217="Withdrawn by hospital","Withdrawn by hospital",""))))</f>
        <v/>
      </c>
      <c r="AJ217" s="28" t="str">
        <f aca="false">IF(AI217="","",W217)</f>
        <v/>
      </c>
      <c r="AK217" s="29" t="str">
        <f aca="false">IF(AND(ISNUMBER(T217),ISNUMBER(W217)),W217-T217,"")</f>
        <v/>
      </c>
      <c r="AL217" s="29" t="str">
        <f aca="false">IF(A217="","",SUMIF(Actions!$C$5:$C$1004,A217,Actions!$F$5:$F$1004))</f>
        <v/>
      </c>
      <c r="AM217" s="25"/>
    </row>
    <row r="218" customFormat="false" ht="15" hidden="false" customHeight="false" outlineLevel="0" collapsed="false">
      <c r="A218" s="23"/>
      <c r="B218" s="23"/>
      <c r="C218" s="23"/>
      <c r="D218" s="23"/>
      <c r="E218" s="23"/>
      <c r="F218" s="23"/>
      <c r="G218" s="23"/>
      <c r="H218" s="23"/>
      <c r="I218" s="23"/>
      <c r="J218" s="23"/>
      <c r="K218" s="24"/>
      <c r="L218" s="23"/>
      <c r="M218" s="25"/>
      <c r="N218" s="25"/>
      <c r="O218" s="23"/>
      <c r="P218" s="26"/>
      <c r="Q218" s="26"/>
      <c r="R218" s="27" t="str">
        <f aca="false">IF(AND(ISNUMBER(P218),ISNUMBER(Q218)),P218-Q218,"")</f>
        <v/>
      </c>
      <c r="S218" s="24"/>
      <c r="T218" s="28" t="str">
        <f aca="false">IF(S218&lt;&gt;"",S218,IF(B218="","",IFERROR(IF(INDEX(Batches!$G$5:$G$64,MATCH(B218,Batches!$A$5:$A$64,0))="","",INDEX(Batches!$G$5:$G$64,MATCH(B218,Batches!$A$5:$A$64,0))),"")))</f>
        <v/>
      </c>
      <c r="U218" s="23"/>
      <c r="V218" s="24"/>
      <c r="W218" s="28" t="str">
        <f aca="false">IF(OR(X218="",X218="Pending"),"",IF(V218&lt;&gt;"",V218,IFERROR(IF(INDEX(Batches!$H$5:$H$64,MATCH(B218,Batches!$A$5:$A$64,0))="","",INDEX(Batches!$H$5:$H$64,MATCH(B218,Batches!$A$5:$A$64,0))),"")))</f>
        <v/>
      </c>
      <c r="X218" s="23"/>
      <c r="Y218" s="23"/>
      <c r="Z218" s="26"/>
      <c r="AA218" s="27" t="str">
        <f aca="false">IF(R218="","",IF(X218="Not accepted",R218,IF(OR(X218="Accepted",X218="Withdrawn by hospital"),IF(X218="Accepted",0,R218),IF(ISNUMBER(Z218),R218-Z218,""))))</f>
        <v/>
      </c>
      <c r="AB218" s="23"/>
      <c r="AC218" s="25"/>
      <c r="AD218" s="23"/>
      <c r="AE218" s="23"/>
      <c r="AF218" s="24"/>
      <c r="AG218" s="23"/>
      <c r="AH218" s="24"/>
      <c r="AI218" s="29" t="str">
        <f aca="false">IF(X218="Not accepted","Maintained",IF(X218="Partially accepted","Partially maintained",IF(X218="Accepted","Reversed",IF(X218="Withdrawn by hospital","Withdrawn by hospital",""))))</f>
        <v/>
      </c>
      <c r="AJ218" s="28" t="str">
        <f aca="false">IF(AI218="","",W218)</f>
        <v/>
      </c>
      <c r="AK218" s="29" t="str">
        <f aca="false">IF(AND(ISNUMBER(T218),ISNUMBER(W218)),W218-T218,"")</f>
        <v/>
      </c>
      <c r="AL218" s="29" t="str">
        <f aca="false">IF(A218="","",SUMIF(Actions!$C$5:$C$1004,A218,Actions!$F$5:$F$1004))</f>
        <v/>
      </c>
      <c r="AM218" s="25"/>
    </row>
    <row r="219" customFormat="false" ht="15" hidden="false" customHeight="false" outlineLevel="0" collapsed="false">
      <c r="A219" s="23"/>
      <c r="B219" s="23"/>
      <c r="C219" s="23"/>
      <c r="D219" s="23"/>
      <c r="E219" s="23"/>
      <c r="F219" s="23"/>
      <c r="G219" s="23"/>
      <c r="H219" s="23"/>
      <c r="I219" s="23"/>
      <c r="J219" s="23"/>
      <c r="K219" s="24"/>
      <c r="L219" s="23"/>
      <c r="M219" s="25"/>
      <c r="N219" s="25"/>
      <c r="O219" s="23"/>
      <c r="P219" s="26"/>
      <c r="Q219" s="26"/>
      <c r="R219" s="27" t="str">
        <f aca="false">IF(AND(ISNUMBER(P219),ISNUMBER(Q219)),P219-Q219,"")</f>
        <v/>
      </c>
      <c r="S219" s="24"/>
      <c r="T219" s="28" t="str">
        <f aca="false">IF(S219&lt;&gt;"",S219,IF(B219="","",IFERROR(IF(INDEX(Batches!$G$5:$G$64,MATCH(B219,Batches!$A$5:$A$64,0))="","",INDEX(Batches!$G$5:$G$64,MATCH(B219,Batches!$A$5:$A$64,0))),"")))</f>
        <v/>
      </c>
      <c r="U219" s="23"/>
      <c r="V219" s="24"/>
      <c r="W219" s="28" t="str">
        <f aca="false">IF(OR(X219="",X219="Pending"),"",IF(V219&lt;&gt;"",V219,IFERROR(IF(INDEX(Batches!$H$5:$H$64,MATCH(B219,Batches!$A$5:$A$64,0))="","",INDEX(Batches!$H$5:$H$64,MATCH(B219,Batches!$A$5:$A$64,0))),"")))</f>
        <v/>
      </c>
      <c r="X219" s="23"/>
      <c r="Y219" s="23"/>
      <c r="Z219" s="26"/>
      <c r="AA219" s="27" t="str">
        <f aca="false">IF(R219="","",IF(X219="Not accepted",R219,IF(OR(X219="Accepted",X219="Withdrawn by hospital"),IF(X219="Accepted",0,R219),IF(ISNUMBER(Z219),R219-Z219,""))))</f>
        <v/>
      </c>
      <c r="AB219" s="23"/>
      <c r="AC219" s="25"/>
      <c r="AD219" s="23"/>
      <c r="AE219" s="23"/>
      <c r="AF219" s="24"/>
      <c r="AG219" s="23"/>
      <c r="AH219" s="24"/>
      <c r="AI219" s="29" t="str">
        <f aca="false">IF(X219="Not accepted","Maintained",IF(X219="Partially accepted","Partially maintained",IF(X219="Accepted","Reversed",IF(X219="Withdrawn by hospital","Withdrawn by hospital",""))))</f>
        <v/>
      </c>
      <c r="AJ219" s="28" t="str">
        <f aca="false">IF(AI219="","",W219)</f>
        <v/>
      </c>
      <c r="AK219" s="29" t="str">
        <f aca="false">IF(AND(ISNUMBER(T219),ISNUMBER(W219)),W219-T219,"")</f>
        <v/>
      </c>
      <c r="AL219" s="29" t="str">
        <f aca="false">IF(A219="","",SUMIF(Actions!$C$5:$C$1004,A219,Actions!$F$5:$F$1004))</f>
        <v/>
      </c>
      <c r="AM219" s="25"/>
    </row>
    <row r="220" customFormat="false" ht="15" hidden="false" customHeight="false" outlineLevel="0" collapsed="false">
      <c r="A220" s="23"/>
      <c r="B220" s="23"/>
      <c r="C220" s="23"/>
      <c r="D220" s="23"/>
      <c r="E220" s="23"/>
      <c r="F220" s="23"/>
      <c r="G220" s="23"/>
      <c r="H220" s="23"/>
      <c r="I220" s="23"/>
      <c r="J220" s="23"/>
      <c r="K220" s="24"/>
      <c r="L220" s="23"/>
      <c r="M220" s="25"/>
      <c r="N220" s="25"/>
      <c r="O220" s="23"/>
      <c r="P220" s="26"/>
      <c r="Q220" s="26"/>
      <c r="R220" s="27" t="str">
        <f aca="false">IF(AND(ISNUMBER(P220),ISNUMBER(Q220)),P220-Q220,"")</f>
        <v/>
      </c>
      <c r="S220" s="24"/>
      <c r="T220" s="28" t="str">
        <f aca="false">IF(S220&lt;&gt;"",S220,IF(B220="","",IFERROR(IF(INDEX(Batches!$G$5:$G$64,MATCH(B220,Batches!$A$5:$A$64,0))="","",INDEX(Batches!$G$5:$G$64,MATCH(B220,Batches!$A$5:$A$64,0))),"")))</f>
        <v/>
      </c>
      <c r="U220" s="23"/>
      <c r="V220" s="24"/>
      <c r="W220" s="28" t="str">
        <f aca="false">IF(OR(X220="",X220="Pending"),"",IF(V220&lt;&gt;"",V220,IFERROR(IF(INDEX(Batches!$H$5:$H$64,MATCH(B220,Batches!$A$5:$A$64,0))="","",INDEX(Batches!$H$5:$H$64,MATCH(B220,Batches!$A$5:$A$64,0))),"")))</f>
        <v/>
      </c>
      <c r="X220" s="23"/>
      <c r="Y220" s="23"/>
      <c r="Z220" s="26"/>
      <c r="AA220" s="27" t="str">
        <f aca="false">IF(R220="","",IF(X220="Not accepted",R220,IF(OR(X220="Accepted",X220="Withdrawn by hospital"),IF(X220="Accepted",0,R220),IF(ISNUMBER(Z220),R220-Z220,""))))</f>
        <v/>
      </c>
      <c r="AB220" s="23"/>
      <c r="AC220" s="25"/>
      <c r="AD220" s="23"/>
      <c r="AE220" s="23"/>
      <c r="AF220" s="24"/>
      <c r="AG220" s="23"/>
      <c r="AH220" s="24"/>
      <c r="AI220" s="29" t="str">
        <f aca="false">IF(X220="Not accepted","Maintained",IF(X220="Partially accepted","Partially maintained",IF(X220="Accepted","Reversed",IF(X220="Withdrawn by hospital","Withdrawn by hospital",""))))</f>
        <v/>
      </c>
      <c r="AJ220" s="28" t="str">
        <f aca="false">IF(AI220="","",W220)</f>
        <v/>
      </c>
      <c r="AK220" s="29" t="str">
        <f aca="false">IF(AND(ISNUMBER(T220),ISNUMBER(W220)),W220-T220,"")</f>
        <v/>
      </c>
      <c r="AL220" s="29" t="str">
        <f aca="false">IF(A220="","",SUMIF(Actions!$C$5:$C$1004,A220,Actions!$F$5:$F$1004))</f>
        <v/>
      </c>
      <c r="AM220" s="25"/>
    </row>
    <row r="221" customFormat="false" ht="15" hidden="false" customHeight="false" outlineLevel="0" collapsed="false">
      <c r="A221" s="23"/>
      <c r="B221" s="23"/>
      <c r="C221" s="23"/>
      <c r="D221" s="23"/>
      <c r="E221" s="23"/>
      <c r="F221" s="23"/>
      <c r="G221" s="23"/>
      <c r="H221" s="23"/>
      <c r="I221" s="23"/>
      <c r="J221" s="23"/>
      <c r="K221" s="24"/>
      <c r="L221" s="23"/>
      <c r="M221" s="25"/>
      <c r="N221" s="25"/>
      <c r="O221" s="23"/>
      <c r="P221" s="26"/>
      <c r="Q221" s="26"/>
      <c r="R221" s="27" t="str">
        <f aca="false">IF(AND(ISNUMBER(P221),ISNUMBER(Q221)),P221-Q221,"")</f>
        <v/>
      </c>
      <c r="S221" s="24"/>
      <c r="T221" s="28" t="str">
        <f aca="false">IF(S221&lt;&gt;"",S221,IF(B221="","",IFERROR(IF(INDEX(Batches!$G$5:$G$64,MATCH(B221,Batches!$A$5:$A$64,0))="","",INDEX(Batches!$G$5:$G$64,MATCH(B221,Batches!$A$5:$A$64,0))),"")))</f>
        <v/>
      </c>
      <c r="U221" s="23"/>
      <c r="V221" s="24"/>
      <c r="W221" s="28" t="str">
        <f aca="false">IF(OR(X221="",X221="Pending"),"",IF(V221&lt;&gt;"",V221,IFERROR(IF(INDEX(Batches!$H$5:$H$64,MATCH(B221,Batches!$A$5:$A$64,0))="","",INDEX(Batches!$H$5:$H$64,MATCH(B221,Batches!$A$5:$A$64,0))),"")))</f>
        <v/>
      </c>
      <c r="X221" s="23"/>
      <c r="Y221" s="23"/>
      <c r="Z221" s="26"/>
      <c r="AA221" s="27" t="str">
        <f aca="false">IF(R221="","",IF(X221="Not accepted",R221,IF(OR(X221="Accepted",X221="Withdrawn by hospital"),IF(X221="Accepted",0,R221),IF(ISNUMBER(Z221),R221-Z221,""))))</f>
        <v/>
      </c>
      <c r="AB221" s="23"/>
      <c r="AC221" s="25"/>
      <c r="AD221" s="23"/>
      <c r="AE221" s="23"/>
      <c r="AF221" s="24"/>
      <c r="AG221" s="23"/>
      <c r="AH221" s="24"/>
      <c r="AI221" s="29" t="str">
        <f aca="false">IF(X221="Not accepted","Maintained",IF(X221="Partially accepted","Partially maintained",IF(X221="Accepted","Reversed",IF(X221="Withdrawn by hospital","Withdrawn by hospital",""))))</f>
        <v/>
      </c>
      <c r="AJ221" s="28" t="str">
        <f aca="false">IF(AI221="","",W221)</f>
        <v/>
      </c>
      <c r="AK221" s="29" t="str">
        <f aca="false">IF(AND(ISNUMBER(T221),ISNUMBER(W221)),W221-T221,"")</f>
        <v/>
      </c>
      <c r="AL221" s="29" t="str">
        <f aca="false">IF(A221="","",SUMIF(Actions!$C$5:$C$1004,A221,Actions!$F$5:$F$1004))</f>
        <v/>
      </c>
      <c r="AM221" s="25"/>
    </row>
    <row r="222" customFormat="false" ht="15" hidden="false" customHeight="false" outlineLevel="0" collapsed="false">
      <c r="A222" s="23"/>
      <c r="B222" s="23"/>
      <c r="C222" s="23"/>
      <c r="D222" s="23"/>
      <c r="E222" s="23"/>
      <c r="F222" s="23"/>
      <c r="G222" s="23"/>
      <c r="H222" s="23"/>
      <c r="I222" s="23"/>
      <c r="J222" s="23"/>
      <c r="K222" s="24"/>
      <c r="L222" s="23"/>
      <c r="M222" s="25"/>
      <c r="N222" s="25"/>
      <c r="O222" s="23"/>
      <c r="P222" s="26"/>
      <c r="Q222" s="26"/>
      <c r="R222" s="27" t="str">
        <f aca="false">IF(AND(ISNUMBER(P222),ISNUMBER(Q222)),P222-Q222,"")</f>
        <v/>
      </c>
      <c r="S222" s="24"/>
      <c r="T222" s="28" t="str">
        <f aca="false">IF(S222&lt;&gt;"",S222,IF(B222="","",IFERROR(IF(INDEX(Batches!$G$5:$G$64,MATCH(B222,Batches!$A$5:$A$64,0))="","",INDEX(Batches!$G$5:$G$64,MATCH(B222,Batches!$A$5:$A$64,0))),"")))</f>
        <v/>
      </c>
      <c r="U222" s="23"/>
      <c r="V222" s="24"/>
      <c r="W222" s="28" t="str">
        <f aca="false">IF(OR(X222="",X222="Pending"),"",IF(V222&lt;&gt;"",V222,IFERROR(IF(INDEX(Batches!$H$5:$H$64,MATCH(B222,Batches!$A$5:$A$64,0))="","",INDEX(Batches!$H$5:$H$64,MATCH(B222,Batches!$A$5:$A$64,0))),"")))</f>
        <v/>
      </c>
      <c r="X222" s="23"/>
      <c r="Y222" s="23"/>
      <c r="Z222" s="26"/>
      <c r="AA222" s="27" t="str">
        <f aca="false">IF(R222="","",IF(X222="Not accepted",R222,IF(OR(X222="Accepted",X222="Withdrawn by hospital"),IF(X222="Accepted",0,R222),IF(ISNUMBER(Z222),R222-Z222,""))))</f>
        <v/>
      </c>
      <c r="AB222" s="23"/>
      <c r="AC222" s="25"/>
      <c r="AD222" s="23"/>
      <c r="AE222" s="23"/>
      <c r="AF222" s="24"/>
      <c r="AG222" s="23"/>
      <c r="AH222" s="24"/>
      <c r="AI222" s="29" t="str">
        <f aca="false">IF(X222="Not accepted","Maintained",IF(X222="Partially accepted","Partially maintained",IF(X222="Accepted","Reversed",IF(X222="Withdrawn by hospital","Withdrawn by hospital",""))))</f>
        <v/>
      </c>
      <c r="AJ222" s="28" t="str">
        <f aca="false">IF(AI222="","",W222)</f>
        <v/>
      </c>
      <c r="AK222" s="29" t="str">
        <f aca="false">IF(AND(ISNUMBER(T222),ISNUMBER(W222)),W222-T222,"")</f>
        <v/>
      </c>
      <c r="AL222" s="29" t="str">
        <f aca="false">IF(A222="","",SUMIF(Actions!$C$5:$C$1004,A222,Actions!$F$5:$F$1004))</f>
        <v/>
      </c>
      <c r="AM222" s="25"/>
    </row>
    <row r="223" customFormat="false" ht="15" hidden="false" customHeight="false" outlineLevel="0" collapsed="false">
      <c r="A223" s="23"/>
      <c r="B223" s="23"/>
      <c r="C223" s="23"/>
      <c r="D223" s="23"/>
      <c r="E223" s="23"/>
      <c r="F223" s="23"/>
      <c r="G223" s="23"/>
      <c r="H223" s="23"/>
      <c r="I223" s="23"/>
      <c r="J223" s="23"/>
      <c r="K223" s="24"/>
      <c r="L223" s="23"/>
      <c r="M223" s="25"/>
      <c r="N223" s="25"/>
      <c r="O223" s="23"/>
      <c r="P223" s="26"/>
      <c r="Q223" s="26"/>
      <c r="R223" s="27" t="str">
        <f aca="false">IF(AND(ISNUMBER(P223),ISNUMBER(Q223)),P223-Q223,"")</f>
        <v/>
      </c>
      <c r="S223" s="24"/>
      <c r="T223" s="28" t="str">
        <f aca="false">IF(S223&lt;&gt;"",S223,IF(B223="","",IFERROR(IF(INDEX(Batches!$G$5:$G$64,MATCH(B223,Batches!$A$5:$A$64,0))="","",INDEX(Batches!$G$5:$G$64,MATCH(B223,Batches!$A$5:$A$64,0))),"")))</f>
        <v/>
      </c>
      <c r="U223" s="23"/>
      <c r="V223" s="24"/>
      <c r="W223" s="28" t="str">
        <f aca="false">IF(OR(X223="",X223="Pending"),"",IF(V223&lt;&gt;"",V223,IFERROR(IF(INDEX(Batches!$H$5:$H$64,MATCH(B223,Batches!$A$5:$A$64,0))="","",INDEX(Batches!$H$5:$H$64,MATCH(B223,Batches!$A$5:$A$64,0))),"")))</f>
        <v/>
      </c>
      <c r="X223" s="23"/>
      <c r="Y223" s="23"/>
      <c r="Z223" s="26"/>
      <c r="AA223" s="27" t="str">
        <f aca="false">IF(R223="","",IF(X223="Not accepted",R223,IF(OR(X223="Accepted",X223="Withdrawn by hospital"),IF(X223="Accepted",0,R223),IF(ISNUMBER(Z223),R223-Z223,""))))</f>
        <v/>
      </c>
      <c r="AB223" s="23"/>
      <c r="AC223" s="25"/>
      <c r="AD223" s="23"/>
      <c r="AE223" s="23"/>
      <c r="AF223" s="24"/>
      <c r="AG223" s="23"/>
      <c r="AH223" s="24"/>
      <c r="AI223" s="29" t="str">
        <f aca="false">IF(X223="Not accepted","Maintained",IF(X223="Partially accepted","Partially maintained",IF(X223="Accepted","Reversed",IF(X223="Withdrawn by hospital","Withdrawn by hospital",""))))</f>
        <v/>
      </c>
      <c r="AJ223" s="28" t="str">
        <f aca="false">IF(AI223="","",W223)</f>
        <v/>
      </c>
      <c r="AK223" s="29" t="str">
        <f aca="false">IF(AND(ISNUMBER(T223),ISNUMBER(W223)),W223-T223,"")</f>
        <v/>
      </c>
      <c r="AL223" s="29" t="str">
        <f aca="false">IF(A223="","",SUMIF(Actions!$C$5:$C$1004,A223,Actions!$F$5:$F$1004))</f>
        <v/>
      </c>
      <c r="AM223" s="25"/>
    </row>
    <row r="224" customFormat="false" ht="15" hidden="false" customHeight="false" outlineLevel="0" collapsed="false">
      <c r="A224" s="23"/>
      <c r="B224" s="23"/>
      <c r="C224" s="23"/>
      <c r="D224" s="23"/>
      <c r="E224" s="23"/>
      <c r="F224" s="23"/>
      <c r="G224" s="23"/>
      <c r="H224" s="23"/>
      <c r="I224" s="23"/>
      <c r="J224" s="23"/>
      <c r="K224" s="24"/>
      <c r="L224" s="23"/>
      <c r="M224" s="25"/>
      <c r="N224" s="25"/>
      <c r="O224" s="23"/>
      <c r="P224" s="26"/>
      <c r="Q224" s="26"/>
      <c r="R224" s="27" t="str">
        <f aca="false">IF(AND(ISNUMBER(P224),ISNUMBER(Q224)),P224-Q224,"")</f>
        <v/>
      </c>
      <c r="S224" s="24"/>
      <c r="T224" s="28" t="str">
        <f aca="false">IF(S224&lt;&gt;"",S224,IF(B224="","",IFERROR(IF(INDEX(Batches!$G$5:$G$64,MATCH(B224,Batches!$A$5:$A$64,0))="","",INDEX(Batches!$G$5:$G$64,MATCH(B224,Batches!$A$5:$A$64,0))),"")))</f>
        <v/>
      </c>
      <c r="U224" s="23"/>
      <c r="V224" s="24"/>
      <c r="W224" s="28" t="str">
        <f aca="false">IF(OR(X224="",X224="Pending"),"",IF(V224&lt;&gt;"",V224,IFERROR(IF(INDEX(Batches!$H$5:$H$64,MATCH(B224,Batches!$A$5:$A$64,0))="","",INDEX(Batches!$H$5:$H$64,MATCH(B224,Batches!$A$5:$A$64,0))),"")))</f>
        <v/>
      </c>
      <c r="X224" s="23"/>
      <c r="Y224" s="23"/>
      <c r="Z224" s="26"/>
      <c r="AA224" s="27" t="str">
        <f aca="false">IF(R224="","",IF(X224="Not accepted",R224,IF(OR(X224="Accepted",X224="Withdrawn by hospital"),IF(X224="Accepted",0,R224),IF(ISNUMBER(Z224),R224-Z224,""))))</f>
        <v/>
      </c>
      <c r="AB224" s="23"/>
      <c r="AC224" s="25"/>
      <c r="AD224" s="23"/>
      <c r="AE224" s="23"/>
      <c r="AF224" s="24"/>
      <c r="AG224" s="23"/>
      <c r="AH224" s="24"/>
      <c r="AI224" s="29" t="str">
        <f aca="false">IF(X224="Not accepted","Maintained",IF(X224="Partially accepted","Partially maintained",IF(X224="Accepted","Reversed",IF(X224="Withdrawn by hospital","Withdrawn by hospital",""))))</f>
        <v/>
      </c>
      <c r="AJ224" s="28" t="str">
        <f aca="false">IF(AI224="","",W224)</f>
        <v/>
      </c>
      <c r="AK224" s="29" t="str">
        <f aca="false">IF(AND(ISNUMBER(T224),ISNUMBER(W224)),W224-T224,"")</f>
        <v/>
      </c>
      <c r="AL224" s="29" t="str">
        <f aca="false">IF(A224="","",SUMIF(Actions!$C$5:$C$1004,A224,Actions!$F$5:$F$1004))</f>
        <v/>
      </c>
      <c r="AM224" s="25"/>
    </row>
    <row r="225" customFormat="false" ht="15" hidden="false" customHeight="false" outlineLevel="0" collapsed="false">
      <c r="A225" s="23"/>
      <c r="B225" s="23"/>
      <c r="C225" s="23"/>
      <c r="D225" s="23"/>
      <c r="E225" s="23"/>
      <c r="F225" s="23"/>
      <c r="G225" s="23"/>
      <c r="H225" s="23"/>
      <c r="I225" s="23"/>
      <c r="J225" s="23"/>
      <c r="K225" s="24"/>
      <c r="L225" s="23"/>
      <c r="M225" s="25"/>
      <c r="N225" s="25"/>
      <c r="O225" s="23"/>
      <c r="P225" s="26"/>
      <c r="Q225" s="26"/>
      <c r="R225" s="27" t="str">
        <f aca="false">IF(AND(ISNUMBER(P225),ISNUMBER(Q225)),P225-Q225,"")</f>
        <v/>
      </c>
      <c r="S225" s="24"/>
      <c r="T225" s="28" t="str">
        <f aca="false">IF(S225&lt;&gt;"",S225,IF(B225="","",IFERROR(IF(INDEX(Batches!$G$5:$G$64,MATCH(B225,Batches!$A$5:$A$64,0))="","",INDEX(Batches!$G$5:$G$64,MATCH(B225,Batches!$A$5:$A$64,0))),"")))</f>
        <v/>
      </c>
      <c r="U225" s="23"/>
      <c r="V225" s="24"/>
      <c r="W225" s="28" t="str">
        <f aca="false">IF(OR(X225="",X225="Pending"),"",IF(V225&lt;&gt;"",V225,IFERROR(IF(INDEX(Batches!$H$5:$H$64,MATCH(B225,Batches!$A$5:$A$64,0))="","",INDEX(Batches!$H$5:$H$64,MATCH(B225,Batches!$A$5:$A$64,0))),"")))</f>
        <v/>
      </c>
      <c r="X225" s="23"/>
      <c r="Y225" s="23"/>
      <c r="Z225" s="26"/>
      <c r="AA225" s="27" t="str">
        <f aca="false">IF(R225="","",IF(X225="Not accepted",R225,IF(OR(X225="Accepted",X225="Withdrawn by hospital"),IF(X225="Accepted",0,R225),IF(ISNUMBER(Z225),R225-Z225,""))))</f>
        <v/>
      </c>
      <c r="AB225" s="23"/>
      <c r="AC225" s="25"/>
      <c r="AD225" s="23"/>
      <c r="AE225" s="23"/>
      <c r="AF225" s="24"/>
      <c r="AG225" s="23"/>
      <c r="AH225" s="24"/>
      <c r="AI225" s="29" t="str">
        <f aca="false">IF(X225="Not accepted","Maintained",IF(X225="Partially accepted","Partially maintained",IF(X225="Accepted","Reversed",IF(X225="Withdrawn by hospital","Withdrawn by hospital",""))))</f>
        <v/>
      </c>
      <c r="AJ225" s="28" t="str">
        <f aca="false">IF(AI225="","",W225)</f>
        <v/>
      </c>
      <c r="AK225" s="29" t="str">
        <f aca="false">IF(AND(ISNUMBER(T225),ISNUMBER(W225)),W225-T225,"")</f>
        <v/>
      </c>
      <c r="AL225" s="29" t="str">
        <f aca="false">IF(A225="","",SUMIF(Actions!$C$5:$C$1004,A225,Actions!$F$5:$F$1004))</f>
        <v/>
      </c>
      <c r="AM225" s="25"/>
    </row>
    <row r="226" customFormat="false" ht="15" hidden="false" customHeight="false" outlineLevel="0" collapsed="false">
      <c r="A226" s="23"/>
      <c r="B226" s="23"/>
      <c r="C226" s="23"/>
      <c r="D226" s="23"/>
      <c r="E226" s="23"/>
      <c r="F226" s="23"/>
      <c r="G226" s="23"/>
      <c r="H226" s="23"/>
      <c r="I226" s="23"/>
      <c r="J226" s="23"/>
      <c r="K226" s="24"/>
      <c r="L226" s="23"/>
      <c r="M226" s="25"/>
      <c r="N226" s="25"/>
      <c r="O226" s="23"/>
      <c r="P226" s="26"/>
      <c r="Q226" s="26"/>
      <c r="R226" s="27" t="str">
        <f aca="false">IF(AND(ISNUMBER(P226),ISNUMBER(Q226)),P226-Q226,"")</f>
        <v/>
      </c>
      <c r="S226" s="24"/>
      <c r="T226" s="28" t="str">
        <f aca="false">IF(S226&lt;&gt;"",S226,IF(B226="","",IFERROR(IF(INDEX(Batches!$G$5:$G$64,MATCH(B226,Batches!$A$5:$A$64,0))="","",INDEX(Batches!$G$5:$G$64,MATCH(B226,Batches!$A$5:$A$64,0))),"")))</f>
        <v/>
      </c>
      <c r="U226" s="23"/>
      <c r="V226" s="24"/>
      <c r="W226" s="28" t="str">
        <f aca="false">IF(OR(X226="",X226="Pending"),"",IF(V226&lt;&gt;"",V226,IFERROR(IF(INDEX(Batches!$H$5:$H$64,MATCH(B226,Batches!$A$5:$A$64,0))="","",INDEX(Batches!$H$5:$H$64,MATCH(B226,Batches!$A$5:$A$64,0))),"")))</f>
        <v/>
      </c>
      <c r="X226" s="23"/>
      <c r="Y226" s="23"/>
      <c r="Z226" s="26"/>
      <c r="AA226" s="27" t="str">
        <f aca="false">IF(R226="","",IF(X226="Not accepted",R226,IF(OR(X226="Accepted",X226="Withdrawn by hospital"),IF(X226="Accepted",0,R226),IF(ISNUMBER(Z226),R226-Z226,""))))</f>
        <v/>
      </c>
      <c r="AB226" s="23"/>
      <c r="AC226" s="25"/>
      <c r="AD226" s="23"/>
      <c r="AE226" s="23"/>
      <c r="AF226" s="24"/>
      <c r="AG226" s="23"/>
      <c r="AH226" s="24"/>
      <c r="AI226" s="29" t="str">
        <f aca="false">IF(X226="Not accepted","Maintained",IF(X226="Partially accepted","Partially maintained",IF(X226="Accepted","Reversed",IF(X226="Withdrawn by hospital","Withdrawn by hospital",""))))</f>
        <v/>
      </c>
      <c r="AJ226" s="28" t="str">
        <f aca="false">IF(AI226="","",W226)</f>
        <v/>
      </c>
      <c r="AK226" s="29" t="str">
        <f aca="false">IF(AND(ISNUMBER(T226),ISNUMBER(W226)),W226-T226,"")</f>
        <v/>
      </c>
      <c r="AL226" s="29" t="str">
        <f aca="false">IF(A226="","",SUMIF(Actions!$C$5:$C$1004,A226,Actions!$F$5:$F$1004))</f>
        <v/>
      </c>
      <c r="AM226" s="25"/>
    </row>
    <row r="227" customFormat="false" ht="15" hidden="false" customHeight="false" outlineLevel="0" collapsed="false">
      <c r="A227" s="23"/>
      <c r="B227" s="23"/>
      <c r="C227" s="23"/>
      <c r="D227" s="23"/>
      <c r="E227" s="23"/>
      <c r="F227" s="23"/>
      <c r="G227" s="23"/>
      <c r="H227" s="23"/>
      <c r="I227" s="23"/>
      <c r="J227" s="23"/>
      <c r="K227" s="24"/>
      <c r="L227" s="23"/>
      <c r="M227" s="25"/>
      <c r="N227" s="25"/>
      <c r="O227" s="23"/>
      <c r="P227" s="26"/>
      <c r="Q227" s="26"/>
      <c r="R227" s="27" t="str">
        <f aca="false">IF(AND(ISNUMBER(P227),ISNUMBER(Q227)),P227-Q227,"")</f>
        <v/>
      </c>
      <c r="S227" s="24"/>
      <c r="T227" s="28" t="str">
        <f aca="false">IF(S227&lt;&gt;"",S227,IF(B227="","",IFERROR(IF(INDEX(Batches!$G$5:$G$64,MATCH(B227,Batches!$A$5:$A$64,0))="","",INDEX(Batches!$G$5:$G$64,MATCH(B227,Batches!$A$5:$A$64,0))),"")))</f>
        <v/>
      </c>
      <c r="U227" s="23"/>
      <c r="V227" s="24"/>
      <c r="W227" s="28" t="str">
        <f aca="false">IF(OR(X227="",X227="Pending"),"",IF(V227&lt;&gt;"",V227,IFERROR(IF(INDEX(Batches!$H$5:$H$64,MATCH(B227,Batches!$A$5:$A$64,0))="","",INDEX(Batches!$H$5:$H$64,MATCH(B227,Batches!$A$5:$A$64,0))),"")))</f>
        <v/>
      </c>
      <c r="X227" s="23"/>
      <c r="Y227" s="23"/>
      <c r="Z227" s="26"/>
      <c r="AA227" s="27" t="str">
        <f aca="false">IF(R227="","",IF(X227="Not accepted",R227,IF(OR(X227="Accepted",X227="Withdrawn by hospital"),IF(X227="Accepted",0,R227),IF(ISNUMBER(Z227),R227-Z227,""))))</f>
        <v/>
      </c>
      <c r="AB227" s="23"/>
      <c r="AC227" s="25"/>
      <c r="AD227" s="23"/>
      <c r="AE227" s="23"/>
      <c r="AF227" s="24"/>
      <c r="AG227" s="23"/>
      <c r="AH227" s="24"/>
      <c r="AI227" s="29" t="str">
        <f aca="false">IF(X227="Not accepted","Maintained",IF(X227="Partially accepted","Partially maintained",IF(X227="Accepted","Reversed",IF(X227="Withdrawn by hospital","Withdrawn by hospital",""))))</f>
        <v/>
      </c>
      <c r="AJ227" s="28" t="str">
        <f aca="false">IF(AI227="","",W227)</f>
        <v/>
      </c>
      <c r="AK227" s="29" t="str">
        <f aca="false">IF(AND(ISNUMBER(T227),ISNUMBER(W227)),W227-T227,"")</f>
        <v/>
      </c>
      <c r="AL227" s="29" t="str">
        <f aca="false">IF(A227="","",SUMIF(Actions!$C$5:$C$1004,A227,Actions!$F$5:$F$1004))</f>
        <v/>
      </c>
      <c r="AM227" s="25"/>
    </row>
    <row r="228" customFormat="false" ht="15" hidden="false" customHeight="false" outlineLevel="0" collapsed="false">
      <c r="A228" s="23"/>
      <c r="B228" s="23"/>
      <c r="C228" s="23"/>
      <c r="D228" s="23"/>
      <c r="E228" s="23"/>
      <c r="F228" s="23"/>
      <c r="G228" s="23"/>
      <c r="H228" s="23"/>
      <c r="I228" s="23"/>
      <c r="J228" s="23"/>
      <c r="K228" s="24"/>
      <c r="L228" s="23"/>
      <c r="M228" s="25"/>
      <c r="N228" s="25"/>
      <c r="O228" s="23"/>
      <c r="P228" s="26"/>
      <c r="Q228" s="26"/>
      <c r="R228" s="27" t="str">
        <f aca="false">IF(AND(ISNUMBER(P228),ISNUMBER(Q228)),P228-Q228,"")</f>
        <v/>
      </c>
      <c r="S228" s="24"/>
      <c r="T228" s="28" t="str">
        <f aca="false">IF(S228&lt;&gt;"",S228,IF(B228="","",IFERROR(IF(INDEX(Batches!$G$5:$G$64,MATCH(B228,Batches!$A$5:$A$64,0))="","",INDEX(Batches!$G$5:$G$64,MATCH(B228,Batches!$A$5:$A$64,0))),"")))</f>
        <v/>
      </c>
      <c r="U228" s="23"/>
      <c r="V228" s="24"/>
      <c r="W228" s="28" t="str">
        <f aca="false">IF(OR(X228="",X228="Pending"),"",IF(V228&lt;&gt;"",V228,IFERROR(IF(INDEX(Batches!$H$5:$H$64,MATCH(B228,Batches!$A$5:$A$64,0))="","",INDEX(Batches!$H$5:$H$64,MATCH(B228,Batches!$A$5:$A$64,0))),"")))</f>
        <v/>
      </c>
      <c r="X228" s="23"/>
      <c r="Y228" s="23"/>
      <c r="Z228" s="26"/>
      <c r="AA228" s="27" t="str">
        <f aca="false">IF(R228="","",IF(X228="Not accepted",R228,IF(OR(X228="Accepted",X228="Withdrawn by hospital"),IF(X228="Accepted",0,R228),IF(ISNUMBER(Z228),R228-Z228,""))))</f>
        <v/>
      </c>
      <c r="AB228" s="23"/>
      <c r="AC228" s="25"/>
      <c r="AD228" s="23"/>
      <c r="AE228" s="23"/>
      <c r="AF228" s="24"/>
      <c r="AG228" s="23"/>
      <c r="AH228" s="24"/>
      <c r="AI228" s="29" t="str">
        <f aca="false">IF(X228="Not accepted","Maintained",IF(X228="Partially accepted","Partially maintained",IF(X228="Accepted","Reversed",IF(X228="Withdrawn by hospital","Withdrawn by hospital",""))))</f>
        <v/>
      </c>
      <c r="AJ228" s="28" t="str">
        <f aca="false">IF(AI228="","",W228)</f>
        <v/>
      </c>
      <c r="AK228" s="29" t="str">
        <f aca="false">IF(AND(ISNUMBER(T228),ISNUMBER(W228)),W228-T228,"")</f>
        <v/>
      </c>
      <c r="AL228" s="29" t="str">
        <f aca="false">IF(A228="","",SUMIF(Actions!$C$5:$C$1004,A228,Actions!$F$5:$F$1004))</f>
        <v/>
      </c>
      <c r="AM228" s="25"/>
    </row>
    <row r="229" customFormat="false" ht="15" hidden="false" customHeight="false" outlineLevel="0" collapsed="false">
      <c r="A229" s="23"/>
      <c r="B229" s="23"/>
      <c r="C229" s="23"/>
      <c r="D229" s="23"/>
      <c r="E229" s="23"/>
      <c r="F229" s="23"/>
      <c r="G229" s="23"/>
      <c r="H229" s="23"/>
      <c r="I229" s="23"/>
      <c r="J229" s="23"/>
      <c r="K229" s="24"/>
      <c r="L229" s="23"/>
      <c r="M229" s="25"/>
      <c r="N229" s="25"/>
      <c r="O229" s="23"/>
      <c r="P229" s="26"/>
      <c r="Q229" s="26"/>
      <c r="R229" s="27" t="str">
        <f aca="false">IF(AND(ISNUMBER(P229),ISNUMBER(Q229)),P229-Q229,"")</f>
        <v/>
      </c>
      <c r="S229" s="24"/>
      <c r="T229" s="28" t="str">
        <f aca="false">IF(S229&lt;&gt;"",S229,IF(B229="","",IFERROR(IF(INDEX(Batches!$G$5:$G$64,MATCH(B229,Batches!$A$5:$A$64,0))="","",INDEX(Batches!$G$5:$G$64,MATCH(B229,Batches!$A$5:$A$64,0))),"")))</f>
        <v/>
      </c>
      <c r="U229" s="23"/>
      <c r="V229" s="24"/>
      <c r="W229" s="28" t="str">
        <f aca="false">IF(OR(X229="",X229="Pending"),"",IF(V229&lt;&gt;"",V229,IFERROR(IF(INDEX(Batches!$H$5:$H$64,MATCH(B229,Batches!$A$5:$A$64,0))="","",INDEX(Batches!$H$5:$H$64,MATCH(B229,Batches!$A$5:$A$64,0))),"")))</f>
        <v/>
      </c>
      <c r="X229" s="23"/>
      <c r="Y229" s="23"/>
      <c r="Z229" s="26"/>
      <c r="AA229" s="27" t="str">
        <f aca="false">IF(R229="","",IF(X229="Not accepted",R229,IF(OR(X229="Accepted",X229="Withdrawn by hospital"),IF(X229="Accepted",0,R229),IF(ISNUMBER(Z229),R229-Z229,""))))</f>
        <v/>
      </c>
      <c r="AB229" s="23"/>
      <c r="AC229" s="25"/>
      <c r="AD229" s="23"/>
      <c r="AE229" s="23"/>
      <c r="AF229" s="24"/>
      <c r="AG229" s="23"/>
      <c r="AH229" s="24"/>
      <c r="AI229" s="29" t="str">
        <f aca="false">IF(X229="Not accepted","Maintained",IF(X229="Partially accepted","Partially maintained",IF(X229="Accepted","Reversed",IF(X229="Withdrawn by hospital","Withdrawn by hospital",""))))</f>
        <v/>
      </c>
      <c r="AJ229" s="28" t="str">
        <f aca="false">IF(AI229="","",W229)</f>
        <v/>
      </c>
      <c r="AK229" s="29" t="str">
        <f aca="false">IF(AND(ISNUMBER(T229),ISNUMBER(W229)),W229-T229,"")</f>
        <v/>
      </c>
      <c r="AL229" s="29" t="str">
        <f aca="false">IF(A229="","",SUMIF(Actions!$C$5:$C$1004,A229,Actions!$F$5:$F$1004))</f>
        <v/>
      </c>
      <c r="AM229" s="25"/>
    </row>
    <row r="230" customFormat="false" ht="15" hidden="false" customHeight="false" outlineLevel="0" collapsed="false">
      <c r="A230" s="23"/>
      <c r="B230" s="23"/>
      <c r="C230" s="23"/>
      <c r="D230" s="23"/>
      <c r="E230" s="23"/>
      <c r="F230" s="23"/>
      <c r="G230" s="23"/>
      <c r="H230" s="23"/>
      <c r="I230" s="23"/>
      <c r="J230" s="23"/>
      <c r="K230" s="24"/>
      <c r="L230" s="23"/>
      <c r="M230" s="25"/>
      <c r="N230" s="25"/>
      <c r="O230" s="23"/>
      <c r="P230" s="26"/>
      <c r="Q230" s="26"/>
      <c r="R230" s="27" t="str">
        <f aca="false">IF(AND(ISNUMBER(P230),ISNUMBER(Q230)),P230-Q230,"")</f>
        <v/>
      </c>
      <c r="S230" s="24"/>
      <c r="T230" s="28" t="str">
        <f aca="false">IF(S230&lt;&gt;"",S230,IF(B230="","",IFERROR(IF(INDEX(Batches!$G$5:$G$64,MATCH(B230,Batches!$A$5:$A$64,0))="","",INDEX(Batches!$G$5:$G$64,MATCH(B230,Batches!$A$5:$A$64,0))),"")))</f>
        <v/>
      </c>
      <c r="U230" s="23"/>
      <c r="V230" s="24"/>
      <c r="W230" s="28" t="str">
        <f aca="false">IF(OR(X230="",X230="Pending"),"",IF(V230&lt;&gt;"",V230,IFERROR(IF(INDEX(Batches!$H$5:$H$64,MATCH(B230,Batches!$A$5:$A$64,0))="","",INDEX(Batches!$H$5:$H$64,MATCH(B230,Batches!$A$5:$A$64,0))),"")))</f>
        <v/>
      </c>
      <c r="X230" s="23"/>
      <c r="Y230" s="23"/>
      <c r="Z230" s="26"/>
      <c r="AA230" s="27" t="str">
        <f aca="false">IF(R230="","",IF(X230="Not accepted",R230,IF(OR(X230="Accepted",X230="Withdrawn by hospital"),IF(X230="Accepted",0,R230),IF(ISNUMBER(Z230),R230-Z230,""))))</f>
        <v/>
      </c>
      <c r="AB230" s="23"/>
      <c r="AC230" s="25"/>
      <c r="AD230" s="23"/>
      <c r="AE230" s="23"/>
      <c r="AF230" s="24"/>
      <c r="AG230" s="23"/>
      <c r="AH230" s="24"/>
      <c r="AI230" s="29" t="str">
        <f aca="false">IF(X230="Not accepted","Maintained",IF(X230="Partially accepted","Partially maintained",IF(X230="Accepted","Reversed",IF(X230="Withdrawn by hospital","Withdrawn by hospital",""))))</f>
        <v/>
      </c>
      <c r="AJ230" s="28" t="str">
        <f aca="false">IF(AI230="","",W230)</f>
        <v/>
      </c>
      <c r="AK230" s="29" t="str">
        <f aca="false">IF(AND(ISNUMBER(T230),ISNUMBER(W230)),W230-T230,"")</f>
        <v/>
      </c>
      <c r="AL230" s="29" t="str">
        <f aca="false">IF(A230="","",SUMIF(Actions!$C$5:$C$1004,A230,Actions!$F$5:$F$1004))</f>
        <v/>
      </c>
      <c r="AM230" s="25"/>
    </row>
    <row r="231" customFormat="false" ht="15" hidden="false" customHeight="false" outlineLevel="0" collapsed="false">
      <c r="A231" s="23"/>
      <c r="B231" s="23"/>
      <c r="C231" s="23"/>
      <c r="D231" s="23"/>
      <c r="E231" s="23"/>
      <c r="F231" s="23"/>
      <c r="G231" s="23"/>
      <c r="H231" s="23"/>
      <c r="I231" s="23"/>
      <c r="J231" s="23"/>
      <c r="K231" s="24"/>
      <c r="L231" s="23"/>
      <c r="M231" s="25"/>
      <c r="N231" s="25"/>
      <c r="O231" s="23"/>
      <c r="P231" s="26"/>
      <c r="Q231" s="26"/>
      <c r="R231" s="27" t="str">
        <f aca="false">IF(AND(ISNUMBER(P231),ISNUMBER(Q231)),P231-Q231,"")</f>
        <v/>
      </c>
      <c r="S231" s="24"/>
      <c r="T231" s="28" t="str">
        <f aca="false">IF(S231&lt;&gt;"",S231,IF(B231="","",IFERROR(IF(INDEX(Batches!$G$5:$G$64,MATCH(B231,Batches!$A$5:$A$64,0))="","",INDEX(Batches!$G$5:$G$64,MATCH(B231,Batches!$A$5:$A$64,0))),"")))</f>
        <v/>
      </c>
      <c r="U231" s="23"/>
      <c r="V231" s="24"/>
      <c r="W231" s="28" t="str">
        <f aca="false">IF(OR(X231="",X231="Pending"),"",IF(V231&lt;&gt;"",V231,IFERROR(IF(INDEX(Batches!$H$5:$H$64,MATCH(B231,Batches!$A$5:$A$64,0))="","",INDEX(Batches!$H$5:$H$64,MATCH(B231,Batches!$A$5:$A$64,0))),"")))</f>
        <v/>
      </c>
      <c r="X231" s="23"/>
      <c r="Y231" s="23"/>
      <c r="Z231" s="26"/>
      <c r="AA231" s="27" t="str">
        <f aca="false">IF(R231="","",IF(X231="Not accepted",R231,IF(OR(X231="Accepted",X231="Withdrawn by hospital"),IF(X231="Accepted",0,R231),IF(ISNUMBER(Z231),R231-Z231,""))))</f>
        <v/>
      </c>
      <c r="AB231" s="23"/>
      <c r="AC231" s="25"/>
      <c r="AD231" s="23"/>
      <c r="AE231" s="23"/>
      <c r="AF231" s="24"/>
      <c r="AG231" s="23"/>
      <c r="AH231" s="24"/>
      <c r="AI231" s="29" t="str">
        <f aca="false">IF(X231="Not accepted","Maintained",IF(X231="Partially accepted","Partially maintained",IF(X231="Accepted","Reversed",IF(X231="Withdrawn by hospital","Withdrawn by hospital",""))))</f>
        <v/>
      </c>
      <c r="AJ231" s="28" t="str">
        <f aca="false">IF(AI231="","",W231)</f>
        <v/>
      </c>
      <c r="AK231" s="29" t="str">
        <f aca="false">IF(AND(ISNUMBER(T231),ISNUMBER(W231)),W231-T231,"")</f>
        <v/>
      </c>
      <c r="AL231" s="29" t="str">
        <f aca="false">IF(A231="","",SUMIF(Actions!$C$5:$C$1004,A231,Actions!$F$5:$F$1004))</f>
        <v/>
      </c>
      <c r="AM231" s="25"/>
    </row>
    <row r="232" customFormat="false" ht="15" hidden="false" customHeight="false" outlineLevel="0" collapsed="false">
      <c r="A232" s="23"/>
      <c r="B232" s="23"/>
      <c r="C232" s="23"/>
      <c r="D232" s="23"/>
      <c r="E232" s="23"/>
      <c r="F232" s="23"/>
      <c r="G232" s="23"/>
      <c r="H232" s="23"/>
      <c r="I232" s="23"/>
      <c r="J232" s="23"/>
      <c r="K232" s="24"/>
      <c r="L232" s="23"/>
      <c r="M232" s="25"/>
      <c r="N232" s="25"/>
      <c r="O232" s="23"/>
      <c r="P232" s="26"/>
      <c r="Q232" s="26"/>
      <c r="R232" s="27" t="str">
        <f aca="false">IF(AND(ISNUMBER(P232),ISNUMBER(Q232)),P232-Q232,"")</f>
        <v/>
      </c>
      <c r="S232" s="24"/>
      <c r="T232" s="28" t="str">
        <f aca="false">IF(S232&lt;&gt;"",S232,IF(B232="","",IFERROR(IF(INDEX(Batches!$G$5:$G$64,MATCH(B232,Batches!$A$5:$A$64,0))="","",INDEX(Batches!$G$5:$G$64,MATCH(B232,Batches!$A$5:$A$64,0))),"")))</f>
        <v/>
      </c>
      <c r="U232" s="23"/>
      <c r="V232" s="24"/>
      <c r="W232" s="28" t="str">
        <f aca="false">IF(OR(X232="",X232="Pending"),"",IF(V232&lt;&gt;"",V232,IFERROR(IF(INDEX(Batches!$H$5:$H$64,MATCH(B232,Batches!$A$5:$A$64,0))="","",INDEX(Batches!$H$5:$H$64,MATCH(B232,Batches!$A$5:$A$64,0))),"")))</f>
        <v/>
      </c>
      <c r="X232" s="23"/>
      <c r="Y232" s="23"/>
      <c r="Z232" s="26"/>
      <c r="AA232" s="27" t="str">
        <f aca="false">IF(R232="","",IF(X232="Not accepted",R232,IF(OR(X232="Accepted",X232="Withdrawn by hospital"),IF(X232="Accepted",0,R232),IF(ISNUMBER(Z232),R232-Z232,""))))</f>
        <v/>
      </c>
      <c r="AB232" s="23"/>
      <c r="AC232" s="25"/>
      <c r="AD232" s="23"/>
      <c r="AE232" s="23"/>
      <c r="AF232" s="24"/>
      <c r="AG232" s="23"/>
      <c r="AH232" s="24"/>
      <c r="AI232" s="29" t="str">
        <f aca="false">IF(X232="Not accepted","Maintained",IF(X232="Partially accepted","Partially maintained",IF(X232="Accepted","Reversed",IF(X232="Withdrawn by hospital","Withdrawn by hospital",""))))</f>
        <v/>
      </c>
      <c r="AJ232" s="28" t="str">
        <f aca="false">IF(AI232="","",W232)</f>
        <v/>
      </c>
      <c r="AK232" s="29" t="str">
        <f aca="false">IF(AND(ISNUMBER(T232),ISNUMBER(W232)),W232-T232,"")</f>
        <v/>
      </c>
      <c r="AL232" s="29" t="str">
        <f aca="false">IF(A232="","",SUMIF(Actions!$C$5:$C$1004,A232,Actions!$F$5:$F$1004))</f>
        <v/>
      </c>
      <c r="AM232" s="25"/>
    </row>
    <row r="233" customFormat="false" ht="15" hidden="false" customHeight="false" outlineLevel="0" collapsed="false">
      <c r="A233" s="23"/>
      <c r="B233" s="23"/>
      <c r="C233" s="23"/>
      <c r="D233" s="23"/>
      <c r="E233" s="23"/>
      <c r="F233" s="23"/>
      <c r="G233" s="23"/>
      <c r="H233" s="23"/>
      <c r="I233" s="23"/>
      <c r="J233" s="23"/>
      <c r="K233" s="24"/>
      <c r="L233" s="23"/>
      <c r="M233" s="25"/>
      <c r="N233" s="25"/>
      <c r="O233" s="23"/>
      <c r="P233" s="26"/>
      <c r="Q233" s="26"/>
      <c r="R233" s="27" t="str">
        <f aca="false">IF(AND(ISNUMBER(P233),ISNUMBER(Q233)),P233-Q233,"")</f>
        <v/>
      </c>
      <c r="S233" s="24"/>
      <c r="T233" s="28" t="str">
        <f aca="false">IF(S233&lt;&gt;"",S233,IF(B233="","",IFERROR(IF(INDEX(Batches!$G$5:$G$64,MATCH(B233,Batches!$A$5:$A$64,0))="","",INDEX(Batches!$G$5:$G$64,MATCH(B233,Batches!$A$5:$A$64,0))),"")))</f>
        <v/>
      </c>
      <c r="U233" s="23"/>
      <c r="V233" s="24"/>
      <c r="W233" s="28" t="str">
        <f aca="false">IF(OR(X233="",X233="Pending"),"",IF(V233&lt;&gt;"",V233,IFERROR(IF(INDEX(Batches!$H$5:$H$64,MATCH(B233,Batches!$A$5:$A$64,0))="","",INDEX(Batches!$H$5:$H$64,MATCH(B233,Batches!$A$5:$A$64,0))),"")))</f>
        <v/>
      </c>
      <c r="X233" s="23"/>
      <c r="Y233" s="23"/>
      <c r="Z233" s="26"/>
      <c r="AA233" s="27" t="str">
        <f aca="false">IF(R233="","",IF(X233="Not accepted",R233,IF(OR(X233="Accepted",X233="Withdrawn by hospital"),IF(X233="Accepted",0,R233),IF(ISNUMBER(Z233),R233-Z233,""))))</f>
        <v/>
      </c>
      <c r="AB233" s="23"/>
      <c r="AC233" s="25"/>
      <c r="AD233" s="23"/>
      <c r="AE233" s="23"/>
      <c r="AF233" s="24"/>
      <c r="AG233" s="23"/>
      <c r="AH233" s="24"/>
      <c r="AI233" s="29" t="str">
        <f aca="false">IF(X233="Not accepted","Maintained",IF(X233="Partially accepted","Partially maintained",IF(X233="Accepted","Reversed",IF(X233="Withdrawn by hospital","Withdrawn by hospital",""))))</f>
        <v/>
      </c>
      <c r="AJ233" s="28" t="str">
        <f aca="false">IF(AI233="","",W233)</f>
        <v/>
      </c>
      <c r="AK233" s="29" t="str">
        <f aca="false">IF(AND(ISNUMBER(T233),ISNUMBER(W233)),W233-T233,"")</f>
        <v/>
      </c>
      <c r="AL233" s="29" t="str">
        <f aca="false">IF(A233="","",SUMIF(Actions!$C$5:$C$1004,A233,Actions!$F$5:$F$1004))</f>
        <v/>
      </c>
      <c r="AM233" s="25"/>
    </row>
    <row r="234" customFormat="false" ht="15" hidden="false" customHeight="false" outlineLevel="0" collapsed="false">
      <c r="A234" s="23"/>
      <c r="B234" s="23"/>
      <c r="C234" s="23"/>
      <c r="D234" s="23"/>
      <c r="E234" s="23"/>
      <c r="F234" s="23"/>
      <c r="G234" s="23"/>
      <c r="H234" s="23"/>
      <c r="I234" s="23"/>
      <c r="J234" s="23"/>
      <c r="K234" s="24"/>
      <c r="L234" s="23"/>
      <c r="M234" s="25"/>
      <c r="N234" s="25"/>
      <c r="O234" s="23"/>
      <c r="P234" s="26"/>
      <c r="Q234" s="26"/>
      <c r="R234" s="27" t="str">
        <f aca="false">IF(AND(ISNUMBER(P234),ISNUMBER(Q234)),P234-Q234,"")</f>
        <v/>
      </c>
      <c r="S234" s="24"/>
      <c r="T234" s="28" t="str">
        <f aca="false">IF(S234&lt;&gt;"",S234,IF(B234="","",IFERROR(IF(INDEX(Batches!$G$5:$G$64,MATCH(B234,Batches!$A$5:$A$64,0))="","",INDEX(Batches!$G$5:$G$64,MATCH(B234,Batches!$A$5:$A$64,0))),"")))</f>
        <v/>
      </c>
      <c r="U234" s="23"/>
      <c r="V234" s="24"/>
      <c r="W234" s="28" t="str">
        <f aca="false">IF(OR(X234="",X234="Pending"),"",IF(V234&lt;&gt;"",V234,IFERROR(IF(INDEX(Batches!$H$5:$H$64,MATCH(B234,Batches!$A$5:$A$64,0))="","",INDEX(Batches!$H$5:$H$64,MATCH(B234,Batches!$A$5:$A$64,0))),"")))</f>
        <v/>
      </c>
      <c r="X234" s="23"/>
      <c r="Y234" s="23"/>
      <c r="Z234" s="26"/>
      <c r="AA234" s="27" t="str">
        <f aca="false">IF(R234="","",IF(X234="Not accepted",R234,IF(OR(X234="Accepted",X234="Withdrawn by hospital"),IF(X234="Accepted",0,R234),IF(ISNUMBER(Z234),R234-Z234,""))))</f>
        <v/>
      </c>
      <c r="AB234" s="23"/>
      <c r="AC234" s="25"/>
      <c r="AD234" s="23"/>
      <c r="AE234" s="23"/>
      <c r="AF234" s="24"/>
      <c r="AG234" s="23"/>
      <c r="AH234" s="24"/>
      <c r="AI234" s="29" t="str">
        <f aca="false">IF(X234="Not accepted","Maintained",IF(X234="Partially accepted","Partially maintained",IF(X234="Accepted","Reversed",IF(X234="Withdrawn by hospital","Withdrawn by hospital",""))))</f>
        <v/>
      </c>
      <c r="AJ234" s="28" t="str">
        <f aca="false">IF(AI234="","",W234)</f>
        <v/>
      </c>
      <c r="AK234" s="29" t="str">
        <f aca="false">IF(AND(ISNUMBER(T234),ISNUMBER(W234)),W234-T234,"")</f>
        <v/>
      </c>
      <c r="AL234" s="29" t="str">
        <f aca="false">IF(A234="","",SUMIF(Actions!$C$5:$C$1004,A234,Actions!$F$5:$F$1004))</f>
        <v/>
      </c>
      <c r="AM234" s="25"/>
    </row>
    <row r="235" customFormat="false" ht="15" hidden="false" customHeight="false" outlineLevel="0" collapsed="false">
      <c r="A235" s="23"/>
      <c r="B235" s="23"/>
      <c r="C235" s="23"/>
      <c r="D235" s="23"/>
      <c r="E235" s="23"/>
      <c r="F235" s="23"/>
      <c r="G235" s="23"/>
      <c r="H235" s="23"/>
      <c r="I235" s="23"/>
      <c r="J235" s="23"/>
      <c r="K235" s="24"/>
      <c r="L235" s="23"/>
      <c r="M235" s="25"/>
      <c r="N235" s="25"/>
      <c r="O235" s="23"/>
      <c r="P235" s="26"/>
      <c r="Q235" s="26"/>
      <c r="R235" s="27" t="str">
        <f aca="false">IF(AND(ISNUMBER(P235),ISNUMBER(Q235)),P235-Q235,"")</f>
        <v/>
      </c>
      <c r="S235" s="24"/>
      <c r="T235" s="28" t="str">
        <f aca="false">IF(S235&lt;&gt;"",S235,IF(B235="","",IFERROR(IF(INDEX(Batches!$G$5:$G$64,MATCH(B235,Batches!$A$5:$A$64,0))="","",INDEX(Batches!$G$5:$G$64,MATCH(B235,Batches!$A$5:$A$64,0))),"")))</f>
        <v/>
      </c>
      <c r="U235" s="23"/>
      <c r="V235" s="24"/>
      <c r="W235" s="28" t="str">
        <f aca="false">IF(OR(X235="",X235="Pending"),"",IF(V235&lt;&gt;"",V235,IFERROR(IF(INDEX(Batches!$H$5:$H$64,MATCH(B235,Batches!$A$5:$A$64,0))="","",INDEX(Batches!$H$5:$H$64,MATCH(B235,Batches!$A$5:$A$64,0))),"")))</f>
        <v/>
      </c>
      <c r="X235" s="23"/>
      <c r="Y235" s="23"/>
      <c r="Z235" s="26"/>
      <c r="AA235" s="27" t="str">
        <f aca="false">IF(R235="","",IF(X235="Not accepted",R235,IF(OR(X235="Accepted",X235="Withdrawn by hospital"),IF(X235="Accepted",0,R235),IF(ISNUMBER(Z235),R235-Z235,""))))</f>
        <v/>
      </c>
      <c r="AB235" s="23"/>
      <c r="AC235" s="25"/>
      <c r="AD235" s="23"/>
      <c r="AE235" s="23"/>
      <c r="AF235" s="24"/>
      <c r="AG235" s="23"/>
      <c r="AH235" s="24"/>
      <c r="AI235" s="29" t="str">
        <f aca="false">IF(X235="Not accepted","Maintained",IF(X235="Partially accepted","Partially maintained",IF(X235="Accepted","Reversed",IF(X235="Withdrawn by hospital","Withdrawn by hospital",""))))</f>
        <v/>
      </c>
      <c r="AJ235" s="28" t="str">
        <f aca="false">IF(AI235="","",W235)</f>
        <v/>
      </c>
      <c r="AK235" s="29" t="str">
        <f aca="false">IF(AND(ISNUMBER(T235),ISNUMBER(W235)),W235-T235,"")</f>
        <v/>
      </c>
      <c r="AL235" s="29" t="str">
        <f aca="false">IF(A235="","",SUMIF(Actions!$C$5:$C$1004,A235,Actions!$F$5:$F$1004))</f>
        <v/>
      </c>
      <c r="AM235" s="25"/>
    </row>
    <row r="236" customFormat="false" ht="15" hidden="false" customHeight="false" outlineLevel="0" collapsed="false">
      <c r="A236" s="23"/>
      <c r="B236" s="23"/>
      <c r="C236" s="23"/>
      <c r="D236" s="23"/>
      <c r="E236" s="23"/>
      <c r="F236" s="23"/>
      <c r="G236" s="23"/>
      <c r="H236" s="23"/>
      <c r="I236" s="23"/>
      <c r="J236" s="23"/>
      <c r="K236" s="24"/>
      <c r="L236" s="23"/>
      <c r="M236" s="25"/>
      <c r="N236" s="25"/>
      <c r="O236" s="23"/>
      <c r="P236" s="26"/>
      <c r="Q236" s="26"/>
      <c r="R236" s="27" t="str">
        <f aca="false">IF(AND(ISNUMBER(P236),ISNUMBER(Q236)),P236-Q236,"")</f>
        <v/>
      </c>
      <c r="S236" s="24"/>
      <c r="T236" s="28" t="str">
        <f aca="false">IF(S236&lt;&gt;"",S236,IF(B236="","",IFERROR(IF(INDEX(Batches!$G$5:$G$64,MATCH(B236,Batches!$A$5:$A$64,0))="","",INDEX(Batches!$G$5:$G$64,MATCH(B236,Batches!$A$5:$A$64,0))),"")))</f>
        <v/>
      </c>
      <c r="U236" s="23"/>
      <c r="V236" s="24"/>
      <c r="W236" s="28" t="str">
        <f aca="false">IF(OR(X236="",X236="Pending"),"",IF(V236&lt;&gt;"",V236,IFERROR(IF(INDEX(Batches!$H$5:$H$64,MATCH(B236,Batches!$A$5:$A$64,0))="","",INDEX(Batches!$H$5:$H$64,MATCH(B236,Batches!$A$5:$A$64,0))),"")))</f>
        <v/>
      </c>
      <c r="X236" s="23"/>
      <c r="Y236" s="23"/>
      <c r="Z236" s="26"/>
      <c r="AA236" s="27" t="str">
        <f aca="false">IF(R236="","",IF(X236="Not accepted",R236,IF(OR(X236="Accepted",X236="Withdrawn by hospital"),IF(X236="Accepted",0,R236),IF(ISNUMBER(Z236),R236-Z236,""))))</f>
        <v/>
      </c>
      <c r="AB236" s="23"/>
      <c r="AC236" s="25"/>
      <c r="AD236" s="23"/>
      <c r="AE236" s="23"/>
      <c r="AF236" s="24"/>
      <c r="AG236" s="23"/>
      <c r="AH236" s="24"/>
      <c r="AI236" s="29" t="str">
        <f aca="false">IF(X236="Not accepted","Maintained",IF(X236="Partially accepted","Partially maintained",IF(X236="Accepted","Reversed",IF(X236="Withdrawn by hospital","Withdrawn by hospital",""))))</f>
        <v/>
      </c>
      <c r="AJ236" s="28" t="str">
        <f aca="false">IF(AI236="","",W236)</f>
        <v/>
      </c>
      <c r="AK236" s="29" t="str">
        <f aca="false">IF(AND(ISNUMBER(T236),ISNUMBER(W236)),W236-T236,"")</f>
        <v/>
      </c>
      <c r="AL236" s="29" t="str">
        <f aca="false">IF(A236="","",SUMIF(Actions!$C$5:$C$1004,A236,Actions!$F$5:$F$1004))</f>
        <v/>
      </c>
      <c r="AM236" s="25"/>
    </row>
    <row r="237" customFormat="false" ht="15" hidden="false" customHeight="false" outlineLevel="0" collapsed="false">
      <c r="A237" s="23"/>
      <c r="B237" s="23"/>
      <c r="C237" s="23"/>
      <c r="D237" s="23"/>
      <c r="E237" s="23"/>
      <c r="F237" s="23"/>
      <c r="G237" s="23"/>
      <c r="H237" s="23"/>
      <c r="I237" s="23"/>
      <c r="J237" s="23"/>
      <c r="K237" s="24"/>
      <c r="L237" s="23"/>
      <c r="M237" s="25"/>
      <c r="N237" s="25"/>
      <c r="O237" s="23"/>
      <c r="P237" s="26"/>
      <c r="Q237" s="26"/>
      <c r="R237" s="27" t="str">
        <f aca="false">IF(AND(ISNUMBER(P237),ISNUMBER(Q237)),P237-Q237,"")</f>
        <v/>
      </c>
      <c r="S237" s="24"/>
      <c r="T237" s="28" t="str">
        <f aca="false">IF(S237&lt;&gt;"",S237,IF(B237="","",IFERROR(IF(INDEX(Batches!$G$5:$G$64,MATCH(B237,Batches!$A$5:$A$64,0))="","",INDEX(Batches!$G$5:$G$64,MATCH(B237,Batches!$A$5:$A$64,0))),"")))</f>
        <v/>
      </c>
      <c r="U237" s="23"/>
      <c r="V237" s="24"/>
      <c r="W237" s="28" t="str">
        <f aca="false">IF(OR(X237="",X237="Pending"),"",IF(V237&lt;&gt;"",V237,IFERROR(IF(INDEX(Batches!$H$5:$H$64,MATCH(B237,Batches!$A$5:$A$64,0))="","",INDEX(Batches!$H$5:$H$64,MATCH(B237,Batches!$A$5:$A$64,0))),"")))</f>
        <v/>
      </c>
      <c r="X237" s="23"/>
      <c r="Y237" s="23"/>
      <c r="Z237" s="26"/>
      <c r="AA237" s="27" t="str">
        <f aca="false">IF(R237="","",IF(X237="Not accepted",R237,IF(OR(X237="Accepted",X237="Withdrawn by hospital"),IF(X237="Accepted",0,R237),IF(ISNUMBER(Z237),R237-Z237,""))))</f>
        <v/>
      </c>
      <c r="AB237" s="23"/>
      <c r="AC237" s="25"/>
      <c r="AD237" s="23"/>
      <c r="AE237" s="23"/>
      <c r="AF237" s="24"/>
      <c r="AG237" s="23"/>
      <c r="AH237" s="24"/>
      <c r="AI237" s="29" t="str">
        <f aca="false">IF(X237="Not accepted","Maintained",IF(X237="Partially accepted","Partially maintained",IF(X237="Accepted","Reversed",IF(X237="Withdrawn by hospital","Withdrawn by hospital",""))))</f>
        <v/>
      </c>
      <c r="AJ237" s="28" t="str">
        <f aca="false">IF(AI237="","",W237)</f>
        <v/>
      </c>
      <c r="AK237" s="29" t="str">
        <f aca="false">IF(AND(ISNUMBER(T237),ISNUMBER(W237)),W237-T237,"")</f>
        <v/>
      </c>
      <c r="AL237" s="29" t="str">
        <f aca="false">IF(A237="","",SUMIF(Actions!$C$5:$C$1004,A237,Actions!$F$5:$F$1004))</f>
        <v/>
      </c>
      <c r="AM237" s="25"/>
    </row>
    <row r="238" customFormat="false" ht="15" hidden="false" customHeight="false" outlineLevel="0" collapsed="false">
      <c r="A238" s="23"/>
      <c r="B238" s="23"/>
      <c r="C238" s="23"/>
      <c r="D238" s="23"/>
      <c r="E238" s="23"/>
      <c r="F238" s="23"/>
      <c r="G238" s="23"/>
      <c r="H238" s="23"/>
      <c r="I238" s="23"/>
      <c r="J238" s="23"/>
      <c r="K238" s="24"/>
      <c r="L238" s="23"/>
      <c r="M238" s="25"/>
      <c r="N238" s="25"/>
      <c r="O238" s="23"/>
      <c r="P238" s="26"/>
      <c r="Q238" s="26"/>
      <c r="R238" s="27" t="str">
        <f aca="false">IF(AND(ISNUMBER(P238),ISNUMBER(Q238)),P238-Q238,"")</f>
        <v/>
      </c>
      <c r="S238" s="24"/>
      <c r="T238" s="28" t="str">
        <f aca="false">IF(S238&lt;&gt;"",S238,IF(B238="","",IFERROR(IF(INDEX(Batches!$G$5:$G$64,MATCH(B238,Batches!$A$5:$A$64,0))="","",INDEX(Batches!$G$5:$G$64,MATCH(B238,Batches!$A$5:$A$64,0))),"")))</f>
        <v/>
      </c>
      <c r="U238" s="23"/>
      <c r="V238" s="24"/>
      <c r="W238" s="28" t="str">
        <f aca="false">IF(OR(X238="",X238="Pending"),"",IF(V238&lt;&gt;"",V238,IFERROR(IF(INDEX(Batches!$H$5:$H$64,MATCH(B238,Batches!$A$5:$A$64,0))="","",INDEX(Batches!$H$5:$H$64,MATCH(B238,Batches!$A$5:$A$64,0))),"")))</f>
        <v/>
      </c>
      <c r="X238" s="23"/>
      <c r="Y238" s="23"/>
      <c r="Z238" s="26"/>
      <c r="AA238" s="27" t="str">
        <f aca="false">IF(R238="","",IF(X238="Not accepted",R238,IF(OR(X238="Accepted",X238="Withdrawn by hospital"),IF(X238="Accepted",0,R238),IF(ISNUMBER(Z238),R238-Z238,""))))</f>
        <v/>
      </c>
      <c r="AB238" s="23"/>
      <c r="AC238" s="25"/>
      <c r="AD238" s="23"/>
      <c r="AE238" s="23"/>
      <c r="AF238" s="24"/>
      <c r="AG238" s="23"/>
      <c r="AH238" s="24"/>
      <c r="AI238" s="29" t="str">
        <f aca="false">IF(X238="Not accepted","Maintained",IF(X238="Partially accepted","Partially maintained",IF(X238="Accepted","Reversed",IF(X238="Withdrawn by hospital","Withdrawn by hospital",""))))</f>
        <v/>
      </c>
      <c r="AJ238" s="28" t="str">
        <f aca="false">IF(AI238="","",W238)</f>
        <v/>
      </c>
      <c r="AK238" s="29" t="str">
        <f aca="false">IF(AND(ISNUMBER(T238),ISNUMBER(W238)),W238-T238,"")</f>
        <v/>
      </c>
      <c r="AL238" s="29" t="str">
        <f aca="false">IF(A238="","",SUMIF(Actions!$C$5:$C$1004,A238,Actions!$F$5:$F$1004))</f>
        <v/>
      </c>
      <c r="AM238" s="25"/>
    </row>
    <row r="239" customFormat="false" ht="15" hidden="false" customHeight="false" outlineLevel="0" collapsed="false">
      <c r="A239" s="23"/>
      <c r="B239" s="23"/>
      <c r="C239" s="23"/>
      <c r="D239" s="23"/>
      <c r="E239" s="23"/>
      <c r="F239" s="23"/>
      <c r="G239" s="23"/>
      <c r="H239" s="23"/>
      <c r="I239" s="23"/>
      <c r="J239" s="23"/>
      <c r="K239" s="24"/>
      <c r="L239" s="23"/>
      <c r="M239" s="25"/>
      <c r="N239" s="25"/>
      <c r="O239" s="23"/>
      <c r="P239" s="26"/>
      <c r="Q239" s="26"/>
      <c r="R239" s="27" t="str">
        <f aca="false">IF(AND(ISNUMBER(P239),ISNUMBER(Q239)),P239-Q239,"")</f>
        <v/>
      </c>
      <c r="S239" s="24"/>
      <c r="T239" s="28" t="str">
        <f aca="false">IF(S239&lt;&gt;"",S239,IF(B239="","",IFERROR(IF(INDEX(Batches!$G$5:$G$64,MATCH(B239,Batches!$A$5:$A$64,0))="","",INDEX(Batches!$G$5:$G$64,MATCH(B239,Batches!$A$5:$A$64,0))),"")))</f>
        <v/>
      </c>
      <c r="U239" s="23"/>
      <c r="V239" s="24"/>
      <c r="W239" s="28" t="str">
        <f aca="false">IF(OR(X239="",X239="Pending"),"",IF(V239&lt;&gt;"",V239,IFERROR(IF(INDEX(Batches!$H$5:$H$64,MATCH(B239,Batches!$A$5:$A$64,0))="","",INDEX(Batches!$H$5:$H$64,MATCH(B239,Batches!$A$5:$A$64,0))),"")))</f>
        <v/>
      </c>
      <c r="X239" s="23"/>
      <c r="Y239" s="23"/>
      <c r="Z239" s="26"/>
      <c r="AA239" s="27" t="str">
        <f aca="false">IF(R239="","",IF(X239="Not accepted",R239,IF(OR(X239="Accepted",X239="Withdrawn by hospital"),IF(X239="Accepted",0,R239),IF(ISNUMBER(Z239),R239-Z239,""))))</f>
        <v/>
      </c>
      <c r="AB239" s="23"/>
      <c r="AC239" s="25"/>
      <c r="AD239" s="23"/>
      <c r="AE239" s="23"/>
      <c r="AF239" s="24"/>
      <c r="AG239" s="23"/>
      <c r="AH239" s="24"/>
      <c r="AI239" s="29" t="str">
        <f aca="false">IF(X239="Not accepted","Maintained",IF(X239="Partially accepted","Partially maintained",IF(X239="Accepted","Reversed",IF(X239="Withdrawn by hospital","Withdrawn by hospital",""))))</f>
        <v/>
      </c>
      <c r="AJ239" s="28" t="str">
        <f aca="false">IF(AI239="","",W239)</f>
        <v/>
      </c>
      <c r="AK239" s="29" t="str">
        <f aca="false">IF(AND(ISNUMBER(T239),ISNUMBER(W239)),W239-T239,"")</f>
        <v/>
      </c>
      <c r="AL239" s="29" t="str">
        <f aca="false">IF(A239="","",SUMIF(Actions!$C$5:$C$1004,A239,Actions!$F$5:$F$1004))</f>
        <v/>
      </c>
      <c r="AM239" s="25"/>
    </row>
    <row r="240" customFormat="false" ht="15" hidden="false" customHeight="false" outlineLevel="0" collapsed="false">
      <c r="A240" s="23"/>
      <c r="B240" s="23"/>
      <c r="C240" s="23"/>
      <c r="D240" s="23"/>
      <c r="E240" s="23"/>
      <c r="F240" s="23"/>
      <c r="G240" s="23"/>
      <c r="H240" s="23"/>
      <c r="I240" s="23"/>
      <c r="J240" s="23"/>
      <c r="K240" s="24"/>
      <c r="L240" s="23"/>
      <c r="M240" s="25"/>
      <c r="N240" s="25"/>
      <c r="O240" s="23"/>
      <c r="P240" s="26"/>
      <c r="Q240" s="26"/>
      <c r="R240" s="27" t="str">
        <f aca="false">IF(AND(ISNUMBER(P240),ISNUMBER(Q240)),P240-Q240,"")</f>
        <v/>
      </c>
      <c r="S240" s="24"/>
      <c r="T240" s="28" t="str">
        <f aca="false">IF(S240&lt;&gt;"",S240,IF(B240="","",IFERROR(IF(INDEX(Batches!$G$5:$G$64,MATCH(B240,Batches!$A$5:$A$64,0))="","",INDEX(Batches!$G$5:$G$64,MATCH(B240,Batches!$A$5:$A$64,0))),"")))</f>
        <v/>
      </c>
      <c r="U240" s="23"/>
      <c r="V240" s="24"/>
      <c r="W240" s="28" t="str">
        <f aca="false">IF(OR(X240="",X240="Pending"),"",IF(V240&lt;&gt;"",V240,IFERROR(IF(INDEX(Batches!$H$5:$H$64,MATCH(B240,Batches!$A$5:$A$64,0))="","",INDEX(Batches!$H$5:$H$64,MATCH(B240,Batches!$A$5:$A$64,0))),"")))</f>
        <v/>
      </c>
      <c r="X240" s="23"/>
      <c r="Y240" s="23"/>
      <c r="Z240" s="26"/>
      <c r="AA240" s="27" t="str">
        <f aca="false">IF(R240="","",IF(X240="Not accepted",R240,IF(OR(X240="Accepted",X240="Withdrawn by hospital"),IF(X240="Accepted",0,R240),IF(ISNUMBER(Z240),R240-Z240,""))))</f>
        <v/>
      </c>
      <c r="AB240" s="23"/>
      <c r="AC240" s="25"/>
      <c r="AD240" s="23"/>
      <c r="AE240" s="23"/>
      <c r="AF240" s="24"/>
      <c r="AG240" s="23"/>
      <c r="AH240" s="24"/>
      <c r="AI240" s="29" t="str">
        <f aca="false">IF(X240="Not accepted","Maintained",IF(X240="Partially accepted","Partially maintained",IF(X240="Accepted","Reversed",IF(X240="Withdrawn by hospital","Withdrawn by hospital",""))))</f>
        <v/>
      </c>
      <c r="AJ240" s="28" t="str">
        <f aca="false">IF(AI240="","",W240)</f>
        <v/>
      </c>
      <c r="AK240" s="29" t="str">
        <f aca="false">IF(AND(ISNUMBER(T240),ISNUMBER(W240)),W240-T240,"")</f>
        <v/>
      </c>
      <c r="AL240" s="29" t="str">
        <f aca="false">IF(A240="","",SUMIF(Actions!$C$5:$C$1004,A240,Actions!$F$5:$F$1004))</f>
        <v/>
      </c>
      <c r="AM240" s="25"/>
    </row>
    <row r="241" customFormat="false" ht="15" hidden="false" customHeight="false" outlineLevel="0" collapsed="false">
      <c r="A241" s="23"/>
      <c r="B241" s="23"/>
      <c r="C241" s="23"/>
      <c r="D241" s="23"/>
      <c r="E241" s="23"/>
      <c r="F241" s="23"/>
      <c r="G241" s="23"/>
      <c r="H241" s="23"/>
      <c r="I241" s="23"/>
      <c r="J241" s="23"/>
      <c r="K241" s="24"/>
      <c r="L241" s="23"/>
      <c r="M241" s="25"/>
      <c r="N241" s="25"/>
      <c r="O241" s="23"/>
      <c r="P241" s="26"/>
      <c r="Q241" s="26"/>
      <c r="R241" s="27" t="str">
        <f aca="false">IF(AND(ISNUMBER(P241),ISNUMBER(Q241)),P241-Q241,"")</f>
        <v/>
      </c>
      <c r="S241" s="24"/>
      <c r="T241" s="28" t="str">
        <f aca="false">IF(S241&lt;&gt;"",S241,IF(B241="","",IFERROR(IF(INDEX(Batches!$G$5:$G$64,MATCH(B241,Batches!$A$5:$A$64,0))="","",INDEX(Batches!$G$5:$G$64,MATCH(B241,Batches!$A$5:$A$64,0))),"")))</f>
        <v/>
      </c>
      <c r="U241" s="23"/>
      <c r="V241" s="24"/>
      <c r="W241" s="28" t="str">
        <f aca="false">IF(OR(X241="",X241="Pending"),"",IF(V241&lt;&gt;"",V241,IFERROR(IF(INDEX(Batches!$H$5:$H$64,MATCH(B241,Batches!$A$5:$A$64,0))="","",INDEX(Batches!$H$5:$H$64,MATCH(B241,Batches!$A$5:$A$64,0))),"")))</f>
        <v/>
      </c>
      <c r="X241" s="23"/>
      <c r="Y241" s="23"/>
      <c r="Z241" s="26"/>
      <c r="AA241" s="27" t="str">
        <f aca="false">IF(R241="","",IF(X241="Not accepted",R241,IF(OR(X241="Accepted",X241="Withdrawn by hospital"),IF(X241="Accepted",0,R241),IF(ISNUMBER(Z241),R241-Z241,""))))</f>
        <v/>
      </c>
      <c r="AB241" s="23"/>
      <c r="AC241" s="25"/>
      <c r="AD241" s="23"/>
      <c r="AE241" s="23"/>
      <c r="AF241" s="24"/>
      <c r="AG241" s="23"/>
      <c r="AH241" s="24"/>
      <c r="AI241" s="29" t="str">
        <f aca="false">IF(X241="Not accepted","Maintained",IF(X241="Partially accepted","Partially maintained",IF(X241="Accepted","Reversed",IF(X241="Withdrawn by hospital","Withdrawn by hospital",""))))</f>
        <v/>
      </c>
      <c r="AJ241" s="28" t="str">
        <f aca="false">IF(AI241="","",W241)</f>
        <v/>
      </c>
      <c r="AK241" s="29" t="str">
        <f aca="false">IF(AND(ISNUMBER(T241),ISNUMBER(W241)),W241-T241,"")</f>
        <v/>
      </c>
      <c r="AL241" s="29" t="str">
        <f aca="false">IF(A241="","",SUMIF(Actions!$C$5:$C$1004,A241,Actions!$F$5:$F$1004))</f>
        <v/>
      </c>
      <c r="AM241" s="25"/>
    </row>
    <row r="242" customFormat="false" ht="15" hidden="false" customHeight="false" outlineLevel="0" collapsed="false">
      <c r="A242" s="23"/>
      <c r="B242" s="23"/>
      <c r="C242" s="23"/>
      <c r="D242" s="23"/>
      <c r="E242" s="23"/>
      <c r="F242" s="23"/>
      <c r="G242" s="23"/>
      <c r="H242" s="23"/>
      <c r="I242" s="23"/>
      <c r="J242" s="23"/>
      <c r="K242" s="24"/>
      <c r="L242" s="23"/>
      <c r="M242" s="25"/>
      <c r="N242" s="25"/>
      <c r="O242" s="23"/>
      <c r="P242" s="26"/>
      <c r="Q242" s="26"/>
      <c r="R242" s="27" t="str">
        <f aca="false">IF(AND(ISNUMBER(P242),ISNUMBER(Q242)),P242-Q242,"")</f>
        <v/>
      </c>
      <c r="S242" s="24"/>
      <c r="T242" s="28" t="str">
        <f aca="false">IF(S242&lt;&gt;"",S242,IF(B242="","",IFERROR(IF(INDEX(Batches!$G$5:$G$64,MATCH(B242,Batches!$A$5:$A$64,0))="","",INDEX(Batches!$G$5:$G$64,MATCH(B242,Batches!$A$5:$A$64,0))),"")))</f>
        <v/>
      </c>
      <c r="U242" s="23"/>
      <c r="V242" s="24"/>
      <c r="W242" s="28" t="str">
        <f aca="false">IF(OR(X242="",X242="Pending"),"",IF(V242&lt;&gt;"",V242,IFERROR(IF(INDEX(Batches!$H$5:$H$64,MATCH(B242,Batches!$A$5:$A$64,0))="","",INDEX(Batches!$H$5:$H$64,MATCH(B242,Batches!$A$5:$A$64,0))),"")))</f>
        <v/>
      </c>
      <c r="X242" s="23"/>
      <c r="Y242" s="23"/>
      <c r="Z242" s="26"/>
      <c r="AA242" s="27" t="str">
        <f aca="false">IF(R242="","",IF(X242="Not accepted",R242,IF(OR(X242="Accepted",X242="Withdrawn by hospital"),IF(X242="Accepted",0,R242),IF(ISNUMBER(Z242),R242-Z242,""))))</f>
        <v/>
      </c>
      <c r="AB242" s="23"/>
      <c r="AC242" s="25"/>
      <c r="AD242" s="23"/>
      <c r="AE242" s="23"/>
      <c r="AF242" s="24"/>
      <c r="AG242" s="23"/>
      <c r="AH242" s="24"/>
      <c r="AI242" s="29" t="str">
        <f aca="false">IF(X242="Not accepted","Maintained",IF(X242="Partially accepted","Partially maintained",IF(X242="Accepted","Reversed",IF(X242="Withdrawn by hospital","Withdrawn by hospital",""))))</f>
        <v/>
      </c>
      <c r="AJ242" s="28" t="str">
        <f aca="false">IF(AI242="","",W242)</f>
        <v/>
      </c>
      <c r="AK242" s="29" t="str">
        <f aca="false">IF(AND(ISNUMBER(T242),ISNUMBER(W242)),W242-T242,"")</f>
        <v/>
      </c>
      <c r="AL242" s="29" t="str">
        <f aca="false">IF(A242="","",SUMIF(Actions!$C$5:$C$1004,A242,Actions!$F$5:$F$1004))</f>
        <v/>
      </c>
      <c r="AM242" s="25"/>
    </row>
    <row r="243" customFormat="false" ht="15" hidden="false" customHeight="false" outlineLevel="0" collapsed="false">
      <c r="A243" s="23"/>
      <c r="B243" s="23"/>
      <c r="C243" s="23"/>
      <c r="D243" s="23"/>
      <c r="E243" s="23"/>
      <c r="F243" s="23"/>
      <c r="G243" s="23"/>
      <c r="H243" s="23"/>
      <c r="I243" s="23"/>
      <c r="J243" s="23"/>
      <c r="K243" s="24"/>
      <c r="L243" s="23"/>
      <c r="M243" s="25"/>
      <c r="N243" s="25"/>
      <c r="O243" s="23"/>
      <c r="P243" s="26"/>
      <c r="Q243" s="26"/>
      <c r="R243" s="27" t="str">
        <f aca="false">IF(AND(ISNUMBER(P243),ISNUMBER(Q243)),P243-Q243,"")</f>
        <v/>
      </c>
      <c r="S243" s="24"/>
      <c r="T243" s="28" t="str">
        <f aca="false">IF(S243&lt;&gt;"",S243,IF(B243="","",IFERROR(IF(INDEX(Batches!$G$5:$G$64,MATCH(B243,Batches!$A$5:$A$64,0))="","",INDEX(Batches!$G$5:$G$64,MATCH(B243,Batches!$A$5:$A$64,0))),"")))</f>
        <v/>
      </c>
      <c r="U243" s="23"/>
      <c r="V243" s="24"/>
      <c r="W243" s="28" t="str">
        <f aca="false">IF(OR(X243="",X243="Pending"),"",IF(V243&lt;&gt;"",V243,IFERROR(IF(INDEX(Batches!$H$5:$H$64,MATCH(B243,Batches!$A$5:$A$64,0))="","",INDEX(Batches!$H$5:$H$64,MATCH(B243,Batches!$A$5:$A$64,0))),"")))</f>
        <v/>
      </c>
      <c r="X243" s="23"/>
      <c r="Y243" s="23"/>
      <c r="Z243" s="26"/>
      <c r="AA243" s="27" t="str">
        <f aca="false">IF(R243="","",IF(X243="Not accepted",R243,IF(OR(X243="Accepted",X243="Withdrawn by hospital"),IF(X243="Accepted",0,R243),IF(ISNUMBER(Z243),R243-Z243,""))))</f>
        <v/>
      </c>
      <c r="AB243" s="23"/>
      <c r="AC243" s="25"/>
      <c r="AD243" s="23"/>
      <c r="AE243" s="23"/>
      <c r="AF243" s="24"/>
      <c r="AG243" s="23"/>
      <c r="AH243" s="24"/>
      <c r="AI243" s="29" t="str">
        <f aca="false">IF(X243="Not accepted","Maintained",IF(X243="Partially accepted","Partially maintained",IF(X243="Accepted","Reversed",IF(X243="Withdrawn by hospital","Withdrawn by hospital",""))))</f>
        <v/>
      </c>
      <c r="AJ243" s="28" t="str">
        <f aca="false">IF(AI243="","",W243)</f>
        <v/>
      </c>
      <c r="AK243" s="29" t="str">
        <f aca="false">IF(AND(ISNUMBER(T243),ISNUMBER(W243)),W243-T243,"")</f>
        <v/>
      </c>
      <c r="AL243" s="29" t="str">
        <f aca="false">IF(A243="","",SUMIF(Actions!$C$5:$C$1004,A243,Actions!$F$5:$F$1004))</f>
        <v/>
      </c>
      <c r="AM243" s="25"/>
    </row>
    <row r="244" customFormat="false" ht="15" hidden="false" customHeight="false" outlineLevel="0" collapsed="false">
      <c r="A244" s="23"/>
      <c r="B244" s="23"/>
      <c r="C244" s="23"/>
      <c r="D244" s="23"/>
      <c r="E244" s="23"/>
      <c r="F244" s="23"/>
      <c r="G244" s="23"/>
      <c r="H244" s="23"/>
      <c r="I244" s="23"/>
      <c r="J244" s="23"/>
      <c r="K244" s="24"/>
      <c r="L244" s="23"/>
      <c r="M244" s="25"/>
      <c r="N244" s="25"/>
      <c r="O244" s="23"/>
      <c r="P244" s="26"/>
      <c r="Q244" s="26"/>
      <c r="R244" s="27" t="str">
        <f aca="false">IF(AND(ISNUMBER(P244),ISNUMBER(Q244)),P244-Q244,"")</f>
        <v/>
      </c>
      <c r="S244" s="24"/>
      <c r="T244" s="28" t="str">
        <f aca="false">IF(S244&lt;&gt;"",S244,IF(B244="","",IFERROR(IF(INDEX(Batches!$G$5:$G$64,MATCH(B244,Batches!$A$5:$A$64,0))="","",INDEX(Batches!$G$5:$G$64,MATCH(B244,Batches!$A$5:$A$64,0))),"")))</f>
        <v/>
      </c>
      <c r="U244" s="23"/>
      <c r="V244" s="24"/>
      <c r="W244" s="28" t="str">
        <f aca="false">IF(OR(X244="",X244="Pending"),"",IF(V244&lt;&gt;"",V244,IFERROR(IF(INDEX(Batches!$H$5:$H$64,MATCH(B244,Batches!$A$5:$A$64,0))="","",INDEX(Batches!$H$5:$H$64,MATCH(B244,Batches!$A$5:$A$64,0))),"")))</f>
        <v/>
      </c>
      <c r="X244" s="23"/>
      <c r="Y244" s="23"/>
      <c r="Z244" s="26"/>
      <c r="AA244" s="27" t="str">
        <f aca="false">IF(R244="","",IF(X244="Not accepted",R244,IF(OR(X244="Accepted",X244="Withdrawn by hospital"),IF(X244="Accepted",0,R244),IF(ISNUMBER(Z244),R244-Z244,""))))</f>
        <v/>
      </c>
      <c r="AB244" s="23"/>
      <c r="AC244" s="25"/>
      <c r="AD244" s="23"/>
      <c r="AE244" s="23"/>
      <c r="AF244" s="24"/>
      <c r="AG244" s="23"/>
      <c r="AH244" s="24"/>
      <c r="AI244" s="29" t="str">
        <f aca="false">IF(X244="Not accepted","Maintained",IF(X244="Partially accepted","Partially maintained",IF(X244="Accepted","Reversed",IF(X244="Withdrawn by hospital","Withdrawn by hospital",""))))</f>
        <v/>
      </c>
      <c r="AJ244" s="28" t="str">
        <f aca="false">IF(AI244="","",W244)</f>
        <v/>
      </c>
      <c r="AK244" s="29" t="str">
        <f aca="false">IF(AND(ISNUMBER(T244),ISNUMBER(W244)),W244-T244,"")</f>
        <v/>
      </c>
      <c r="AL244" s="29" t="str">
        <f aca="false">IF(A244="","",SUMIF(Actions!$C$5:$C$1004,A244,Actions!$F$5:$F$1004))</f>
        <v/>
      </c>
      <c r="AM244" s="25"/>
    </row>
    <row r="245" customFormat="false" ht="15" hidden="false" customHeight="false" outlineLevel="0" collapsed="false">
      <c r="A245" s="23"/>
      <c r="B245" s="23"/>
      <c r="C245" s="23"/>
      <c r="D245" s="23"/>
      <c r="E245" s="23"/>
      <c r="F245" s="23"/>
      <c r="G245" s="23"/>
      <c r="H245" s="23"/>
      <c r="I245" s="23"/>
      <c r="J245" s="23"/>
      <c r="K245" s="24"/>
      <c r="L245" s="23"/>
      <c r="M245" s="25"/>
      <c r="N245" s="25"/>
      <c r="O245" s="23"/>
      <c r="P245" s="26"/>
      <c r="Q245" s="26"/>
      <c r="R245" s="27" t="str">
        <f aca="false">IF(AND(ISNUMBER(P245),ISNUMBER(Q245)),P245-Q245,"")</f>
        <v/>
      </c>
      <c r="S245" s="24"/>
      <c r="T245" s="28" t="str">
        <f aca="false">IF(S245&lt;&gt;"",S245,IF(B245="","",IFERROR(IF(INDEX(Batches!$G$5:$G$64,MATCH(B245,Batches!$A$5:$A$64,0))="","",INDEX(Batches!$G$5:$G$64,MATCH(B245,Batches!$A$5:$A$64,0))),"")))</f>
        <v/>
      </c>
      <c r="U245" s="23"/>
      <c r="V245" s="24"/>
      <c r="W245" s="28" t="str">
        <f aca="false">IF(OR(X245="",X245="Pending"),"",IF(V245&lt;&gt;"",V245,IFERROR(IF(INDEX(Batches!$H$5:$H$64,MATCH(B245,Batches!$A$5:$A$64,0))="","",INDEX(Batches!$H$5:$H$64,MATCH(B245,Batches!$A$5:$A$64,0))),"")))</f>
        <v/>
      </c>
      <c r="X245" s="23"/>
      <c r="Y245" s="23"/>
      <c r="Z245" s="26"/>
      <c r="AA245" s="27" t="str">
        <f aca="false">IF(R245="","",IF(X245="Not accepted",R245,IF(OR(X245="Accepted",X245="Withdrawn by hospital"),IF(X245="Accepted",0,R245),IF(ISNUMBER(Z245),R245-Z245,""))))</f>
        <v/>
      </c>
      <c r="AB245" s="23"/>
      <c r="AC245" s="25"/>
      <c r="AD245" s="23"/>
      <c r="AE245" s="23"/>
      <c r="AF245" s="24"/>
      <c r="AG245" s="23"/>
      <c r="AH245" s="24"/>
      <c r="AI245" s="29" t="str">
        <f aca="false">IF(X245="Not accepted","Maintained",IF(X245="Partially accepted","Partially maintained",IF(X245="Accepted","Reversed",IF(X245="Withdrawn by hospital","Withdrawn by hospital",""))))</f>
        <v/>
      </c>
      <c r="AJ245" s="28" t="str">
        <f aca="false">IF(AI245="","",W245)</f>
        <v/>
      </c>
      <c r="AK245" s="29" t="str">
        <f aca="false">IF(AND(ISNUMBER(T245),ISNUMBER(W245)),W245-T245,"")</f>
        <v/>
      </c>
      <c r="AL245" s="29" t="str">
        <f aca="false">IF(A245="","",SUMIF(Actions!$C$5:$C$1004,A245,Actions!$F$5:$F$1004))</f>
        <v/>
      </c>
      <c r="AM245" s="25"/>
    </row>
    <row r="246" customFormat="false" ht="15" hidden="false" customHeight="false" outlineLevel="0" collapsed="false">
      <c r="A246" s="23"/>
      <c r="B246" s="23"/>
      <c r="C246" s="23"/>
      <c r="D246" s="23"/>
      <c r="E246" s="23"/>
      <c r="F246" s="23"/>
      <c r="G246" s="23"/>
      <c r="H246" s="23"/>
      <c r="I246" s="23"/>
      <c r="J246" s="23"/>
      <c r="K246" s="24"/>
      <c r="L246" s="23"/>
      <c r="M246" s="25"/>
      <c r="N246" s="25"/>
      <c r="O246" s="23"/>
      <c r="P246" s="26"/>
      <c r="Q246" s="26"/>
      <c r="R246" s="27" t="str">
        <f aca="false">IF(AND(ISNUMBER(P246),ISNUMBER(Q246)),P246-Q246,"")</f>
        <v/>
      </c>
      <c r="S246" s="24"/>
      <c r="T246" s="28" t="str">
        <f aca="false">IF(S246&lt;&gt;"",S246,IF(B246="","",IFERROR(IF(INDEX(Batches!$G$5:$G$64,MATCH(B246,Batches!$A$5:$A$64,0))="","",INDEX(Batches!$G$5:$G$64,MATCH(B246,Batches!$A$5:$A$64,0))),"")))</f>
        <v/>
      </c>
      <c r="U246" s="23"/>
      <c r="V246" s="24"/>
      <c r="W246" s="28" t="str">
        <f aca="false">IF(OR(X246="",X246="Pending"),"",IF(V246&lt;&gt;"",V246,IFERROR(IF(INDEX(Batches!$H$5:$H$64,MATCH(B246,Batches!$A$5:$A$64,0))="","",INDEX(Batches!$H$5:$H$64,MATCH(B246,Batches!$A$5:$A$64,0))),"")))</f>
        <v/>
      </c>
      <c r="X246" s="23"/>
      <c r="Y246" s="23"/>
      <c r="Z246" s="26"/>
      <c r="AA246" s="27" t="str">
        <f aca="false">IF(R246="","",IF(X246="Not accepted",R246,IF(OR(X246="Accepted",X246="Withdrawn by hospital"),IF(X246="Accepted",0,R246),IF(ISNUMBER(Z246),R246-Z246,""))))</f>
        <v/>
      </c>
      <c r="AB246" s="23"/>
      <c r="AC246" s="25"/>
      <c r="AD246" s="23"/>
      <c r="AE246" s="23"/>
      <c r="AF246" s="24"/>
      <c r="AG246" s="23"/>
      <c r="AH246" s="24"/>
      <c r="AI246" s="29" t="str">
        <f aca="false">IF(X246="Not accepted","Maintained",IF(X246="Partially accepted","Partially maintained",IF(X246="Accepted","Reversed",IF(X246="Withdrawn by hospital","Withdrawn by hospital",""))))</f>
        <v/>
      </c>
      <c r="AJ246" s="28" t="str">
        <f aca="false">IF(AI246="","",W246)</f>
        <v/>
      </c>
      <c r="AK246" s="29" t="str">
        <f aca="false">IF(AND(ISNUMBER(T246),ISNUMBER(W246)),W246-T246,"")</f>
        <v/>
      </c>
      <c r="AL246" s="29" t="str">
        <f aca="false">IF(A246="","",SUMIF(Actions!$C$5:$C$1004,A246,Actions!$F$5:$F$1004))</f>
        <v/>
      </c>
      <c r="AM246" s="25"/>
    </row>
    <row r="247" customFormat="false" ht="15" hidden="false" customHeight="false" outlineLevel="0" collapsed="false">
      <c r="A247" s="23"/>
      <c r="B247" s="23"/>
      <c r="C247" s="23"/>
      <c r="D247" s="23"/>
      <c r="E247" s="23"/>
      <c r="F247" s="23"/>
      <c r="G247" s="23"/>
      <c r="H247" s="23"/>
      <c r="I247" s="23"/>
      <c r="J247" s="23"/>
      <c r="K247" s="24"/>
      <c r="L247" s="23"/>
      <c r="M247" s="25"/>
      <c r="N247" s="25"/>
      <c r="O247" s="23"/>
      <c r="P247" s="26"/>
      <c r="Q247" s="26"/>
      <c r="R247" s="27" t="str">
        <f aca="false">IF(AND(ISNUMBER(P247),ISNUMBER(Q247)),P247-Q247,"")</f>
        <v/>
      </c>
      <c r="S247" s="24"/>
      <c r="T247" s="28" t="str">
        <f aca="false">IF(S247&lt;&gt;"",S247,IF(B247="","",IFERROR(IF(INDEX(Batches!$G$5:$G$64,MATCH(B247,Batches!$A$5:$A$64,0))="","",INDEX(Batches!$G$5:$G$64,MATCH(B247,Batches!$A$5:$A$64,0))),"")))</f>
        <v/>
      </c>
      <c r="U247" s="23"/>
      <c r="V247" s="24"/>
      <c r="W247" s="28" t="str">
        <f aca="false">IF(OR(X247="",X247="Pending"),"",IF(V247&lt;&gt;"",V247,IFERROR(IF(INDEX(Batches!$H$5:$H$64,MATCH(B247,Batches!$A$5:$A$64,0))="","",INDEX(Batches!$H$5:$H$64,MATCH(B247,Batches!$A$5:$A$64,0))),"")))</f>
        <v/>
      </c>
      <c r="X247" s="23"/>
      <c r="Y247" s="23"/>
      <c r="Z247" s="26"/>
      <c r="AA247" s="27" t="str">
        <f aca="false">IF(R247="","",IF(X247="Not accepted",R247,IF(OR(X247="Accepted",X247="Withdrawn by hospital"),IF(X247="Accepted",0,R247),IF(ISNUMBER(Z247),R247-Z247,""))))</f>
        <v/>
      </c>
      <c r="AB247" s="23"/>
      <c r="AC247" s="25"/>
      <c r="AD247" s="23"/>
      <c r="AE247" s="23"/>
      <c r="AF247" s="24"/>
      <c r="AG247" s="23"/>
      <c r="AH247" s="24"/>
      <c r="AI247" s="29" t="str">
        <f aca="false">IF(X247="Not accepted","Maintained",IF(X247="Partially accepted","Partially maintained",IF(X247="Accepted","Reversed",IF(X247="Withdrawn by hospital","Withdrawn by hospital",""))))</f>
        <v/>
      </c>
      <c r="AJ247" s="28" t="str">
        <f aca="false">IF(AI247="","",W247)</f>
        <v/>
      </c>
      <c r="AK247" s="29" t="str">
        <f aca="false">IF(AND(ISNUMBER(T247),ISNUMBER(W247)),W247-T247,"")</f>
        <v/>
      </c>
      <c r="AL247" s="29" t="str">
        <f aca="false">IF(A247="","",SUMIF(Actions!$C$5:$C$1004,A247,Actions!$F$5:$F$1004))</f>
        <v/>
      </c>
      <c r="AM247" s="25"/>
    </row>
    <row r="248" customFormat="false" ht="15" hidden="false" customHeight="false" outlineLevel="0" collapsed="false">
      <c r="A248" s="23"/>
      <c r="B248" s="23"/>
      <c r="C248" s="23"/>
      <c r="D248" s="23"/>
      <c r="E248" s="23"/>
      <c r="F248" s="23"/>
      <c r="G248" s="23"/>
      <c r="H248" s="23"/>
      <c r="I248" s="23"/>
      <c r="J248" s="23"/>
      <c r="K248" s="24"/>
      <c r="L248" s="23"/>
      <c r="M248" s="25"/>
      <c r="N248" s="25"/>
      <c r="O248" s="23"/>
      <c r="P248" s="26"/>
      <c r="Q248" s="26"/>
      <c r="R248" s="27" t="str">
        <f aca="false">IF(AND(ISNUMBER(P248),ISNUMBER(Q248)),P248-Q248,"")</f>
        <v/>
      </c>
      <c r="S248" s="24"/>
      <c r="T248" s="28" t="str">
        <f aca="false">IF(S248&lt;&gt;"",S248,IF(B248="","",IFERROR(IF(INDEX(Batches!$G$5:$G$64,MATCH(B248,Batches!$A$5:$A$64,0))="","",INDEX(Batches!$G$5:$G$64,MATCH(B248,Batches!$A$5:$A$64,0))),"")))</f>
        <v/>
      </c>
      <c r="U248" s="23"/>
      <c r="V248" s="24"/>
      <c r="W248" s="28" t="str">
        <f aca="false">IF(OR(X248="",X248="Pending"),"",IF(V248&lt;&gt;"",V248,IFERROR(IF(INDEX(Batches!$H$5:$H$64,MATCH(B248,Batches!$A$5:$A$64,0))="","",INDEX(Batches!$H$5:$H$64,MATCH(B248,Batches!$A$5:$A$64,0))),"")))</f>
        <v/>
      </c>
      <c r="X248" s="23"/>
      <c r="Y248" s="23"/>
      <c r="Z248" s="26"/>
      <c r="AA248" s="27" t="str">
        <f aca="false">IF(R248="","",IF(X248="Not accepted",R248,IF(OR(X248="Accepted",X248="Withdrawn by hospital"),IF(X248="Accepted",0,R248),IF(ISNUMBER(Z248),R248-Z248,""))))</f>
        <v/>
      </c>
      <c r="AB248" s="23"/>
      <c r="AC248" s="25"/>
      <c r="AD248" s="23"/>
      <c r="AE248" s="23"/>
      <c r="AF248" s="24"/>
      <c r="AG248" s="23"/>
      <c r="AH248" s="24"/>
      <c r="AI248" s="29" t="str">
        <f aca="false">IF(X248="Not accepted","Maintained",IF(X248="Partially accepted","Partially maintained",IF(X248="Accepted","Reversed",IF(X248="Withdrawn by hospital","Withdrawn by hospital",""))))</f>
        <v/>
      </c>
      <c r="AJ248" s="28" t="str">
        <f aca="false">IF(AI248="","",W248)</f>
        <v/>
      </c>
      <c r="AK248" s="29" t="str">
        <f aca="false">IF(AND(ISNUMBER(T248),ISNUMBER(W248)),W248-T248,"")</f>
        <v/>
      </c>
      <c r="AL248" s="29" t="str">
        <f aca="false">IF(A248="","",SUMIF(Actions!$C$5:$C$1004,A248,Actions!$F$5:$F$1004))</f>
        <v/>
      </c>
      <c r="AM248" s="25"/>
    </row>
    <row r="249" customFormat="false" ht="15" hidden="false" customHeight="false" outlineLevel="0" collapsed="false">
      <c r="A249" s="23"/>
      <c r="B249" s="23"/>
      <c r="C249" s="23"/>
      <c r="D249" s="23"/>
      <c r="E249" s="23"/>
      <c r="F249" s="23"/>
      <c r="G249" s="23"/>
      <c r="H249" s="23"/>
      <c r="I249" s="23"/>
      <c r="J249" s="23"/>
      <c r="K249" s="24"/>
      <c r="L249" s="23"/>
      <c r="M249" s="25"/>
      <c r="N249" s="25"/>
      <c r="O249" s="23"/>
      <c r="P249" s="26"/>
      <c r="Q249" s="26"/>
      <c r="R249" s="27" t="str">
        <f aca="false">IF(AND(ISNUMBER(P249),ISNUMBER(Q249)),P249-Q249,"")</f>
        <v/>
      </c>
      <c r="S249" s="24"/>
      <c r="T249" s="28" t="str">
        <f aca="false">IF(S249&lt;&gt;"",S249,IF(B249="","",IFERROR(IF(INDEX(Batches!$G$5:$G$64,MATCH(B249,Batches!$A$5:$A$64,0))="","",INDEX(Batches!$G$5:$G$64,MATCH(B249,Batches!$A$5:$A$64,0))),"")))</f>
        <v/>
      </c>
      <c r="U249" s="23"/>
      <c r="V249" s="24"/>
      <c r="W249" s="28" t="str">
        <f aca="false">IF(OR(X249="",X249="Pending"),"",IF(V249&lt;&gt;"",V249,IFERROR(IF(INDEX(Batches!$H$5:$H$64,MATCH(B249,Batches!$A$5:$A$64,0))="","",INDEX(Batches!$H$5:$H$64,MATCH(B249,Batches!$A$5:$A$64,0))),"")))</f>
        <v/>
      </c>
      <c r="X249" s="23"/>
      <c r="Y249" s="23"/>
      <c r="Z249" s="26"/>
      <c r="AA249" s="27" t="str">
        <f aca="false">IF(R249="","",IF(X249="Not accepted",R249,IF(OR(X249="Accepted",X249="Withdrawn by hospital"),IF(X249="Accepted",0,R249),IF(ISNUMBER(Z249),R249-Z249,""))))</f>
        <v/>
      </c>
      <c r="AB249" s="23"/>
      <c r="AC249" s="25"/>
      <c r="AD249" s="23"/>
      <c r="AE249" s="23"/>
      <c r="AF249" s="24"/>
      <c r="AG249" s="23"/>
      <c r="AH249" s="24"/>
      <c r="AI249" s="29" t="str">
        <f aca="false">IF(X249="Not accepted","Maintained",IF(X249="Partially accepted","Partially maintained",IF(X249="Accepted","Reversed",IF(X249="Withdrawn by hospital","Withdrawn by hospital",""))))</f>
        <v/>
      </c>
      <c r="AJ249" s="28" t="str">
        <f aca="false">IF(AI249="","",W249)</f>
        <v/>
      </c>
      <c r="AK249" s="29" t="str">
        <f aca="false">IF(AND(ISNUMBER(T249),ISNUMBER(W249)),W249-T249,"")</f>
        <v/>
      </c>
      <c r="AL249" s="29" t="str">
        <f aca="false">IF(A249="","",SUMIF(Actions!$C$5:$C$1004,A249,Actions!$F$5:$F$1004))</f>
        <v/>
      </c>
      <c r="AM249" s="25"/>
    </row>
    <row r="250" customFormat="false" ht="15" hidden="false" customHeight="false" outlineLevel="0" collapsed="false">
      <c r="A250" s="23"/>
      <c r="B250" s="23"/>
      <c r="C250" s="23"/>
      <c r="D250" s="23"/>
      <c r="E250" s="23"/>
      <c r="F250" s="23"/>
      <c r="G250" s="23"/>
      <c r="H250" s="23"/>
      <c r="I250" s="23"/>
      <c r="J250" s="23"/>
      <c r="K250" s="24"/>
      <c r="L250" s="23"/>
      <c r="M250" s="25"/>
      <c r="N250" s="25"/>
      <c r="O250" s="23"/>
      <c r="P250" s="26"/>
      <c r="Q250" s="26"/>
      <c r="R250" s="27" t="str">
        <f aca="false">IF(AND(ISNUMBER(P250),ISNUMBER(Q250)),P250-Q250,"")</f>
        <v/>
      </c>
      <c r="S250" s="24"/>
      <c r="T250" s="28" t="str">
        <f aca="false">IF(S250&lt;&gt;"",S250,IF(B250="","",IFERROR(IF(INDEX(Batches!$G$5:$G$64,MATCH(B250,Batches!$A$5:$A$64,0))="","",INDEX(Batches!$G$5:$G$64,MATCH(B250,Batches!$A$5:$A$64,0))),"")))</f>
        <v/>
      </c>
      <c r="U250" s="23"/>
      <c r="V250" s="24"/>
      <c r="W250" s="28" t="str">
        <f aca="false">IF(OR(X250="",X250="Pending"),"",IF(V250&lt;&gt;"",V250,IFERROR(IF(INDEX(Batches!$H$5:$H$64,MATCH(B250,Batches!$A$5:$A$64,0))="","",INDEX(Batches!$H$5:$H$64,MATCH(B250,Batches!$A$5:$A$64,0))),"")))</f>
        <v/>
      </c>
      <c r="X250" s="23"/>
      <c r="Y250" s="23"/>
      <c r="Z250" s="26"/>
      <c r="AA250" s="27" t="str">
        <f aca="false">IF(R250="","",IF(X250="Not accepted",R250,IF(OR(X250="Accepted",X250="Withdrawn by hospital"),IF(X250="Accepted",0,R250),IF(ISNUMBER(Z250),R250-Z250,""))))</f>
        <v/>
      </c>
      <c r="AB250" s="23"/>
      <c r="AC250" s="25"/>
      <c r="AD250" s="23"/>
      <c r="AE250" s="23"/>
      <c r="AF250" s="24"/>
      <c r="AG250" s="23"/>
      <c r="AH250" s="24"/>
      <c r="AI250" s="29" t="str">
        <f aca="false">IF(X250="Not accepted","Maintained",IF(X250="Partially accepted","Partially maintained",IF(X250="Accepted","Reversed",IF(X250="Withdrawn by hospital","Withdrawn by hospital",""))))</f>
        <v/>
      </c>
      <c r="AJ250" s="28" t="str">
        <f aca="false">IF(AI250="","",W250)</f>
        <v/>
      </c>
      <c r="AK250" s="29" t="str">
        <f aca="false">IF(AND(ISNUMBER(T250),ISNUMBER(W250)),W250-T250,"")</f>
        <v/>
      </c>
      <c r="AL250" s="29" t="str">
        <f aca="false">IF(A250="","",SUMIF(Actions!$C$5:$C$1004,A250,Actions!$F$5:$F$1004))</f>
        <v/>
      </c>
      <c r="AM250" s="25"/>
    </row>
    <row r="251" customFormat="false" ht="15" hidden="false" customHeight="false" outlineLevel="0" collapsed="false">
      <c r="A251" s="23"/>
      <c r="B251" s="23"/>
      <c r="C251" s="23"/>
      <c r="D251" s="23"/>
      <c r="E251" s="23"/>
      <c r="F251" s="23"/>
      <c r="G251" s="23"/>
      <c r="H251" s="23"/>
      <c r="I251" s="23"/>
      <c r="J251" s="23"/>
      <c r="K251" s="24"/>
      <c r="L251" s="23"/>
      <c r="M251" s="25"/>
      <c r="N251" s="25"/>
      <c r="O251" s="23"/>
      <c r="P251" s="26"/>
      <c r="Q251" s="26"/>
      <c r="R251" s="27" t="str">
        <f aca="false">IF(AND(ISNUMBER(P251),ISNUMBER(Q251)),P251-Q251,"")</f>
        <v/>
      </c>
      <c r="S251" s="24"/>
      <c r="T251" s="28" t="str">
        <f aca="false">IF(S251&lt;&gt;"",S251,IF(B251="","",IFERROR(IF(INDEX(Batches!$G$5:$G$64,MATCH(B251,Batches!$A$5:$A$64,0))="","",INDEX(Batches!$G$5:$G$64,MATCH(B251,Batches!$A$5:$A$64,0))),"")))</f>
        <v/>
      </c>
      <c r="U251" s="23"/>
      <c r="V251" s="24"/>
      <c r="W251" s="28" t="str">
        <f aca="false">IF(OR(X251="",X251="Pending"),"",IF(V251&lt;&gt;"",V251,IFERROR(IF(INDEX(Batches!$H$5:$H$64,MATCH(B251,Batches!$A$5:$A$64,0))="","",INDEX(Batches!$H$5:$H$64,MATCH(B251,Batches!$A$5:$A$64,0))),"")))</f>
        <v/>
      </c>
      <c r="X251" s="23"/>
      <c r="Y251" s="23"/>
      <c r="Z251" s="26"/>
      <c r="AA251" s="27" t="str">
        <f aca="false">IF(R251="","",IF(X251="Not accepted",R251,IF(OR(X251="Accepted",X251="Withdrawn by hospital"),IF(X251="Accepted",0,R251),IF(ISNUMBER(Z251),R251-Z251,""))))</f>
        <v/>
      </c>
      <c r="AB251" s="23"/>
      <c r="AC251" s="25"/>
      <c r="AD251" s="23"/>
      <c r="AE251" s="23"/>
      <c r="AF251" s="24"/>
      <c r="AG251" s="23"/>
      <c r="AH251" s="24"/>
      <c r="AI251" s="29" t="str">
        <f aca="false">IF(X251="Not accepted","Maintained",IF(X251="Partially accepted","Partially maintained",IF(X251="Accepted","Reversed",IF(X251="Withdrawn by hospital","Withdrawn by hospital",""))))</f>
        <v/>
      </c>
      <c r="AJ251" s="28" t="str">
        <f aca="false">IF(AI251="","",W251)</f>
        <v/>
      </c>
      <c r="AK251" s="29" t="str">
        <f aca="false">IF(AND(ISNUMBER(T251),ISNUMBER(W251)),W251-T251,"")</f>
        <v/>
      </c>
      <c r="AL251" s="29" t="str">
        <f aca="false">IF(A251="","",SUMIF(Actions!$C$5:$C$1004,A251,Actions!$F$5:$F$1004))</f>
        <v/>
      </c>
      <c r="AM251" s="25"/>
    </row>
    <row r="252" customFormat="false" ht="15" hidden="false" customHeight="false" outlineLevel="0" collapsed="false">
      <c r="A252" s="23"/>
      <c r="B252" s="23"/>
      <c r="C252" s="23"/>
      <c r="D252" s="23"/>
      <c r="E252" s="23"/>
      <c r="F252" s="23"/>
      <c r="G252" s="23"/>
      <c r="H252" s="23"/>
      <c r="I252" s="23"/>
      <c r="J252" s="23"/>
      <c r="K252" s="24"/>
      <c r="L252" s="23"/>
      <c r="M252" s="25"/>
      <c r="N252" s="25"/>
      <c r="O252" s="23"/>
      <c r="P252" s="26"/>
      <c r="Q252" s="26"/>
      <c r="R252" s="27" t="str">
        <f aca="false">IF(AND(ISNUMBER(P252),ISNUMBER(Q252)),P252-Q252,"")</f>
        <v/>
      </c>
      <c r="S252" s="24"/>
      <c r="T252" s="28" t="str">
        <f aca="false">IF(S252&lt;&gt;"",S252,IF(B252="","",IFERROR(IF(INDEX(Batches!$G$5:$G$64,MATCH(B252,Batches!$A$5:$A$64,0))="","",INDEX(Batches!$G$5:$G$64,MATCH(B252,Batches!$A$5:$A$64,0))),"")))</f>
        <v/>
      </c>
      <c r="U252" s="23"/>
      <c r="V252" s="24"/>
      <c r="W252" s="28" t="str">
        <f aca="false">IF(OR(X252="",X252="Pending"),"",IF(V252&lt;&gt;"",V252,IFERROR(IF(INDEX(Batches!$H$5:$H$64,MATCH(B252,Batches!$A$5:$A$64,0))="","",INDEX(Batches!$H$5:$H$64,MATCH(B252,Batches!$A$5:$A$64,0))),"")))</f>
        <v/>
      </c>
      <c r="X252" s="23"/>
      <c r="Y252" s="23"/>
      <c r="Z252" s="26"/>
      <c r="AA252" s="27" t="str">
        <f aca="false">IF(R252="","",IF(X252="Not accepted",R252,IF(OR(X252="Accepted",X252="Withdrawn by hospital"),IF(X252="Accepted",0,R252),IF(ISNUMBER(Z252),R252-Z252,""))))</f>
        <v/>
      </c>
      <c r="AB252" s="23"/>
      <c r="AC252" s="25"/>
      <c r="AD252" s="23"/>
      <c r="AE252" s="23"/>
      <c r="AF252" s="24"/>
      <c r="AG252" s="23"/>
      <c r="AH252" s="24"/>
      <c r="AI252" s="29" t="str">
        <f aca="false">IF(X252="Not accepted","Maintained",IF(X252="Partially accepted","Partially maintained",IF(X252="Accepted","Reversed",IF(X252="Withdrawn by hospital","Withdrawn by hospital",""))))</f>
        <v/>
      </c>
      <c r="AJ252" s="28" t="str">
        <f aca="false">IF(AI252="","",W252)</f>
        <v/>
      </c>
      <c r="AK252" s="29" t="str">
        <f aca="false">IF(AND(ISNUMBER(T252),ISNUMBER(W252)),W252-T252,"")</f>
        <v/>
      </c>
      <c r="AL252" s="29" t="str">
        <f aca="false">IF(A252="","",SUMIF(Actions!$C$5:$C$1004,A252,Actions!$F$5:$F$1004))</f>
        <v/>
      </c>
      <c r="AM252" s="25"/>
    </row>
    <row r="253" customFormat="false" ht="15" hidden="false" customHeight="false" outlineLevel="0" collapsed="false">
      <c r="A253" s="23"/>
      <c r="B253" s="23"/>
      <c r="C253" s="23"/>
      <c r="D253" s="23"/>
      <c r="E253" s="23"/>
      <c r="F253" s="23"/>
      <c r="G253" s="23"/>
      <c r="H253" s="23"/>
      <c r="I253" s="23"/>
      <c r="J253" s="23"/>
      <c r="K253" s="24"/>
      <c r="L253" s="23"/>
      <c r="M253" s="25"/>
      <c r="N253" s="25"/>
      <c r="O253" s="23"/>
      <c r="P253" s="26"/>
      <c r="Q253" s="26"/>
      <c r="R253" s="27" t="str">
        <f aca="false">IF(AND(ISNUMBER(P253),ISNUMBER(Q253)),P253-Q253,"")</f>
        <v/>
      </c>
      <c r="S253" s="24"/>
      <c r="T253" s="28" t="str">
        <f aca="false">IF(S253&lt;&gt;"",S253,IF(B253="","",IFERROR(IF(INDEX(Batches!$G$5:$G$64,MATCH(B253,Batches!$A$5:$A$64,0))="","",INDEX(Batches!$G$5:$G$64,MATCH(B253,Batches!$A$5:$A$64,0))),"")))</f>
        <v/>
      </c>
      <c r="U253" s="23"/>
      <c r="V253" s="24"/>
      <c r="W253" s="28" t="str">
        <f aca="false">IF(OR(X253="",X253="Pending"),"",IF(V253&lt;&gt;"",V253,IFERROR(IF(INDEX(Batches!$H$5:$H$64,MATCH(B253,Batches!$A$5:$A$64,0))="","",INDEX(Batches!$H$5:$H$64,MATCH(B253,Batches!$A$5:$A$64,0))),"")))</f>
        <v/>
      </c>
      <c r="X253" s="23"/>
      <c r="Y253" s="23"/>
      <c r="Z253" s="26"/>
      <c r="AA253" s="27" t="str">
        <f aca="false">IF(R253="","",IF(X253="Not accepted",R253,IF(OR(X253="Accepted",X253="Withdrawn by hospital"),IF(X253="Accepted",0,R253),IF(ISNUMBER(Z253),R253-Z253,""))))</f>
        <v/>
      </c>
      <c r="AB253" s="23"/>
      <c r="AC253" s="25"/>
      <c r="AD253" s="23"/>
      <c r="AE253" s="23"/>
      <c r="AF253" s="24"/>
      <c r="AG253" s="23"/>
      <c r="AH253" s="24"/>
      <c r="AI253" s="29" t="str">
        <f aca="false">IF(X253="Not accepted","Maintained",IF(X253="Partially accepted","Partially maintained",IF(X253="Accepted","Reversed",IF(X253="Withdrawn by hospital","Withdrawn by hospital",""))))</f>
        <v/>
      </c>
      <c r="AJ253" s="28" t="str">
        <f aca="false">IF(AI253="","",W253)</f>
        <v/>
      </c>
      <c r="AK253" s="29" t="str">
        <f aca="false">IF(AND(ISNUMBER(T253),ISNUMBER(W253)),W253-T253,"")</f>
        <v/>
      </c>
      <c r="AL253" s="29" t="str">
        <f aca="false">IF(A253="","",SUMIF(Actions!$C$5:$C$1004,A253,Actions!$F$5:$F$1004))</f>
        <v/>
      </c>
      <c r="AM253" s="25"/>
    </row>
    <row r="254" customFormat="false" ht="15" hidden="false" customHeight="false" outlineLevel="0" collapsed="false">
      <c r="A254" s="23"/>
      <c r="B254" s="23"/>
      <c r="C254" s="23"/>
      <c r="D254" s="23"/>
      <c r="E254" s="23"/>
      <c r="F254" s="23"/>
      <c r="G254" s="23"/>
      <c r="H254" s="23"/>
      <c r="I254" s="23"/>
      <c r="J254" s="23"/>
      <c r="K254" s="24"/>
      <c r="L254" s="23"/>
      <c r="M254" s="25"/>
      <c r="N254" s="25"/>
      <c r="O254" s="23"/>
      <c r="P254" s="26"/>
      <c r="Q254" s="26"/>
      <c r="R254" s="27" t="str">
        <f aca="false">IF(AND(ISNUMBER(P254),ISNUMBER(Q254)),P254-Q254,"")</f>
        <v/>
      </c>
      <c r="S254" s="24"/>
      <c r="T254" s="28" t="str">
        <f aca="false">IF(S254&lt;&gt;"",S254,IF(B254="","",IFERROR(IF(INDEX(Batches!$G$5:$G$64,MATCH(B254,Batches!$A$5:$A$64,0))="","",INDEX(Batches!$G$5:$G$64,MATCH(B254,Batches!$A$5:$A$64,0))),"")))</f>
        <v/>
      </c>
      <c r="U254" s="23"/>
      <c r="V254" s="24"/>
      <c r="W254" s="28" t="str">
        <f aca="false">IF(OR(X254="",X254="Pending"),"",IF(V254&lt;&gt;"",V254,IFERROR(IF(INDEX(Batches!$H$5:$H$64,MATCH(B254,Batches!$A$5:$A$64,0))="","",INDEX(Batches!$H$5:$H$64,MATCH(B254,Batches!$A$5:$A$64,0))),"")))</f>
        <v/>
      </c>
      <c r="X254" s="23"/>
      <c r="Y254" s="23"/>
      <c r="Z254" s="26"/>
      <c r="AA254" s="27" t="str">
        <f aca="false">IF(R254="","",IF(X254="Not accepted",R254,IF(OR(X254="Accepted",X254="Withdrawn by hospital"),IF(X254="Accepted",0,R254),IF(ISNUMBER(Z254),R254-Z254,""))))</f>
        <v/>
      </c>
      <c r="AB254" s="23"/>
      <c r="AC254" s="25"/>
      <c r="AD254" s="23"/>
      <c r="AE254" s="23"/>
      <c r="AF254" s="24"/>
      <c r="AG254" s="23"/>
      <c r="AH254" s="24"/>
      <c r="AI254" s="29" t="str">
        <f aca="false">IF(X254="Not accepted","Maintained",IF(X254="Partially accepted","Partially maintained",IF(X254="Accepted","Reversed",IF(X254="Withdrawn by hospital","Withdrawn by hospital",""))))</f>
        <v/>
      </c>
      <c r="AJ254" s="28" t="str">
        <f aca="false">IF(AI254="","",W254)</f>
        <v/>
      </c>
      <c r="AK254" s="29" t="str">
        <f aca="false">IF(AND(ISNUMBER(T254),ISNUMBER(W254)),W254-T254,"")</f>
        <v/>
      </c>
      <c r="AL254" s="29" t="str">
        <f aca="false">IF(A254="","",SUMIF(Actions!$C$5:$C$1004,A254,Actions!$F$5:$F$1004))</f>
        <v/>
      </c>
      <c r="AM254" s="25"/>
    </row>
    <row r="255" customFormat="false" ht="15" hidden="false" customHeight="false" outlineLevel="0" collapsed="false">
      <c r="A255" s="23"/>
      <c r="B255" s="23"/>
      <c r="C255" s="23"/>
      <c r="D255" s="23"/>
      <c r="E255" s="23"/>
      <c r="F255" s="23"/>
      <c r="G255" s="23"/>
      <c r="H255" s="23"/>
      <c r="I255" s="23"/>
      <c r="J255" s="23"/>
      <c r="K255" s="24"/>
      <c r="L255" s="23"/>
      <c r="M255" s="25"/>
      <c r="N255" s="25"/>
      <c r="O255" s="23"/>
      <c r="P255" s="26"/>
      <c r="Q255" s="26"/>
      <c r="R255" s="27" t="str">
        <f aca="false">IF(AND(ISNUMBER(P255),ISNUMBER(Q255)),P255-Q255,"")</f>
        <v/>
      </c>
      <c r="S255" s="24"/>
      <c r="T255" s="28" t="str">
        <f aca="false">IF(S255&lt;&gt;"",S255,IF(B255="","",IFERROR(IF(INDEX(Batches!$G$5:$G$64,MATCH(B255,Batches!$A$5:$A$64,0))="","",INDEX(Batches!$G$5:$G$64,MATCH(B255,Batches!$A$5:$A$64,0))),"")))</f>
        <v/>
      </c>
      <c r="U255" s="23"/>
      <c r="V255" s="24"/>
      <c r="W255" s="28" t="str">
        <f aca="false">IF(OR(X255="",X255="Pending"),"",IF(V255&lt;&gt;"",V255,IFERROR(IF(INDEX(Batches!$H$5:$H$64,MATCH(B255,Batches!$A$5:$A$64,0))="","",INDEX(Batches!$H$5:$H$64,MATCH(B255,Batches!$A$5:$A$64,0))),"")))</f>
        <v/>
      </c>
      <c r="X255" s="23"/>
      <c r="Y255" s="23"/>
      <c r="Z255" s="26"/>
      <c r="AA255" s="27" t="str">
        <f aca="false">IF(R255="","",IF(X255="Not accepted",R255,IF(OR(X255="Accepted",X255="Withdrawn by hospital"),IF(X255="Accepted",0,R255),IF(ISNUMBER(Z255),R255-Z255,""))))</f>
        <v/>
      </c>
      <c r="AB255" s="23"/>
      <c r="AC255" s="25"/>
      <c r="AD255" s="23"/>
      <c r="AE255" s="23"/>
      <c r="AF255" s="24"/>
      <c r="AG255" s="23"/>
      <c r="AH255" s="24"/>
      <c r="AI255" s="29" t="str">
        <f aca="false">IF(X255="Not accepted","Maintained",IF(X255="Partially accepted","Partially maintained",IF(X255="Accepted","Reversed",IF(X255="Withdrawn by hospital","Withdrawn by hospital",""))))</f>
        <v/>
      </c>
      <c r="AJ255" s="28" t="str">
        <f aca="false">IF(AI255="","",W255)</f>
        <v/>
      </c>
      <c r="AK255" s="29" t="str">
        <f aca="false">IF(AND(ISNUMBER(T255),ISNUMBER(W255)),W255-T255,"")</f>
        <v/>
      </c>
      <c r="AL255" s="29" t="str">
        <f aca="false">IF(A255="","",SUMIF(Actions!$C$5:$C$1004,A255,Actions!$F$5:$F$1004))</f>
        <v/>
      </c>
      <c r="AM255" s="25"/>
    </row>
    <row r="256" customFormat="false" ht="15" hidden="false" customHeight="false" outlineLevel="0" collapsed="false">
      <c r="A256" s="23"/>
      <c r="B256" s="23"/>
      <c r="C256" s="23"/>
      <c r="D256" s="23"/>
      <c r="E256" s="23"/>
      <c r="F256" s="23"/>
      <c r="G256" s="23"/>
      <c r="H256" s="23"/>
      <c r="I256" s="23"/>
      <c r="J256" s="23"/>
      <c r="K256" s="24"/>
      <c r="L256" s="23"/>
      <c r="M256" s="25"/>
      <c r="N256" s="25"/>
      <c r="O256" s="23"/>
      <c r="P256" s="26"/>
      <c r="Q256" s="26"/>
      <c r="R256" s="27" t="str">
        <f aca="false">IF(AND(ISNUMBER(P256),ISNUMBER(Q256)),P256-Q256,"")</f>
        <v/>
      </c>
      <c r="S256" s="24"/>
      <c r="T256" s="28" t="str">
        <f aca="false">IF(S256&lt;&gt;"",S256,IF(B256="","",IFERROR(IF(INDEX(Batches!$G$5:$G$64,MATCH(B256,Batches!$A$5:$A$64,0))="","",INDEX(Batches!$G$5:$G$64,MATCH(B256,Batches!$A$5:$A$64,0))),"")))</f>
        <v/>
      </c>
      <c r="U256" s="23"/>
      <c r="V256" s="24"/>
      <c r="W256" s="28" t="str">
        <f aca="false">IF(OR(X256="",X256="Pending"),"",IF(V256&lt;&gt;"",V256,IFERROR(IF(INDEX(Batches!$H$5:$H$64,MATCH(B256,Batches!$A$5:$A$64,0))="","",INDEX(Batches!$H$5:$H$64,MATCH(B256,Batches!$A$5:$A$64,0))),"")))</f>
        <v/>
      </c>
      <c r="X256" s="23"/>
      <c r="Y256" s="23"/>
      <c r="Z256" s="26"/>
      <c r="AA256" s="27" t="str">
        <f aca="false">IF(R256="","",IF(X256="Not accepted",R256,IF(OR(X256="Accepted",X256="Withdrawn by hospital"),IF(X256="Accepted",0,R256),IF(ISNUMBER(Z256),R256-Z256,""))))</f>
        <v/>
      </c>
      <c r="AB256" s="23"/>
      <c r="AC256" s="25"/>
      <c r="AD256" s="23"/>
      <c r="AE256" s="23"/>
      <c r="AF256" s="24"/>
      <c r="AG256" s="23"/>
      <c r="AH256" s="24"/>
      <c r="AI256" s="29" t="str">
        <f aca="false">IF(X256="Not accepted","Maintained",IF(X256="Partially accepted","Partially maintained",IF(X256="Accepted","Reversed",IF(X256="Withdrawn by hospital","Withdrawn by hospital",""))))</f>
        <v/>
      </c>
      <c r="AJ256" s="28" t="str">
        <f aca="false">IF(AI256="","",W256)</f>
        <v/>
      </c>
      <c r="AK256" s="29" t="str">
        <f aca="false">IF(AND(ISNUMBER(T256),ISNUMBER(W256)),W256-T256,"")</f>
        <v/>
      </c>
      <c r="AL256" s="29" t="str">
        <f aca="false">IF(A256="","",SUMIF(Actions!$C$5:$C$1004,A256,Actions!$F$5:$F$1004))</f>
        <v/>
      </c>
      <c r="AM256" s="25"/>
    </row>
    <row r="257" customFormat="false" ht="15" hidden="false" customHeight="false" outlineLevel="0" collapsed="false">
      <c r="A257" s="23"/>
      <c r="B257" s="23"/>
      <c r="C257" s="23"/>
      <c r="D257" s="23"/>
      <c r="E257" s="23"/>
      <c r="F257" s="23"/>
      <c r="G257" s="23"/>
      <c r="H257" s="23"/>
      <c r="I257" s="23"/>
      <c r="J257" s="23"/>
      <c r="K257" s="24"/>
      <c r="L257" s="23"/>
      <c r="M257" s="25"/>
      <c r="N257" s="25"/>
      <c r="O257" s="23"/>
      <c r="P257" s="26"/>
      <c r="Q257" s="26"/>
      <c r="R257" s="27" t="str">
        <f aca="false">IF(AND(ISNUMBER(P257),ISNUMBER(Q257)),P257-Q257,"")</f>
        <v/>
      </c>
      <c r="S257" s="24"/>
      <c r="T257" s="28" t="str">
        <f aca="false">IF(S257&lt;&gt;"",S257,IF(B257="","",IFERROR(IF(INDEX(Batches!$G$5:$G$64,MATCH(B257,Batches!$A$5:$A$64,0))="","",INDEX(Batches!$G$5:$G$64,MATCH(B257,Batches!$A$5:$A$64,0))),"")))</f>
        <v/>
      </c>
      <c r="U257" s="23"/>
      <c r="V257" s="24"/>
      <c r="W257" s="28" t="str">
        <f aca="false">IF(OR(X257="",X257="Pending"),"",IF(V257&lt;&gt;"",V257,IFERROR(IF(INDEX(Batches!$H$5:$H$64,MATCH(B257,Batches!$A$5:$A$64,0))="","",INDEX(Batches!$H$5:$H$64,MATCH(B257,Batches!$A$5:$A$64,0))),"")))</f>
        <v/>
      </c>
      <c r="X257" s="23"/>
      <c r="Y257" s="23"/>
      <c r="Z257" s="26"/>
      <c r="AA257" s="27" t="str">
        <f aca="false">IF(R257="","",IF(X257="Not accepted",R257,IF(OR(X257="Accepted",X257="Withdrawn by hospital"),IF(X257="Accepted",0,R257),IF(ISNUMBER(Z257),R257-Z257,""))))</f>
        <v/>
      </c>
      <c r="AB257" s="23"/>
      <c r="AC257" s="25"/>
      <c r="AD257" s="23"/>
      <c r="AE257" s="23"/>
      <c r="AF257" s="24"/>
      <c r="AG257" s="23"/>
      <c r="AH257" s="24"/>
      <c r="AI257" s="29" t="str">
        <f aca="false">IF(X257="Not accepted","Maintained",IF(X257="Partially accepted","Partially maintained",IF(X257="Accepted","Reversed",IF(X257="Withdrawn by hospital","Withdrawn by hospital",""))))</f>
        <v/>
      </c>
      <c r="AJ257" s="28" t="str">
        <f aca="false">IF(AI257="","",W257)</f>
        <v/>
      </c>
      <c r="AK257" s="29" t="str">
        <f aca="false">IF(AND(ISNUMBER(T257),ISNUMBER(W257)),W257-T257,"")</f>
        <v/>
      </c>
      <c r="AL257" s="29" t="str">
        <f aca="false">IF(A257="","",SUMIF(Actions!$C$5:$C$1004,A257,Actions!$F$5:$F$1004))</f>
        <v/>
      </c>
      <c r="AM257" s="25"/>
    </row>
    <row r="258" customFormat="false" ht="15" hidden="false" customHeight="false" outlineLevel="0" collapsed="false">
      <c r="A258" s="23"/>
      <c r="B258" s="23"/>
      <c r="C258" s="23"/>
      <c r="D258" s="23"/>
      <c r="E258" s="23"/>
      <c r="F258" s="23"/>
      <c r="G258" s="23"/>
      <c r="H258" s="23"/>
      <c r="I258" s="23"/>
      <c r="J258" s="23"/>
      <c r="K258" s="24"/>
      <c r="L258" s="23"/>
      <c r="M258" s="25"/>
      <c r="N258" s="25"/>
      <c r="O258" s="23"/>
      <c r="P258" s="26"/>
      <c r="Q258" s="26"/>
      <c r="R258" s="27" t="str">
        <f aca="false">IF(AND(ISNUMBER(P258),ISNUMBER(Q258)),P258-Q258,"")</f>
        <v/>
      </c>
      <c r="S258" s="24"/>
      <c r="T258" s="28" t="str">
        <f aca="false">IF(S258&lt;&gt;"",S258,IF(B258="","",IFERROR(IF(INDEX(Batches!$G$5:$G$64,MATCH(B258,Batches!$A$5:$A$64,0))="","",INDEX(Batches!$G$5:$G$64,MATCH(B258,Batches!$A$5:$A$64,0))),"")))</f>
        <v/>
      </c>
      <c r="U258" s="23"/>
      <c r="V258" s="24"/>
      <c r="W258" s="28" t="str">
        <f aca="false">IF(OR(X258="",X258="Pending"),"",IF(V258&lt;&gt;"",V258,IFERROR(IF(INDEX(Batches!$H$5:$H$64,MATCH(B258,Batches!$A$5:$A$64,0))="","",INDEX(Batches!$H$5:$H$64,MATCH(B258,Batches!$A$5:$A$64,0))),"")))</f>
        <v/>
      </c>
      <c r="X258" s="23"/>
      <c r="Y258" s="23"/>
      <c r="Z258" s="26"/>
      <c r="AA258" s="27" t="str">
        <f aca="false">IF(R258="","",IF(X258="Not accepted",R258,IF(OR(X258="Accepted",X258="Withdrawn by hospital"),IF(X258="Accepted",0,R258),IF(ISNUMBER(Z258),R258-Z258,""))))</f>
        <v/>
      </c>
      <c r="AB258" s="23"/>
      <c r="AC258" s="25"/>
      <c r="AD258" s="23"/>
      <c r="AE258" s="23"/>
      <c r="AF258" s="24"/>
      <c r="AG258" s="23"/>
      <c r="AH258" s="24"/>
      <c r="AI258" s="29" t="str">
        <f aca="false">IF(X258="Not accepted","Maintained",IF(X258="Partially accepted","Partially maintained",IF(X258="Accepted","Reversed",IF(X258="Withdrawn by hospital","Withdrawn by hospital",""))))</f>
        <v/>
      </c>
      <c r="AJ258" s="28" t="str">
        <f aca="false">IF(AI258="","",W258)</f>
        <v/>
      </c>
      <c r="AK258" s="29" t="str">
        <f aca="false">IF(AND(ISNUMBER(T258),ISNUMBER(W258)),W258-T258,"")</f>
        <v/>
      </c>
      <c r="AL258" s="29" t="str">
        <f aca="false">IF(A258="","",SUMIF(Actions!$C$5:$C$1004,A258,Actions!$F$5:$F$1004))</f>
        <v/>
      </c>
      <c r="AM258" s="25"/>
    </row>
    <row r="259" customFormat="false" ht="15" hidden="false" customHeight="false" outlineLevel="0" collapsed="false">
      <c r="A259" s="23"/>
      <c r="B259" s="23"/>
      <c r="C259" s="23"/>
      <c r="D259" s="23"/>
      <c r="E259" s="23"/>
      <c r="F259" s="23"/>
      <c r="G259" s="23"/>
      <c r="H259" s="23"/>
      <c r="I259" s="23"/>
      <c r="J259" s="23"/>
      <c r="K259" s="24"/>
      <c r="L259" s="23"/>
      <c r="M259" s="25"/>
      <c r="N259" s="25"/>
      <c r="O259" s="23"/>
      <c r="P259" s="26"/>
      <c r="Q259" s="26"/>
      <c r="R259" s="27" t="str">
        <f aca="false">IF(AND(ISNUMBER(P259),ISNUMBER(Q259)),P259-Q259,"")</f>
        <v/>
      </c>
      <c r="S259" s="24"/>
      <c r="T259" s="28" t="str">
        <f aca="false">IF(S259&lt;&gt;"",S259,IF(B259="","",IFERROR(IF(INDEX(Batches!$G$5:$G$64,MATCH(B259,Batches!$A$5:$A$64,0))="","",INDEX(Batches!$G$5:$G$64,MATCH(B259,Batches!$A$5:$A$64,0))),"")))</f>
        <v/>
      </c>
      <c r="U259" s="23"/>
      <c r="V259" s="24"/>
      <c r="W259" s="28" t="str">
        <f aca="false">IF(OR(X259="",X259="Pending"),"",IF(V259&lt;&gt;"",V259,IFERROR(IF(INDEX(Batches!$H$5:$H$64,MATCH(B259,Batches!$A$5:$A$64,0))="","",INDEX(Batches!$H$5:$H$64,MATCH(B259,Batches!$A$5:$A$64,0))),"")))</f>
        <v/>
      </c>
      <c r="X259" s="23"/>
      <c r="Y259" s="23"/>
      <c r="Z259" s="26"/>
      <c r="AA259" s="27" t="str">
        <f aca="false">IF(R259="","",IF(X259="Not accepted",R259,IF(OR(X259="Accepted",X259="Withdrawn by hospital"),IF(X259="Accepted",0,R259),IF(ISNUMBER(Z259),R259-Z259,""))))</f>
        <v/>
      </c>
      <c r="AB259" s="23"/>
      <c r="AC259" s="25"/>
      <c r="AD259" s="23"/>
      <c r="AE259" s="23"/>
      <c r="AF259" s="24"/>
      <c r="AG259" s="23"/>
      <c r="AH259" s="24"/>
      <c r="AI259" s="29" t="str">
        <f aca="false">IF(X259="Not accepted","Maintained",IF(X259="Partially accepted","Partially maintained",IF(X259="Accepted","Reversed",IF(X259="Withdrawn by hospital","Withdrawn by hospital",""))))</f>
        <v/>
      </c>
      <c r="AJ259" s="28" t="str">
        <f aca="false">IF(AI259="","",W259)</f>
        <v/>
      </c>
      <c r="AK259" s="29" t="str">
        <f aca="false">IF(AND(ISNUMBER(T259),ISNUMBER(W259)),W259-T259,"")</f>
        <v/>
      </c>
      <c r="AL259" s="29" t="str">
        <f aca="false">IF(A259="","",SUMIF(Actions!$C$5:$C$1004,A259,Actions!$F$5:$F$1004))</f>
        <v/>
      </c>
      <c r="AM259" s="25"/>
    </row>
    <row r="260" customFormat="false" ht="15" hidden="false" customHeight="false" outlineLevel="0" collapsed="false">
      <c r="A260" s="23"/>
      <c r="B260" s="23"/>
      <c r="C260" s="23"/>
      <c r="D260" s="23"/>
      <c r="E260" s="23"/>
      <c r="F260" s="23"/>
      <c r="G260" s="23"/>
      <c r="H260" s="23"/>
      <c r="I260" s="23"/>
      <c r="J260" s="23"/>
      <c r="K260" s="24"/>
      <c r="L260" s="23"/>
      <c r="M260" s="25"/>
      <c r="N260" s="25"/>
      <c r="O260" s="23"/>
      <c r="P260" s="26"/>
      <c r="Q260" s="26"/>
      <c r="R260" s="27" t="str">
        <f aca="false">IF(AND(ISNUMBER(P260),ISNUMBER(Q260)),P260-Q260,"")</f>
        <v/>
      </c>
      <c r="S260" s="24"/>
      <c r="T260" s="28" t="str">
        <f aca="false">IF(S260&lt;&gt;"",S260,IF(B260="","",IFERROR(IF(INDEX(Batches!$G$5:$G$64,MATCH(B260,Batches!$A$5:$A$64,0))="","",INDEX(Batches!$G$5:$G$64,MATCH(B260,Batches!$A$5:$A$64,0))),"")))</f>
        <v/>
      </c>
      <c r="U260" s="23"/>
      <c r="V260" s="24"/>
      <c r="W260" s="28" t="str">
        <f aca="false">IF(OR(X260="",X260="Pending"),"",IF(V260&lt;&gt;"",V260,IFERROR(IF(INDEX(Batches!$H$5:$H$64,MATCH(B260,Batches!$A$5:$A$64,0))="","",INDEX(Batches!$H$5:$H$64,MATCH(B260,Batches!$A$5:$A$64,0))),"")))</f>
        <v/>
      </c>
      <c r="X260" s="23"/>
      <c r="Y260" s="23"/>
      <c r="Z260" s="26"/>
      <c r="AA260" s="27" t="str">
        <f aca="false">IF(R260="","",IF(X260="Not accepted",R260,IF(OR(X260="Accepted",X260="Withdrawn by hospital"),IF(X260="Accepted",0,R260),IF(ISNUMBER(Z260),R260-Z260,""))))</f>
        <v/>
      </c>
      <c r="AB260" s="23"/>
      <c r="AC260" s="25"/>
      <c r="AD260" s="23"/>
      <c r="AE260" s="23"/>
      <c r="AF260" s="24"/>
      <c r="AG260" s="23"/>
      <c r="AH260" s="24"/>
      <c r="AI260" s="29" t="str">
        <f aca="false">IF(X260="Not accepted","Maintained",IF(X260="Partially accepted","Partially maintained",IF(X260="Accepted","Reversed",IF(X260="Withdrawn by hospital","Withdrawn by hospital",""))))</f>
        <v/>
      </c>
      <c r="AJ260" s="28" t="str">
        <f aca="false">IF(AI260="","",W260)</f>
        <v/>
      </c>
      <c r="AK260" s="29" t="str">
        <f aca="false">IF(AND(ISNUMBER(T260),ISNUMBER(W260)),W260-T260,"")</f>
        <v/>
      </c>
      <c r="AL260" s="29" t="str">
        <f aca="false">IF(A260="","",SUMIF(Actions!$C$5:$C$1004,A260,Actions!$F$5:$F$1004))</f>
        <v/>
      </c>
      <c r="AM260" s="25"/>
    </row>
    <row r="261" customFormat="false" ht="15" hidden="false" customHeight="false" outlineLevel="0" collapsed="false">
      <c r="A261" s="23"/>
      <c r="B261" s="23"/>
      <c r="C261" s="23"/>
      <c r="D261" s="23"/>
      <c r="E261" s="23"/>
      <c r="F261" s="23"/>
      <c r="G261" s="23"/>
      <c r="H261" s="23"/>
      <c r="I261" s="23"/>
      <c r="J261" s="23"/>
      <c r="K261" s="24"/>
      <c r="L261" s="23"/>
      <c r="M261" s="25"/>
      <c r="N261" s="25"/>
      <c r="O261" s="23"/>
      <c r="P261" s="26"/>
      <c r="Q261" s="26"/>
      <c r="R261" s="27" t="str">
        <f aca="false">IF(AND(ISNUMBER(P261),ISNUMBER(Q261)),P261-Q261,"")</f>
        <v/>
      </c>
      <c r="S261" s="24"/>
      <c r="T261" s="28" t="str">
        <f aca="false">IF(S261&lt;&gt;"",S261,IF(B261="","",IFERROR(IF(INDEX(Batches!$G$5:$G$64,MATCH(B261,Batches!$A$5:$A$64,0))="","",INDEX(Batches!$G$5:$G$64,MATCH(B261,Batches!$A$5:$A$64,0))),"")))</f>
        <v/>
      </c>
      <c r="U261" s="23"/>
      <c r="V261" s="24"/>
      <c r="W261" s="28" t="str">
        <f aca="false">IF(OR(X261="",X261="Pending"),"",IF(V261&lt;&gt;"",V261,IFERROR(IF(INDEX(Batches!$H$5:$H$64,MATCH(B261,Batches!$A$5:$A$64,0))="","",INDEX(Batches!$H$5:$H$64,MATCH(B261,Batches!$A$5:$A$64,0))),"")))</f>
        <v/>
      </c>
      <c r="X261" s="23"/>
      <c r="Y261" s="23"/>
      <c r="Z261" s="26"/>
      <c r="AA261" s="27" t="str">
        <f aca="false">IF(R261="","",IF(X261="Not accepted",R261,IF(OR(X261="Accepted",X261="Withdrawn by hospital"),IF(X261="Accepted",0,R261),IF(ISNUMBER(Z261),R261-Z261,""))))</f>
        <v/>
      </c>
      <c r="AB261" s="23"/>
      <c r="AC261" s="25"/>
      <c r="AD261" s="23"/>
      <c r="AE261" s="23"/>
      <c r="AF261" s="24"/>
      <c r="AG261" s="23"/>
      <c r="AH261" s="24"/>
      <c r="AI261" s="29" t="str">
        <f aca="false">IF(X261="Not accepted","Maintained",IF(X261="Partially accepted","Partially maintained",IF(X261="Accepted","Reversed",IF(X261="Withdrawn by hospital","Withdrawn by hospital",""))))</f>
        <v/>
      </c>
      <c r="AJ261" s="28" t="str">
        <f aca="false">IF(AI261="","",W261)</f>
        <v/>
      </c>
      <c r="AK261" s="29" t="str">
        <f aca="false">IF(AND(ISNUMBER(T261),ISNUMBER(W261)),W261-T261,"")</f>
        <v/>
      </c>
      <c r="AL261" s="29" t="str">
        <f aca="false">IF(A261="","",SUMIF(Actions!$C$5:$C$1004,A261,Actions!$F$5:$F$1004))</f>
        <v/>
      </c>
      <c r="AM261" s="25"/>
    </row>
    <row r="262" customFormat="false" ht="15" hidden="false" customHeight="false" outlineLevel="0" collapsed="false">
      <c r="A262" s="23"/>
      <c r="B262" s="23"/>
      <c r="C262" s="23"/>
      <c r="D262" s="23"/>
      <c r="E262" s="23"/>
      <c r="F262" s="23"/>
      <c r="G262" s="23"/>
      <c r="H262" s="23"/>
      <c r="I262" s="23"/>
      <c r="J262" s="23"/>
      <c r="K262" s="24"/>
      <c r="L262" s="23"/>
      <c r="M262" s="25"/>
      <c r="N262" s="25"/>
      <c r="O262" s="23"/>
      <c r="P262" s="26"/>
      <c r="Q262" s="26"/>
      <c r="R262" s="27" t="str">
        <f aca="false">IF(AND(ISNUMBER(P262),ISNUMBER(Q262)),P262-Q262,"")</f>
        <v/>
      </c>
      <c r="S262" s="24"/>
      <c r="T262" s="28" t="str">
        <f aca="false">IF(S262&lt;&gt;"",S262,IF(B262="","",IFERROR(IF(INDEX(Batches!$G$5:$G$64,MATCH(B262,Batches!$A$5:$A$64,0))="","",INDEX(Batches!$G$5:$G$64,MATCH(B262,Batches!$A$5:$A$64,0))),"")))</f>
        <v/>
      </c>
      <c r="U262" s="23"/>
      <c r="V262" s="24"/>
      <c r="W262" s="28" t="str">
        <f aca="false">IF(OR(X262="",X262="Pending"),"",IF(V262&lt;&gt;"",V262,IFERROR(IF(INDEX(Batches!$H$5:$H$64,MATCH(B262,Batches!$A$5:$A$64,0))="","",INDEX(Batches!$H$5:$H$64,MATCH(B262,Batches!$A$5:$A$64,0))),"")))</f>
        <v/>
      </c>
      <c r="X262" s="23"/>
      <c r="Y262" s="23"/>
      <c r="Z262" s="26"/>
      <c r="AA262" s="27" t="str">
        <f aca="false">IF(R262="","",IF(X262="Not accepted",R262,IF(OR(X262="Accepted",X262="Withdrawn by hospital"),IF(X262="Accepted",0,R262),IF(ISNUMBER(Z262),R262-Z262,""))))</f>
        <v/>
      </c>
      <c r="AB262" s="23"/>
      <c r="AC262" s="25"/>
      <c r="AD262" s="23"/>
      <c r="AE262" s="23"/>
      <c r="AF262" s="24"/>
      <c r="AG262" s="23"/>
      <c r="AH262" s="24"/>
      <c r="AI262" s="29" t="str">
        <f aca="false">IF(X262="Not accepted","Maintained",IF(X262="Partially accepted","Partially maintained",IF(X262="Accepted","Reversed",IF(X262="Withdrawn by hospital","Withdrawn by hospital",""))))</f>
        <v/>
      </c>
      <c r="AJ262" s="28" t="str">
        <f aca="false">IF(AI262="","",W262)</f>
        <v/>
      </c>
      <c r="AK262" s="29" t="str">
        <f aca="false">IF(AND(ISNUMBER(T262),ISNUMBER(W262)),W262-T262,"")</f>
        <v/>
      </c>
      <c r="AL262" s="29" t="str">
        <f aca="false">IF(A262="","",SUMIF(Actions!$C$5:$C$1004,A262,Actions!$F$5:$F$1004))</f>
        <v/>
      </c>
      <c r="AM262" s="25"/>
    </row>
    <row r="263" customFormat="false" ht="15" hidden="false" customHeight="false" outlineLevel="0" collapsed="false">
      <c r="A263" s="23"/>
      <c r="B263" s="23"/>
      <c r="C263" s="23"/>
      <c r="D263" s="23"/>
      <c r="E263" s="23"/>
      <c r="F263" s="23"/>
      <c r="G263" s="23"/>
      <c r="H263" s="23"/>
      <c r="I263" s="23"/>
      <c r="J263" s="23"/>
      <c r="K263" s="24"/>
      <c r="L263" s="23"/>
      <c r="M263" s="25"/>
      <c r="N263" s="25"/>
      <c r="O263" s="23"/>
      <c r="P263" s="26"/>
      <c r="Q263" s="26"/>
      <c r="R263" s="27" t="str">
        <f aca="false">IF(AND(ISNUMBER(P263),ISNUMBER(Q263)),P263-Q263,"")</f>
        <v/>
      </c>
      <c r="S263" s="24"/>
      <c r="T263" s="28" t="str">
        <f aca="false">IF(S263&lt;&gt;"",S263,IF(B263="","",IFERROR(IF(INDEX(Batches!$G$5:$G$64,MATCH(B263,Batches!$A$5:$A$64,0))="","",INDEX(Batches!$G$5:$G$64,MATCH(B263,Batches!$A$5:$A$64,0))),"")))</f>
        <v/>
      </c>
      <c r="U263" s="23"/>
      <c r="V263" s="24"/>
      <c r="W263" s="28" t="str">
        <f aca="false">IF(OR(X263="",X263="Pending"),"",IF(V263&lt;&gt;"",V263,IFERROR(IF(INDEX(Batches!$H$5:$H$64,MATCH(B263,Batches!$A$5:$A$64,0))="","",INDEX(Batches!$H$5:$H$64,MATCH(B263,Batches!$A$5:$A$64,0))),"")))</f>
        <v/>
      </c>
      <c r="X263" s="23"/>
      <c r="Y263" s="23"/>
      <c r="Z263" s="26"/>
      <c r="AA263" s="27" t="str">
        <f aca="false">IF(R263="","",IF(X263="Not accepted",R263,IF(OR(X263="Accepted",X263="Withdrawn by hospital"),IF(X263="Accepted",0,R263),IF(ISNUMBER(Z263),R263-Z263,""))))</f>
        <v/>
      </c>
      <c r="AB263" s="23"/>
      <c r="AC263" s="25"/>
      <c r="AD263" s="23"/>
      <c r="AE263" s="23"/>
      <c r="AF263" s="24"/>
      <c r="AG263" s="23"/>
      <c r="AH263" s="24"/>
      <c r="AI263" s="29" t="str">
        <f aca="false">IF(X263="Not accepted","Maintained",IF(X263="Partially accepted","Partially maintained",IF(X263="Accepted","Reversed",IF(X263="Withdrawn by hospital","Withdrawn by hospital",""))))</f>
        <v/>
      </c>
      <c r="AJ263" s="28" t="str">
        <f aca="false">IF(AI263="","",W263)</f>
        <v/>
      </c>
      <c r="AK263" s="29" t="str">
        <f aca="false">IF(AND(ISNUMBER(T263),ISNUMBER(W263)),W263-T263,"")</f>
        <v/>
      </c>
      <c r="AL263" s="29" t="str">
        <f aca="false">IF(A263="","",SUMIF(Actions!$C$5:$C$1004,A263,Actions!$F$5:$F$1004))</f>
        <v/>
      </c>
      <c r="AM263" s="25"/>
    </row>
    <row r="264" customFormat="false" ht="15" hidden="false" customHeight="false" outlineLevel="0" collapsed="false">
      <c r="A264" s="23"/>
      <c r="B264" s="23"/>
      <c r="C264" s="23"/>
      <c r="D264" s="23"/>
      <c r="E264" s="23"/>
      <c r="F264" s="23"/>
      <c r="G264" s="23"/>
      <c r="H264" s="23"/>
      <c r="I264" s="23"/>
      <c r="J264" s="23"/>
      <c r="K264" s="24"/>
      <c r="L264" s="23"/>
      <c r="M264" s="25"/>
      <c r="N264" s="25"/>
      <c r="O264" s="23"/>
      <c r="P264" s="26"/>
      <c r="Q264" s="26"/>
      <c r="R264" s="27" t="str">
        <f aca="false">IF(AND(ISNUMBER(P264),ISNUMBER(Q264)),P264-Q264,"")</f>
        <v/>
      </c>
      <c r="S264" s="24"/>
      <c r="T264" s="28" t="str">
        <f aca="false">IF(S264&lt;&gt;"",S264,IF(B264="","",IFERROR(IF(INDEX(Batches!$G$5:$G$64,MATCH(B264,Batches!$A$5:$A$64,0))="","",INDEX(Batches!$G$5:$G$64,MATCH(B264,Batches!$A$5:$A$64,0))),"")))</f>
        <v/>
      </c>
      <c r="U264" s="23"/>
      <c r="V264" s="24"/>
      <c r="W264" s="28" t="str">
        <f aca="false">IF(OR(X264="",X264="Pending"),"",IF(V264&lt;&gt;"",V264,IFERROR(IF(INDEX(Batches!$H$5:$H$64,MATCH(B264,Batches!$A$5:$A$64,0))="","",INDEX(Batches!$H$5:$H$64,MATCH(B264,Batches!$A$5:$A$64,0))),"")))</f>
        <v/>
      </c>
      <c r="X264" s="23"/>
      <c r="Y264" s="23"/>
      <c r="Z264" s="26"/>
      <c r="AA264" s="27" t="str">
        <f aca="false">IF(R264="","",IF(X264="Not accepted",R264,IF(OR(X264="Accepted",X264="Withdrawn by hospital"),IF(X264="Accepted",0,R264),IF(ISNUMBER(Z264),R264-Z264,""))))</f>
        <v/>
      </c>
      <c r="AB264" s="23"/>
      <c r="AC264" s="25"/>
      <c r="AD264" s="23"/>
      <c r="AE264" s="23"/>
      <c r="AF264" s="24"/>
      <c r="AG264" s="23"/>
      <c r="AH264" s="24"/>
      <c r="AI264" s="29" t="str">
        <f aca="false">IF(X264="Not accepted","Maintained",IF(X264="Partially accepted","Partially maintained",IF(X264="Accepted","Reversed",IF(X264="Withdrawn by hospital","Withdrawn by hospital",""))))</f>
        <v/>
      </c>
      <c r="AJ264" s="28" t="str">
        <f aca="false">IF(AI264="","",W264)</f>
        <v/>
      </c>
      <c r="AK264" s="29" t="str">
        <f aca="false">IF(AND(ISNUMBER(T264),ISNUMBER(W264)),W264-T264,"")</f>
        <v/>
      </c>
      <c r="AL264" s="29" t="str">
        <f aca="false">IF(A264="","",SUMIF(Actions!$C$5:$C$1004,A264,Actions!$F$5:$F$1004))</f>
        <v/>
      </c>
      <c r="AM264" s="25"/>
    </row>
    <row r="265" customFormat="false" ht="15" hidden="false" customHeight="false" outlineLevel="0" collapsed="false">
      <c r="A265" s="23"/>
      <c r="B265" s="23"/>
      <c r="C265" s="23"/>
      <c r="D265" s="23"/>
      <c r="E265" s="23"/>
      <c r="F265" s="23"/>
      <c r="G265" s="23"/>
      <c r="H265" s="23"/>
      <c r="I265" s="23"/>
      <c r="J265" s="23"/>
      <c r="K265" s="24"/>
      <c r="L265" s="23"/>
      <c r="M265" s="25"/>
      <c r="N265" s="25"/>
      <c r="O265" s="23"/>
      <c r="P265" s="26"/>
      <c r="Q265" s="26"/>
      <c r="R265" s="27" t="str">
        <f aca="false">IF(AND(ISNUMBER(P265),ISNUMBER(Q265)),P265-Q265,"")</f>
        <v/>
      </c>
      <c r="S265" s="24"/>
      <c r="T265" s="28" t="str">
        <f aca="false">IF(S265&lt;&gt;"",S265,IF(B265="","",IFERROR(IF(INDEX(Batches!$G$5:$G$64,MATCH(B265,Batches!$A$5:$A$64,0))="","",INDEX(Batches!$G$5:$G$64,MATCH(B265,Batches!$A$5:$A$64,0))),"")))</f>
        <v/>
      </c>
      <c r="U265" s="23"/>
      <c r="V265" s="24"/>
      <c r="W265" s="28" t="str">
        <f aca="false">IF(OR(X265="",X265="Pending"),"",IF(V265&lt;&gt;"",V265,IFERROR(IF(INDEX(Batches!$H$5:$H$64,MATCH(B265,Batches!$A$5:$A$64,0))="","",INDEX(Batches!$H$5:$H$64,MATCH(B265,Batches!$A$5:$A$64,0))),"")))</f>
        <v/>
      </c>
      <c r="X265" s="23"/>
      <c r="Y265" s="23"/>
      <c r="Z265" s="26"/>
      <c r="AA265" s="27" t="str">
        <f aca="false">IF(R265="","",IF(X265="Not accepted",R265,IF(OR(X265="Accepted",X265="Withdrawn by hospital"),IF(X265="Accepted",0,R265),IF(ISNUMBER(Z265),R265-Z265,""))))</f>
        <v/>
      </c>
      <c r="AB265" s="23"/>
      <c r="AC265" s="25"/>
      <c r="AD265" s="23"/>
      <c r="AE265" s="23"/>
      <c r="AF265" s="24"/>
      <c r="AG265" s="23"/>
      <c r="AH265" s="24"/>
      <c r="AI265" s="29" t="str">
        <f aca="false">IF(X265="Not accepted","Maintained",IF(X265="Partially accepted","Partially maintained",IF(X265="Accepted","Reversed",IF(X265="Withdrawn by hospital","Withdrawn by hospital",""))))</f>
        <v/>
      </c>
      <c r="AJ265" s="28" t="str">
        <f aca="false">IF(AI265="","",W265)</f>
        <v/>
      </c>
      <c r="AK265" s="29" t="str">
        <f aca="false">IF(AND(ISNUMBER(T265),ISNUMBER(W265)),W265-T265,"")</f>
        <v/>
      </c>
      <c r="AL265" s="29" t="str">
        <f aca="false">IF(A265="","",SUMIF(Actions!$C$5:$C$1004,A265,Actions!$F$5:$F$1004))</f>
        <v/>
      </c>
      <c r="AM265" s="25"/>
    </row>
    <row r="266" customFormat="false" ht="15" hidden="false" customHeight="false" outlineLevel="0" collapsed="false">
      <c r="A266" s="23"/>
      <c r="B266" s="23"/>
      <c r="C266" s="23"/>
      <c r="D266" s="23"/>
      <c r="E266" s="23"/>
      <c r="F266" s="23"/>
      <c r="G266" s="23"/>
      <c r="H266" s="23"/>
      <c r="I266" s="23"/>
      <c r="J266" s="23"/>
      <c r="K266" s="24"/>
      <c r="L266" s="23"/>
      <c r="M266" s="25"/>
      <c r="N266" s="25"/>
      <c r="O266" s="23"/>
      <c r="P266" s="26"/>
      <c r="Q266" s="26"/>
      <c r="R266" s="27" t="str">
        <f aca="false">IF(AND(ISNUMBER(P266),ISNUMBER(Q266)),P266-Q266,"")</f>
        <v/>
      </c>
      <c r="S266" s="24"/>
      <c r="T266" s="28" t="str">
        <f aca="false">IF(S266&lt;&gt;"",S266,IF(B266="","",IFERROR(IF(INDEX(Batches!$G$5:$G$64,MATCH(B266,Batches!$A$5:$A$64,0))="","",INDEX(Batches!$G$5:$G$64,MATCH(B266,Batches!$A$5:$A$64,0))),"")))</f>
        <v/>
      </c>
      <c r="U266" s="23"/>
      <c r="V266" s="24"/>
      <c r="W266" s="28" t="str">
        <f aca="false">IF(OR(X266="",X266="Pending"),"",IF(V266&lt;&gt;"",V266,IFERROR(IF(INDEX(Batches!$H$5:$H$64,MATCH(B266,Batches!$A$5:$A$64,0))="","",INDEX(Batches!$H$5:$H$64,MATCH(B266,Batches!$A$5:$A$64,0))),"")))</f>
        <v/>
      </c>
      <c r="X266" s="23"/>
      <c r="Y266" s="23"/>
      <c r="Z266" s="26"/>
      <c r="AA266" s="27" t="str">
        <f aca="false">IF(R266="","",IF(X266="Not accepted",R266,IF(OR(X266="Accepted",X266="Withdrawn by hospital"),IF(X266="Accepted",0,R266),IF(ISNUMBER(Z266),R266-Z266,""))))</f>
        <v/>
      </c>
      <c r="AB266" s="23"/>
      <c r="AC266" s="25"/>
      <c r="AD266" s="23"/>
      <c r="AE266" s="23"/>
      <c r="AF266" s="24"/>
      <c r="AG266" s="23"/>
      <c r="AH266" s="24"/>
      <c r="AI266" s="29" t="str">
        <f aca="false">IF(X266="Not accepted","Maintained",IF(X266="Partially accepted","Partially maintained",IF(X266="Accepted","Reversed",IF(X266="Withdrawn by hospital","Withdrawn by hospital",""))))</f>
        <v/>
      </c>
      <c r="AJ266" s="28" t="str">
        <f aca="false">IF(AI266="","",W266)</f>
        <v/>
      </c>
      <c r="AK266" s="29" t="str">
        <f aca="false">IF(AND(ISNUMBER(T266),ISNUMBER(W266)),W266-T266,"")</f>
        <v/>
      </c>
      <c r="AL266" s="29" t="str">
        <f aca="false">IF(A266="","",SUMIF(Actions!$C$5:$C$1004,A266,Actions!$F$5:$F$1004))</f>
        <v/>
      </c>
      <c r="AM266" s="25"/>
    </row>
    <row r="267" customFormat="false" ht="15" hidden="false" customHeight="false" outlineLevel="0" collapsed="false">
      <c r="A267" s="23"/>
      <c r="B267" s="23"/>
      <c r="C267" s="23"/>
      <c r="D267" s="23"/>
      <c r="E267" s="23"/>
      <c r="F267" s="23"/>
      <c r="G267" s="23"/>
      <c r="H267" s="23"/>
      <c r="I267" s="23"/>
      <c r="J267" s="23"/>
      <c r="K267" s="24"/>
      <c r="L267" s="23"/>
      <c r="M267" s="25"/>
      <c r="N267" s="25"/>
      <c r="O267" s="23"/>
      <c r="P267" s="26"/>
      <c r="Q267" s="26"/>
      <c r="R267" s="27" t="str">
        <f aca="false">IF(AND(ISNUMBER(P267),ISNUMBER(Q267)),P267-Q267,"")</f>
        <v/>
      </c>
      <c r="S267" s="24"/>
      <c r="T267" s="28" t="str">
        <f aca="false">IF(S267&lt;&gt;"",S267,IF(B267="","",IFERROR(IF(INDEX(Batches!$G$5:$G$64,MATCH(B267,Batches!$A$5:$A$64,0))="","",INDEX(Batches!$G$5:$G$64,MATCH(B267,Batches!$A$5:$A$64,0))),"")))</f>
        <v/>
      </c>
      <c r="U267" s="23"/>
      <c r="V267" s="24"/>
      <c r="W267" s="28" t="str">
        <f aca="false">IF(OR(X267="",X267="Pending"),"",IF(V267&lt;&gt;"",V267,IFERROR(IF(INDEX(Batches!$H$5:$H$64,MATCH(B267,Batches!$A$5:$A$64,0))="","",INDEX(Batches!$H$5:$H$64,MATCH(B267,Batches!$A$5:$A$64,0))),"")))</f>
        <v/>
      </c>
      <c r="X267" s="23"/>
      <c r="Y267" s="23"/>
      <c r="Z267" s="26"/>
      <c r="AA267" s="27" t="str">
        <f aca="false">IF(R267="","",IF(X267="Not accepted",R267,IF(OR(X267="Accepted",X267="Withdrawn by hospital"),IF(X267="Accepted",0,R267),IF(ISNUMBER(Z267),R267-Z267,""))))</f>
        <v/>
      </c>
      <c r="AB267" s="23"/>
      <c r="AC267" s="25"/>
      <c r="AD267" s="23"/>
      <c r="AE267" s="23"/>
      <c r="AF267" s="24"/>
      <c r="AG267" s="23"/>
      <c r="AH267" s="24"/>
      <c r="AI267" s="29" t="str">
        <f aca="false">IF(X267="Not accepted","Maintained",IF(X267="Partially accepted","Partially maintained",IF(X267="Accepted","Reversed",IF(X267="Withdrawn by hospital","Withdrawn by hospital",""))))</f>
        <v/>
      </c>
      <c r="AJ267" s="28" t="str">
        <f aca="false">IF(AI267="","",W267)</f>
        <v/>
      </c>
      <c r="AK267" s="29" t="str">
        <f aca="false">IF(AND(ISNUMBER(T267),ISNUMBER(W267)),W267-T267,"")</f>
        <v/>
      </c>
      <c r="AL267" s="29" t="str">
        <f aca="false">IF(A267="","",SUMIF(Actions!$C$5:$C$1004,A267,Actions!$F$5:$F$1004))</f>
        <v/>
      </c>
      <c r="AM267" s="25"/>
    </row>
    <row r="268" customFormat="false" ht="15" hidden="false" customHeight="false" outlineLevel="0" collapsed="false">
      <c r="A268" s="23"/>
      <c r="B268" s="23"/>
      <c r="C268" s="23"/>
      <c r="D268" s="23"/>
      <c r="E268" s="23"/>
      <c r="F268" s="23"/>
      <c r="G268" s="23"/>
      <c r="H268" s="23"/>
      <c r="I268" s="23"/>
      <c r="J268" s="23"/>
      <c r="K268" s="24"/>
      <c r="L268" s="23"/>
      <c r="M268" s="25"/>
      <c r="N268" s="25"/>
      <c r="O268" s="23"/>
      <c r="P268" s="26"/>
      <c r="Q268" s="26"/>
      <c r="R268" s="27" t="str">
        <f aca="false">IF(AND(ISNUMBER(P268),ISNUMBER(Q268)),P268-Q268,"")</f>
        <v/>
      </c>
      <c r="S268" s="24"/>
      <c r="T268" s="28" t="str">
        <f aca="false">IF(S268&lt;&gt;"",S268,IF(B268="","",IFERROR(IF(INDEX(Batches!$G$5:$G$64,MATCH(B268,Batches!$A$5:$A$64,0))="","",INDEX(Batches!$G$5:$G$64,MATCH(B268,Batches!$A$5:$A$64,0))),"")))</f>
        <v/>
      </c>
      <c r="U268" s="23"/>
      <c r="V268" s="24"/>
      <c r="W268" s="28" t="str">
        <f aca="false">IF(OR(X268="",X268="Pending"),"",IF(V268&lt;&gt;"",V268,IFERROR(IF(INDEX(Batches!$H$5:$H$64,MATCH(B268,Batches!$A$5:$A$64,0))="","",INDEX(Batches!$H$5:$H$64,MATCH(B268,Batches!$A$5:$A$64,0))),"")))</f>
        <v/>
      </c>
      <c r="X268" s="23"/>
      <c r="Y268" s="23"/>
      <c r="Z268" s="26"/>
      <c r="AA268" s="27" t="str">
        <f aca="false">IF(R268="","",IF(X268="Not accepted",R268,IF(OR(X268="Accepted",X268="Withdrawn by hospital"),IF(X268="Accepted",0,R268),IF(ISNUMBER(Z268),R268-Z268,""))))</f>
        <v/>
      </c>
      <c r="AB268" s="23"/>
      <c r="AC268" s="25"/>
      <c r="AD268" s="23"/>
      <c r="AE268" s="23"/>
      <c r="AF268" s="24"/>
      <c r="AG268" s="23"/>
      <c r="AH268" s="24"/>
      <c r="AI268" s="29" t="str">
        <f aca="false">IF(X268="Not accepted","Maintained",IF(X268="Partially accepted","Partially maintained",IF(X268="Accepted","Reversed",IF(X268="Withdrawn by hospital","Withdrawn by hospital",""))))</f>
        <v/>
      </c>
      <c r="AJ268" s="28" t="str">
        <f aca="false">IF(AI268="","",W268)</f>
        <v/>
      </c>
      <c r="AK268" s="29" t="str">
        <f aca="false">IF(AND(ISNUMBER(T268),ISNUMBER(W268)),W268-T268,"")</f>
        <v/>
      </c>
      <c r="AL268" s="29" t="str">
        <f aca="false">IF(A268="","",SUMIF(Actions!$C$5:$C$1004,A268,Actions!$F$5:$F$1004))</f>
        <v/>
      </c>
      <c r="AM268" s="25"/>
    </row>
    <row r="269" customFormat="false" ht="15" hidden="false" customHeight="false" outlineLevel="0" collapsed="false">
      <c r="A269" s="23"/>
      <c r="B269" s="23"/>
      <c r="C269" s="23"/>
      <c r="D269" s="23"/>
      <c r="E269" s="23"/>
      <c r="F269" s="23"/>
      <c r="G269" s="23"/>
      <c r="H269" s="23"/>
      <c r="I269" s="23"/>
      <c r="J269" s="23"/>
      <c r="K269" s="24"/>
      <c r="L269" s="23"/>
      <c r="M269" s="25"/>
      <c r="N269" s="25"/>
      <c r="O269" s="23"/>
      <c r="P269" s="26"/>
      <c r="Q269" s="26"/>
      <c r="R269" s="27" t="str">
        <f aca="false">IF(AND(ISNUMBER(P269),ISNUMBER(Q269)),P269-Q269,"")</f>
        <v/>
      </c>
      <c r="S269" s="24"/>
      <c r="T269" s="28" t="str">
        <f aca="false">IF(S269&lt;&gt;"",S269,IF(B269="","",IFERROR(IF(INDEX(Batches!$G$5:$G$64,MATCH(B269,Batches!$A$5:$A$64,0))="","",INDEX(Batches!$G$5:$G$64,MATCH(B269,Batches!$A$5:$A$64,0))),"")))</f>
        <v/>
      </c>
      <c r="U269" s="23"/>
      <c r="V269" s="24"/>
      <c r="W269" s="28" t="str">
        <f aca="false">IF(OR(X269="",X269="Pending"),"",IF(V269&lt;&gt;"",V269,IFERROR(IF(INDEX(Batches!$H$5:$H$64,MATCH(B269,Batches!$A$5:$A$64,0))="","",INDEX(Batches!$H$5:$H$64,MATCH(B269,Batches!$A$5:$A$64,0))),"")))</f>
        <v/>
      </c>
      <c r="X269" s="23"/>
      <c r="Y269" s="23"/>
      <c r="Z269" s="26"/>
      <c r="AA269" s="27" t="str">
        <f aca="false">IF(R269="","",IF(X269="Not accepted",R269,IF(OR(X269="Accepted",X269="Withdrawn by hospital"),IF(X269="Accepted",0,R269),IF(ISNUMBER(Z269),R269-Z269,""))))</f>
        <v/>
      </c>
      <c r="AB269" s="23"/>
      <c r="AC269" s="25"/>
      <c r="AD269" s="23"/>
      <c r="AE269" s="23"/>
      <c r="AF269" s="24"/>
      <c r="AG269" s="23"/>
      <c r="AH269" s="24"/>
      <c r="AI269" s="29" t="str">
        <f aca="false">IF(X269="Not accepted","Maintained",IF(X269="Partially accepted","Partially maintained",IF(X269="Accepted","Reversed",IF(X269="Withdrawn by hospital","Withdrawn by hospital",""))))</f>
        <v/>
      </c>
      <c r="AJ269" s="28" t="str">
        <f aca="false">IF(AI269="","",W269)</f>
        <v/>
      </c>
      <c r="AK269" s="29" t="str">
        <f aca="false">IF(AND(ISNUMBER(T269),ISNUMBER(W269)),W269-T269,"")</f>
        <v/>
      </c>
      <c r="AL269" s="29" t="str">
        <f aca="false">IF(A269="","",SUMIF(Actions!$C$5:$C$1004,A269,Actions!$F$5:$F$1004))</f>
        <v/>
      </c>
      <c r="AM269" s="25"/>
    </row>
    <row r="270" customFormat="false" ht="15" hidden="false" customHeight="false" outlineLevel="0" collapsed="false">
      <c r="A270" s="23"/>
      <c r="B270" s="23"/>
      <c r="C270" s="23"/>
      <c r="D270" s="23"/>
      <c r="E270" s="23"/>
      <c r="F270" s="23"/>
      <c r="G270" s="23"/>
      <c r="H270" s="23"/>
      <c r="I270" s="23"/>
      <c r="J270" s="23"/>
      <c r="K270" s="24"/>
      <c r="L270" s="23"/>
      <c r="M270" s="25"/>
      <c r="N270" s="25"/>
      <c r="O270" s="23"/>
      <c r="P270" s="26"/>
      <c r="Q270" s="26"/>
      <c r="R270" s="27" t="str">
        <f aca="false">IF(AND(ISNUMBER(P270),ISNUMBER(Q270)),P270-Q270,"")</f>
        <v/>
      </c>
      <c r="S270" s="24"/>
      <c r="T270" s="28" t="str">
        <f aca="false">IF(S270&lt;&gt;"",S270,IF(B270="","",IFERROR(IF(INDEX(Batches!$G$5:$G$64,MATCH(B270,Batches!$A$5:$A$64,0))="","",INDEX(Batches!$G$5:$G$64,MATCH(B270,Batches!$A$5:$A$64,0))),"")))</f>
        <v/>
      </c>
      <c r="U270" s="23"/>
      <c r="V270" s="24"/>
      <c r="W270" s="28" t="str">
        <f aca="false">IF(OR(X270="",X270="Pending"),"",IF(V270&lt;&gt;"",V270,IFERROR(IF(INDEX(Batches!$H$5:$H$64,MATCH(B270,Batches!$A$5:$A$64,0))="","",INDEX(Batches!$H$5:$H$64,MATCH(B270,Batches!$A$5:$A$64,0))),"")))</f>
        <v/>
      </c>
      <c r="X270" s="23"/>
      <c r="Y270" s="23"/>
      <c r="Z270" s="26"/>
      <c r="AA270" s="27" t="str">
        <f aca="false">IF(R270="","",IF(X270="Not accepted",R270,IF(OR(X270="Accepted",X270="Withdrawn by hospital"),IF(X270="Accepted",0,R270),IF(ISNUMBER(Z270),R270-Z270,""))))</f>
        <v/>
      </c>
      <c r="AB270" s="23"/>
      <c r="AC270" s="25"/>
      <c r="AD270" s="23"/>
      <c r="AE270" s="23"/>
      <c r="AF270" s="24"/>
      <c r="AG270" s="23"/>
      <c r="AH270" s="24"/>
      <c r="AI270" s="29" t="str">
        <f aca="false">IF(X270="Not accepted","Maintained",IF(X270="Partially accepted","Partially maintained",IF(X270="Accepted","Reversed",IF(X270="Withdrawn by hospital","Withdrawn by hospital",""))))</f>
        <v/>
      </c>
      <c r="AJ270" s="28" t="str">
        <f aca="false">IF(AI270="","",W270)</f>
        <v/>
      </c>
      <c r="AK270" s="29" t="str">
        <f aca="false">IF(AND(ISNUMBER(T270),ISNUMBER(W270)),W270-T270,"")</f>
        <v/>
      </c>
      <c r="AL270" s="29" t="str">
        <f aca="false">IF(A270="","",SUMIF(Actions!$C$5:$C$1004,A270,Actions!$F$5:$F$1004))</f>
        <v/>
      </c>
      <c r="AM270" s="25"/>
    </row>
    <row r="271" customFormat="false" ht="15" hidden="false" customHeight="false" outlineLevel="0" collapsed="false">
      <c r="A271" s="23"/>
      <c r="B271" s="23"/>
      <c r="C271" s="23"/>
      <c r="D271" s="23"/>
      <c r="E271" s="23"/>
      <c r="F271" s="23"/>
      <c r="G271" s="23"/>
      <c r="H271" s="23"/>
      <c r="I271" s="23"/>
      <c r="J271" s="23"/>
      <c r="K271" s="24"/>
      <c r="L271" s="23"/>
      <c r="M271" s="25"/>
      <c r="N271" s="25"/>
      <c r="O271" s="23"/>
      <c r="P271" s="26"/>
      <c r="Q271" s="26"/>
      <c r="R271" s="27" t="str">
        <f aca="false">IF(AND(ISNUMBER(P271),ISNUMBER(Q271)),P271-Q271,"")</f>
        <v/>
      </c>
      <c r="S271" s="24"/>
      <c r="T271" s="28" t="str">
        <f aca="false">IF(S271&lt;&gt;"",S271,IF(B271="","",IFERROR(IF(INDEX(Batches!$G$5:$G$64,MATCH(B271,Batches!$A$5:$A$64,0))="","",INDEX(Batches!$G$5:$G$64,MATCH(B271,Batches!$A$5:$A$64,0))),"")))</f>
        <v/>
      </c>
      <c r="U271" s="23"/>
      <c r="V271" s="24"/>
      <c r="W271" s="28" t="str">
        <f aca="false">IF(OR(X271="",X271="Pending"),"",IF(V271&lt;&gt;"",V271,IFERROR(IF(INDEX(Batches!$H$5:$H$64,MATCH(B271,Batches!$A$5:$A$64,0))="","",INDEX(Batches!$H$5:$H$64,MATCH(B271,Batches!$A$5:$A$64,0))),"")))</f>
        <v/>
      </c>
      <c r="X271" s="23"/>
      <c r="Y271" s="23"/>
      <c r="Z271" s="26"/>
      <c r="AA271" s="27" t="str">
        <f aca="false">IF(R271="","",IF(X271="Not accepted",R271,IF(OR(X271="Accepted",X271="Withdrawn by hospital"),IF(X271="Accepted",0,R271),IF(ISNUMBER(Z271),R271-Z271,""))))</f>
        <v/>
      </c>
      <c r="AB271" s="23"/>
      <c r="AC271" s="25"/>
      <c r="AD271" s="23"/>
      <c r="AE271" s="23"/>
      <c r="AF271" s="24"/>
      <c r="AG271" s="23"/>
      <c r="AH271" s="24"/>
      <c r="AI271" s="29" t="str">
        <f aca="false">IF(X271="Not accepted","Maintained",IF(X271="Partially accepted","Partially maintained",IF(X271="Accepted","Reversed",IF(X271="Withdrawn by hospital","Withdrawn by hospital",""))))</f>
        <v/>
      </c>
      <c r="AJ271" s="28" t="str">
        <f aca="false">IF(AI271="","",W271)</f>
        <v/>
      </c>
      <c r="AK271" s="29" t="str">
        <f aca="false">IF(AND(ISNUMBER(T271),ISNUMBER(W271)),W271-T271,"")</f>
        <v/>
      </c>
      <c r="AL271" s="29" t="str">
        <f aca="false">IF(A271="","",SUMIF(Actions!$C$5:$C$1004,A271,Actions!$F$5:$F$1004))</f>
        <v/>
      </c>
      <c r="AM271" s="25"/>
    </row>
    <row r="272" customFormat="false" ht="15" hidden="false" customHeight="false" outlineLevel="0" collapsed="false">
      <c r="A272" s="23"/>
      <c r="B272" s="23"/>
      <c r="C272" s="23"/>
      <c r="D272" s="23"/>
      <c r="E272" s="23"/>
      <c r="F272" s="23"/>
      <c r="G272" s="23"/>
      <c r="H272" s="23"/>
      <c r="I272" s="23"/>
      <c r="J272" s="23"/>
      <c r="K272" s="24"/>
      <c r="L272" s="23"/>
      <c r="M272" s="25"/>
      <c r="N272" s="25"/>
      <c r="O272" s="23"/>
      <c r="P272" s="26"/>
      <c r="Q272" s="26"/>
      <c r="R272" s="27" t="str">
        <f aca="false">IF(AND(ISNUMBER(P272),ISNUMBER(Q272)),P272-Q272,"")</f>
        <v/>
      </c>
      <c r="S272" s="24"/>
      <c r="T272" s="28" t="str">
        <f aca="false">IF(S272&lt;&gt;"",S272,IF(B272="","",IFERROR(IF(INDEX(Batches!$G$5:$G$64,MATCH(B272,Batches!$A$5:$A$64,0))="","",INDEX(Batches!$G$5:$G$64,MATCH(B272,Batches!$A$5:$A$64,0))),"")))</f>
        <v/>
      </c>
      <c r="U272" s="23"/>
      <c r="V272" s="24"/>
      <c r="W272" s="28" t="str">
        <f aca="false">IF(OR(X272="",X272="Pending"),"",IF(V272&lt;&gt;"",V272,IFERROR(IF(INDEX(Batches!$H$5:$H$64,MATCH(B272,Batches!$A$5:$A$64,0))="","",INDEX(Batches!$H$5:$H$64,MATCH(B272,Batches!$A$5:$A$64,0))),"")))</f>
        <v/>
      </c>
      <c r="X272" s="23"/>
      <c r="Y272" s="23"/>
      <c r="Z272" s="26"/>
      <c r="AA272" s="27" t="str">
        <f aca="false">IF(R272="","",IF(X272="Not accepted",R272,IF(OR(X272="Accepted",X272="Withdrawn by hospital"),IF(X272="Accepted",0,R272),IF(ISNUMBER(Z272),R272-Z272,""))))</f>
        <v/>
      </c>
      <c r="AB272" s="23"/>
      <c r="AC272" s="25"/>
      <c r="AD272" s="23"/>
      <c r="AE272" s="23"/>
      <c r="AF272" s="24"/>
      <c r="AG272" s="23"/>
      <c r="AH272" s="24"/>
      <c r="AI272" s="29" t="str">
        <f aca="false">IF(X272="Not accepted","Maintained",IF(X272="Partially accepted","Partially maintained",IF(X272="Accepted","Reversed",IF(X272="Withdrawn by hospital","Withdrawn by hospital",""))))</f>
        <v/>
      </c>
      <c r="AJ272" s="28" t="str">
        <f aca="false">IF(AI272="","",W272)</f>
        <v/>
      </c>
      <c r="AK272" s="29" t="str">
        <f aca="false">IF(AND(ISNUMBER(T272),ISNUMBER(W272)),W272-T272,"")</f>
        <v/>
      </c>
      <c r="AL272" s="29" t="str">
        <f aca="false">IF(A272="","",SUMIF(Actions!$C$5:$C$1004,A272,Actions!$F$5:$F$1004))</f>
        <v/>
      </c>
      <c r="AM272" s="25"/>
    </row>
    <row r="273" customFormat="false" ht="15" hidden="false" customHeight="false" outlineLevel="0" collapsed="false">
      <c r="A273" s="23"/>
      <c r="B273" s="23"/>
      <c r="C273" s="23"/>
      <c r="D273" s="23"/>
      <c r="E273" s="23"/>
      <c r="F273" s="23"/>
      <c r="G273" s="23"/>
      <c r="H273" s="23"/>
      <c r="I273" s="23"/>
      <c r="J273" s="23"/>
      <c r="K273" s="24"/>
      <c r="L273" s="23"/>
      <c r="M273" s="25"/>
      <c r="N273" s="25"/>
      <c r="O273" s="23"/>
      <c r="P273" s="26"/>
      <c r="Q273" s="26"/>
      <c r="R273" s="27" t="str">
        <f aca="false">IF(AND(ISNUMBER(P273),ISNUMBER(Q273)),P273-Q273,"")</f>
        <v/>
      </c>
      <c r="S273" s="24"/>
      <c r="T273" s="28" t="str">
        <f aca="false">IF(S273&lt;&gt;"",S273,IF(B273="","",IFERROR(IF(INDEX(Batches!$G$5:$G$64,MATCH(B273,Batches!$A$5:$A$64,0))="","",INDEX(Batches!$G$5:$G$64,MATCH(B273,Batches!$A$5:$A$64,0))),"")))</f>
        <v/>
      </c>
      <c r="U273" s="23"/>
      <c r="V273" s="24"/>
      <c r="W273" s="28" t="str">
        <f aca="false">IF(OR(X273="",X273="Pending"),"",IF(V273&lt;&gt;"",V273,IFERROR(IF(INDEX(Batches!$H$5:$H$64,MATCH(B273,Batches!$A$5:$A$64,0))="","",INDEX(Batches!$H$5:$H$64,MATCH(B273,Batches!$A$5:$A$64,0))),"")))</f>
        <v/>
      </c>
      <c r="X273" s="23"/>
      <c r="Y273" s="23"/>
      <c r="Z273" s="26"/>
      <c r="AA273" s="27" t="str">
        <f aca="false">IF(R273="","",IF(X273="Not accepted",R273,IF(OR(X273="Accepted",X273="Withdrawn by hospital"),IF(X273="Accepted",0,R273),IF(ISNUMBER(Z273),R273-Z273,""))))</f>
        <v/>
      </c>
      <c r="AB273" s="23"/>
      <c r="AC273" s="25"/>
      <c r="AD273" s="23"/>
      <c r="AE273" s="23"/>
      <c r="AF273" s="24"/>
      <c r="AG273" s="23"/>
      <c r="AH273" s="24"/>
      <c r="AI273" s="29" t="str">
        <f aca="false">IF(X273="Not accepted","Maintained",IF(X273="Partially accepted","Partially maintained",IF(X273="Accepted","Reversed",IF(X273="Withdrawn by hospital","Withdrawn by hospital",""))))</f>
        <v/>
      </c>
      <c r="AJ273" s="28" t="str">
        <f aca="false">IF(AI273="","",W273)</f>
        <v/>
      </c>
      <c r="AK273" s="29" t="str">
        <f aca="false">IF(AND(ISNUMBER(T273),ISNUMBER(W273)),W273-T273,"")</f>
        <v/>
      </c>
      <c r="AL273" s="29" t="str">
        <f aca="false">IF(A273="","",SUMIF(Actions!$C$5:$C$1004,A273,Actions!$F$5:$F$1004))</f>
        <v/>
      </c>
      <c r="AM273" s="25"/>
    </row>
    <row r="274" customFormat="false" ht="15" hidden="false" customHeight="false" outlineLevel="0" collapsed="false">
      <c r="A274" s="23"/>
      <c r="B274" s="23"/>
      <c r="C274" s="23"/>
      <c r="D274" s="23"/>
      <c r="E274" s="23"/>
      <c r="F274" s="23"/>
      <c r="G274" s="23"/>
      <c r="H274" s="23"/>
      <c r="I274" s="23"/>
      <c r="J274" s="23"/>
      <c r="K274" s="24"/>
      <c r="L274" s="23"/>
      <c r="M274" s="25"/>
      <c r="N274" s="25"/>
      <c r="O274" s="23"/>
      <c r="P274" s="26"/>
      <c r="Q274" s="26"/>
      <c r="R274" s="27" t="str">
        <f aca="false">IF(AND(ISNUMBER(P274),ISNUMBER(Q274)),P274-Q274,"")</f>
        <v/>
      </c>
      <c r="S274" s="24"/>
      <c r="T274" s="28" t="str">
        <f aca="false">IF(S274&lt;&gt;"",S274,IF(B274="","",IFERROR(IF(INDEX(Batches!$G$5:$G$64,MATCH(B274,Batches!$A$5:$A$64,0))="","",INDEX(Batches!$G$5:$G$64,MATCH(B274,Batches!$A$5:$A$64,0))),"")))</f>
        <v/>
      </c>
      <c r="U274" s="23"/>
      <c r="V274" s="24"/>
      <c r="W274" s="28" t="str">
        <f aca="false">IF(OR(X274="",X274="Pending"),"",IF(V274&lt;&gt;"",V274,IFERROR(IF(INDEX(Batches!$H$5:$H$64,MATCH(B274,Batches!$A$5:$A$64,0))="","",INDEX(Batches!$H$5:$H$64,MATCH(B274,Batches!$A$5:$A$64,0))),"")))</f>
        <v/>
      </c>
      <c r="X274" s="23"/>
      <c r="Y274" s="23"/>
      <c r="Z274" s="26"/>
      <c r="AA274" s="27" t="str">
        <f aca="false">IF(R274="","",IF(X274="Not accepted",R274,IF(OR(X274="Accepted",X274="Withdrawn by hospital"),IF(X274="Accepted",0,R274),IF(ISNUMBER(Z274),R274-Z274,""))))</f>
        <v/>
      </c>
      <c r="AB274" s="23"/>
      <c r="AC274" s="25"/>
      <c r="AD274" s="23"/>
      <c r="AE274" s="23"/>
      <c r="AF274" s="24"/>
      <c r="AG274" s="23"/>
      <c r="AH274" s="24"/>
      <c r="AI274" s="29" t="str">
        <f aca="false">IF(X274="Not accepted","Maintained",IF(X274="Partially accepted","Partially maintained",IF(X274="Accepted","Reversed",IF(X274="Withdrawn by hospital","Withdrawn by hospital",""))))</f>
        <v/>
      </c>
      <c r="AJ274" s="28" t="str">
        <f aca="false">IF(AI274="","",W274)</f>
        <v/>
      </c>
      <c r="AK274" s="29" t="str">
        <f aca="false">IF(AND(ISNUMBER(T274),ISNUMBER(W274)),W274-T274,"")</f>
        <v/>
      </c>
      <c r="AL274" s="29" t="str">
        <f aca="false">IF(A274="","",SUMIF(Actions!$C$5:$C$1004,A274,Actions!$F$5:$F$1004))</f>
        <v/>
      </c>
      <c r="AM274" s="25"/>
    </row>
    <row r="275" customFormat="false" ht="15" hidden="false" customHeight="false" outlineLevel="0" collapsed="false">
      <c r="A275" s="23"/>
      <c r="B275" s="23"/>
      <c r="C275" s="23"/>
      <c r="D275" s="23"/>
      <c r="E275" s="23"/>
      <c r="F275" s="23"/>
      <c r="G275" s="23"/>
      <c r="H275" s="23"/>
      <c r="I275" s="23"/>
      <c r="J275" s="23"/>
      <c r="K275" s="24"/>
      <c r="L275" s="23"/>
      <c r="M275" s="25"/>
      <c r="N275" s="25"/>
      <c r="O275" s="23"/>
      <c r="P275" s="26"/>
      <c r="Q275" s="26"/>
      <c r="R275" s="27" t="str">
        <f aca="false">IF(AND(ISNUMBER(P275),ISNUMBER(Q275)),P275-Q275,"")</f>
        <v/>
      </c>
      <c r="S275" s="24"/>
      <c r="T275" s="28" t="str">
        <f aca="false">IF(S275&lt;&gt;"",S275,IF(B275="","",IFERROR(IF(INDEX(Batches!$G$5:$G$64,MATCH(B275,Batches!$A$5:$A$64,0))="","",INDEX(Batches!$G$5:$G$64,MATCH(B275,Batches!$A$5:$A$64,0))),"")))</f>
        <v/>
      </c>
      <c r="U275" s="23"/>
      <c r="V275" s="24"/>
      <c r="W275" s="28" t="str">
        <f aca="false">IF(OR(X275="",X275="Pending"),"",IF(V275&lt;&gt;"",V275,IFERROR(IF(INDEX(Batches!$H$5:$H$64,MATCH(B275,Batches!$A$5:$A$64,0))="","",INDEX(Batches!$H$5:$H$64,MATCH(B275,Batches!$A$5:$A$64,0))),"")))</f>
        <v/>
      </c>
      <c r="X275" s="23"/>
      <c r="Y275" s="23"/>
      <c r="Z275" s="26"/>
      <c r="AA275" s="27" t="str">
        <f aca="false">IF(R275="","",IF(X275="Not accepted",R275,IF(OR(X275="Accepted",X275="Withdrawn by hospital"),IF(X275="Accepted",0,R275),IF(ISNUMBER(Z275),R275-Z275,""))))</f>
        <v/>
      </c>
      <c r="AB275" s="23"/>
      <c r="AC275" s="25"/>
      <c r="AD275" s="23"/>
      <c r="AE275" s="23"/>
      <c r="AF275" s="24"/>
      <c r="AG275" s="23"/>
      <c r="AH275" s="24"/>
      <c r="AI275" s="29" t="str">
        <f aca="false">IF(X275="Not accepted","Maintained",IF(X275="Partially accepted","Partially maintained",IF(X275="Accepted","Reversed",IF(X275="Withdrawn by hospital","Withdrawn by hospital",""))))</f>
        <v/>
      </c>
      <c r="AJ275" s="28" t="str">
        <f aca="false">IF(AI275="","",W275)</f>
        <v/>
      </c>
      <c r="AK275" s="29" t="str">
        <f aca="false">IF(AND(ISNUMBER(T275),ISNUMBER(W275)),W275-T275,"")</f>
        <v/>
      </c>
      <c r="AL275" s="29" t="str">
        <f aca="false">IF(A275="","",SUMIF(Actions!$C$5:$C$1004,A275,Actions!$F$5:$F$1004))</f>
        <v/>
      </c>
      <c r="AM275" s="25"/>
    </row>
    <row r="276" customFormat="false" ht="15" hidden="false" customHeight="false" outlineLevel="0" collapsed="false">
      <c r="A276" s="23"/>
      <c r="B276" s="23"/>
      <c r="C276" s="23"/>
      <c r="D276" s="23"/>
      <c r="E276" s="23"/>
      <c r="F276" s="23"/>
      <c r="G276" s="23"/>
      <c r="H276" s="23"/>
      <c r="I276" s="23"/>
      <c r="J276" s="23"/>
      <c r="K276" s="24"/>
      <c r="L276" s="23"/>
      <c r="M276" s="25"/>
      <c r="N276" s="25"/>
      <c r="O276" s="23"/>
      <c r="P276" s="26"/>
      <c r="Q276" s="26"/>
      <c r="R276" s="27" t="str">
        <f aca="false">IF(AND(ISNUMBER(P276),ISNUMBER(Q276)),P276-Q276,"")</f>
        <v/>
      </c>
      <c r="S276" s="24"/>
      <c r="T276" s="28" t="str">
        <f aca="false">IF(S276&lt;&gt;"",S276,IF(B276="","",IFERROR(IF(INDEX(Batches!$G$5:$G$64,MATCH(B276,Batches!$A$5:$A$64,0))="","",INDEX(Batches!$G$5:$G$64,MATCH(B276,Batches!$A$5:$A$64,0))),"")))</f>
        <v/>
      </c>
      <c r="U276" s="23"/>
      <c r="V276" s="24"/>
      <c r="W276" s="28" t="str">
        <f aca="false">IF(OR(X276="",X276="Pending"),"",IF(V276&lt;&gt;"",V276,IFERROR(IF(INDEX(Batches!$H$5:$H$64,MATCH(B276,Batches!$A$5:$A$64,0))="","",INDEX(Batches!$H$5:$H$64,MATCH(B276,Batches!$A$5:$A$64,0))),"")))</f>
        <v/>
      </c>
      <c r="X276" s="23"/>
      <c r="Y276" s="23"/>
      <c r="Z276" s="26"/>
      <c r="AA276" s="27" t="str">
        <f aca="false">IF(R276="","",IF(X276="Not accepted",R276,IF(OR(X276="Accepted",X276="Withdrawn by hospital"),IF(X276="Accepted",0,R276),IF(ISNUMBER(Z276),R276-Z276,""))))</f>
        <v/>
      </c>
      <c r="AB276" s="23"/>
      <c r="AC276" s="25"/>
      <c r="AD276" s="23"/>
      <c r="AE276" s="23"/>
      <c r="AF276" s="24"/>
      <c r="AG276" s="23"/>
      <c r="AH276" s="24"/>
      <c r="AI276" s="29" t="str">
        <f aca="false">IF(X276="Not accepted","Maintained",IF(X276="Partially accepted","Partially maintained",IF(X276="Accepted","Reversed",IF(X276="Withdrawn by hospital","Withdrawn by hospital",""))))</f>
        <v/>
      </c>
      <c r="AJ276" s="28" t="str">
        <f aca="false">IF(AI276="","",W276)</f>
        <v/>
      </c>
      <c r="AK276" s="29" t="str">
        <f aca="false">IF(AND(ISNUMBER(T276),ISNUMBER(W276)),W276-T276,"")</f>
        <v/>
      </c>
      <c r="AL276" s="29" t="str">
        <f aca="false">IF(A276="","",SUMIF(Actions!$C$5:$C$1004,A276,Actions!$F$5:$F$1004))</f>
        <v/>
      </c>
      <c r="AM276" s="25"/>
    </row>
    <row r="277" customFormat="false" ht="15" hidden="false" customHeight="false" outlineLevel="0" collapsed="false">
      <c r="A277" s="23"/>
      <c r="B277" s="23"/>
      <c r="C277" s="23"/>
      <c r="D277" s="23"/>
      <c r="E277" s="23"/>
      <c r="F277" s="23"/>
      <c r="G277" s="23"/>
      <c r="H277" s="23"/>
      <c r="I277" s="23"/>
      <c r="J277" s="23"/>
      <c r="K277" s="24"/>
      <c r="L277" s="23"/>
      <c r="M277" s="25"/>
      <c r="N277" s="25"/>
      <c r="O277" s="23"/>
      <c r="P277" s="26"/>
      <c r="Q277" s="26"/>
      <c r="R277" s="27" t="str">
        <f aca="false">IF(AND(ISNUMBER(P277),ISNUMBER(Q277)),P277-Q277,"")</f>
        <v/>
      </c>
      <c r="S277" s="24"/>
      <c r="T277" s="28" t="str">
        <f aca="false">IF(S277&lt;&gt;"",S277,IF(B277="","",IFERROR(IF(INDEX(Batches!$G$5:$G$64,MATCH(B277,Batches!$A$5:$A$64,0))="","",INDEX(Batches!$G$5:$G$64,MATCH(B277,Batches!$A$5:$A$64,0))),"")))</f>
        <v/>
      </c>
      <c r="U277" s="23"/>
      <c r="V277" s="24"/>
      <c r="W277" s="28" t="str">
        <f aca="false">IF(OR(X277="",X277="Pending"),"",IF(V277&lt;&gt;"",V277,IFERROR(IF(INDEX(Batches!$H$5:$H$64,MATCH(B277,Batches!$A$5:$A$64,0))="","",INDEX(Batches!$H$5:$H$64,MATCH(B277,Batches!$A$5:$A$64,0))),"")))</f>
        <v/>
      </c>
      <c r="X277" s="23"/>
      <c r="Y277" s="23"/>
      <c r="Z277" s="26"/>
      <c r="AA277" s="27" t="str">
        <f aca="false">IF(R277="","",IF(X277="Not accepted",R277,IF(OR(X277="Accepted",X277="Withdrawn by hospital"),IF(X277="Accepted",0,R277),IF(ISNUMBER(Z277),R277-Z277,""))))</f>
        <v/>
      </c>
      <c r="AB277" s="23"/>
      <c r="AC277" s="25"/>
      <c r="AD277" s="23"/>
      <c r="AE277" s="23"/>
      <c r="AF277" s="24"/>
      <c r="AG277" s="23"/>
      <c r="AH277" s="24"/>
      <c r="AI277" s="29" t="str">
        <f aca="false">IF(X277="Not accepted","Maintained",IF(X277="Partially accepted","Partially maintained",IF(X277="Accepted","Reversed",IF(X277="Withdrawn by hospital","Withdrawn by hospital",""))))</f>
        <v/>
      </c>
      <c r="AJ277" s="28" t="str">
        <f aca="false">IF(AI277="","",W277)</f>
        <v/>
      </c>
      <c r="AK277" s="29" t="str">
        <f aca="false">IF(AND(ISNUMBER(T277),ISNUMBER(W277)),W277-T277,"")</f>
        <v/>
      </c>
      <c r="AL277" s="29" t="str">
        <f aca="false">IF(A277="","",SUMIF(Actions!$C$5:$C$1004,A277,Actions!$F$5:$F$1004))</f>
        <v/>
      </c>
      <c r="AM277" s="25"/>
    </row>
    <row r="278" customFormat="false" ht="15" hidden="false" customHeight="false" outlineLevel="0" collapsed="false">
      <c r="A278" s="23"/>
      <c r="B278" s="23"/>
      <c r="C278" s="23"/>
      <c r="D278" s="23"/>
      <c r="E278" s="23"/>
      <c r="F278" s="23"/>
      <c r="G278" s="23"/>
      <c r="H278" s="23"/>
      <c r="I278" s="23"/>
      <c r="J278" s="23"/>
      <c r="K278" s="24"/>
      <c r="L278" s="23"/>
      <c r="M278" s="25"/>
      <c r="N278" s="25"/>
      <c r="O278" s="23"/>
      <c r="P278" s="26"/>
      <c r="Q278" s="26"/>
      <c r="R278" s="27" t="str">
        <f aca="false">IF(AND(ISNUMBER(P278),ISNUMBER(Q278)),P278-Q278,"")</f>
        <v/>
      </c>
      <c r="S278" s="24"/>
      <c r="T278" s="28" t="str">
        <f aca="false">IF(S278&lt;&gt;"",S278,IF(B278="","",IFERROR(IF(INDEX(Batches!$G$5:$G$64,MATCH(B278,Batches!$A$5:$A$64,0))="","",INDEX(Batches!$G$5:$G$64,MATCH(B278,Batches!$A$5:$A$64,0))),"")))</f>
        <v/>
      </c>
      <c r="U278" s="23"/>
      <c r="V278" s="24"/>
      <c r="W278" s="28" t="str">
        <f aca="false">IF(OR(X278="",X278="Pending"),"",IF(V278&lt;&gt;"",V278,IFERROR(IF(INDEX(Batches!$H$5:$H$64,MATCH(B278,Batches!$A$5:$A$64,0))="","",INDEX(Batches!$H$5:$H$64,MATCH(B278,Batches!$A$5:$A$64,0))),"")))</f>
        <v/>
      </c>
      <c r="X278" s="23"/>
      <c r="Y278" s="23"/>
      <c r="Z278" s="26"/>
      <c r="AA278" s="27" t="str">
        <f aca="false">IF(R278="","",IF(X278="Not accepted",R278,IF(OR(X278="Accepted",X278="Withdrawn by hospital"),IF(X278="Accepted",0,R278),IF(ISNUMBER(Z278),R278-Z278,""))))</f>
        <v/>
      </c>
      <c r="AB278" s="23"/>
      <c r="AC278" s="25"/>
      <c r="AD278" s="23"/>
      <c r="AE278" s="23"/>
      <c r="AF278" s="24"/>
      <c r="AG278" s="23"/>
      <c r="AH278" s="24"/>
      <c r="AI278" s="29" t="str">
        <f aca="false">IF(X278="Not accepted","Maintained",IF(X278="Partially accepted","Partially maintained",IF(X278="Accepted","Reversed",IF(X278="Withdrawn by hospital","Withdrawn by hospital",""))))</f>
        <v/>
      </c>
      <c r="AJ278" s="28" t="str">
        <f aca="false">IF(AI278="","",W278)</f>
        <v/>
      </c>
      <c r="AK278" s="29" t="str">
        <f aca="false">IF(AND(ISNUMBER(T278),ISNUMBER(W278)),W278-T278,"")</f>
        <v/>
      </c>
      <c r="AL278" s="29" t="str">
        <f aca="false">IF(A278="","",SUMIF(Actions!$C$5:$C$1004,A278,Actions!$F$5:$F$1004))</f>
        <v/>
      </c>
      <c r="AM278" s="25"/>
    </row>
    <row r="279" customFormat="false" ht="15" hidden="false" customHeight="false" outlineLevel="0" collapsed="false">
      <c r="A279" s="23"/>
      <c r="B279" s="23"/>
      <c r="C279" s="23"/>
      <c r="D279" s="23"/>
      <c r="E279" s="23"/>
      <c r="F279" s="23"/>
      <c r="G279" s="23"/>
      <c r="H279" s="23"/>
      <c r="I279" s="23"/>
      <c r="J279" s="23"/>
      <c r="K279" s="24"/>
      <c r="L279" s="23"/>
      <c r="M279" s="25"/>
      <c r="N279" s="25"/>
      <c r="O279" s="23"/>
      <c r="P279" s="26"/>
      <c r="Q279" s="26"/>
      <c r="R279" s="27" t="str">
        <f aca="false">IF(AND(ISNUMBER(P279),ISNUMBER(Q279)),P279-Q279,"")</f>
        <v/>
      </c>
      <c r="S279" s="24"/>
      <c r="T279" s="28" t="str">
        <f aca="false">IF(S279&lt;&gt;"",S279,IF(B279="","",IFERROR(IF(INDEX(Batches!$G$5:$G$64,MATCH(B279,Batches!$A$5:$A$64,0))="","",INDEX(Batches!$G$5:$G$64,MATCH(B279,Batches!$A$5:$A$64,0))),"")))</f>
        <v/>
      </c>
      <c r="U279" s="23"/>
      <c r="V279" s="24"/>
      <c r="W279" s="28" t="str">
        <f aca="false">IF(OR(X279="",X279="Pending"),"",IF(V279&lt;&gt;"",V279,IFERROR(IF(INDEX(Batches!$H$5:$H$64,MATCH(B279,Batches!$A$5:$A$64,0))="","",INDEX(Batches!$H$5:$H$64,MATCH(B279,Batches!$A$5:$A$64,0))),"")))</f>
        <v/>
      </c>
      <c r="X279" s="23"/>
      <c r="Y279" s="23"/>
      <c r="Z279" s="26"/>
      <c r="AA279" s="27" t="str">
        <f aca="false">IF(R279="","",IF(X279="Not accepted",R279,IF(OR(X279="Accepted",X279="Withdrawn by hospital"),IF(X279="Accepted",0,R279),IF(ISNUMBER(Z279),R279-Z279,""))))</f>
        <v/>
      </c>
      <c r="AB279" s="23"/>
      <c r="AC279" s="25"/>
      <c r="AD279" s="23"/>
      <c r="AE279" s="23"/>
      <c r="AF279" s="24"/>
      <c r="AG279" s="23"/>
      <c r="AH279" s="24"/>
      <c r="AI279" s="29" t="str">
        <f aca="false">IF(X279="Not accepted","Maintained",IF(X279="Partially accepted","Partially maintained",IF(X279="Accepted","Reversed",IF(X279="Withdrawn by hospital","Withdrawn by hospital",""))))</f>
        <v/>
      </c>
      <c r="AJ279" s="28" t="str">
        <f aca="false">IF(AI279="","",W279)</f>
        <v/>
      </c>
      <c r="AK279" s="29" t="str">
        <f aca="false">IF(AND(ISNUMBER(T279),ISNUMBER(W279)),W279-T279,"")</f>
        <v/>
      </c>
      <c r="AL279" s="29" t="str">
        <f aca="false">IF(A279="","",SUMIF(Actions!$C$5:$C$1004,A279,Actions!$F$5:$F$1004))</f>
        <v/>
      </c>
      <c r="AM279" s="25"/>
    </row>
    <row r="280" customFormat="false" ht="15" hidden="false" customHeight="false" outlineLevel="0" collapsed="false">
      <c r="A280" s="23"/>
      <c r="B280" s="23"/>
      <c r="C280" s="23"/>
      <c r="D280" s="23"/>
      <c r="E280" s="23"/>
      <c r="F280" s="23"/>
      <c r="G280" s="23"/>
      <c r="H280" s="23"/>
      <c r="I280" s="23"/>
      <c r="J280" s="23"/>
      <c r="K280" s="24"/>
      <c r="L280" s="23"/>
      <c r="M280" s="25"/>
      <c r="N280" s="25"/>
      <c r="O280" s="23"/>
      <c r="P280" s="26"/>
      <c r="Q280" s="26"/>
      <c r="R280" s="27" t="str">
        <f aca="false">IF(AND(ISNUMBER(P280),ISNUMBER(Q280)),P280-Q280,"")</f>
        <v/>
      </c>
      <c r="S280" s="24"/>
      <c r="T280" s="28" t="str">
        <f aca="false">IF(S280&lt;&gt;"",S280,IF(B280="","",IFERROR(IF(INDEX(Batches!$G$5:$G$64,MATCH(B280,Batches!$A$5:$A$64,0))="","",INDEX(Batches!$G$5:$G$64,MATCH(B280,Batches!$A$5:$A$64,0))),"")))</f>
        <v/>
      </c>
      <c r="U280" s="23"/>
      <c r="V280" s="24"/>
      <c r="W280" s="28" t="str">
        <f aca="false">IF(OR(X280="",X280="Pending"),"",IF(V280&lt;&gt;"",V280,IFERROR(IF(INDEX(Batches!$H$5:$H$64,MATCH(B280,Batches!$A$5:$A$64,0))="","",INDEX(Batches!$H$5:$H$64,MATCH(B280,Batches!$A$5:$A$64,0))),"")))</f>
        <v/>
      </c>
      <c r="X280" s="23"/>
      <c r="Y280" s="23"/>
      <c r="Z280" s="26"/>
      <c r="AA280" s="27" t="str">
        <f aca="false">IF(R280="","",IF(X280="Not accepted",R280,IF(OR(X280="Accepted",X280="Withdrawn by hospital"),IF(X280="Accepted",0,R280),IF(ISNUMBER(Z280),R280-Z280,""))))</f>
        <v/>
      </c>
      <c r="AB280" s="23"/>
      <c r="AC280" s="25"/>
      <c r="AD280" s="23"/>
      <c r="AE280" s="23"/>
      <c r="AF280" s="24"/>
      <c r="AG280" s="23"/>
      <c r="AH280" s="24"/>
      <c r="AI280" s="29" t="str">
        <f aca="false">IF(X280="Not accepted","Maintained",IF(X280="Partially accepted","Partially maintained",IF(X280="Accepted","Reversed",IF(X280="Withdrawn by hospital","Withdrawn by hospital",""))))</f>
        <v/>
      </c>
      <c r="AJ280" s="28" t="str">
        <f aca="false">IF(AI280="","",W280)</f>
        <v/>
      </c>
      <c r="AK280" s="29" t="str">
        <f aca="false">IF(AND(ISNUMBER(T280),ISNUMBER(W280)),W280-T280,"")</f>
        <v/>
      </c>
      <c r="AL280" s="29" t="str">
        <f aca="false">IF(A280="","",SUMIF(Actions!$C$5:$C$1004,A280,Actions!$F$5:$F$1004))</f>
        <v/>
      </c>
      <c r="AM280" s="25"/>
    </row>
    <row r="281" customFormat="false" ht="15" hidden="false" customHeight="false" outlineLevel="0" collapsed="false">
      <c r="A281" s="23"/>
      <c r="B281" s="23"/>
      <c r="C281" s="23"/>
      <c r="D281" s="23"/>
      <c r="E281" s="23"/>
      <c r="F281" s="23"/>
      <c r="G281" s="23"/>
      <c r="H281" s="23"/>
      <c r="I281" s="23"/>
      <c r="J281" s="23"/>
      <c r="K281" s="24"/>
      <c r="L281" s="23"/>
      <c r="M281" s="25"/>
      <c r="N281" s="25"/>
      <c r="O281" s="23"/>
      <c r="P281" s="26"/>
      <c r="Q281" s="26"/>
      <c r="R281" s="27" t="str">
        <f aca="false">IF(AND(ISNUMBER(P281),ISNUMBER(Q281)),P281-Q281,"")</f>
        <v/>
      </c>
      <c r="S281" s="24"/>
      <c r="T281" s="28" t="str">
        <f aca="false">IF(S281&lt;&gt;"",S281,IF(B281="","",IFERROR(IF(INDEX(Batches!$G$5:$G$64,MATCH(B281,Batches!$A$5:$A$64,0))="","",INDEX(Batches!$G$5:$G$64,MATCH(B281,Batches!$A$5:$A$64,0))),"")))</f>
        <v/>
      </c>
      <c r="U281" s="23"/>
      <c r="V281" s="24"/>
      <c r="W281" s="28" t="str">
        <f aca="false">IF(OR(X281="",X281="Pending"),"",IF(V281&lt;&gt;"",V281,IFERROR(IF(INDEX(Batches!$H$5:$H$64,MATCH(B281,Batches!$A$5:$A$64,0))="","",INDEX(Batches!$H$5:$H$64,MATCH(B281,Batches!$A$5:$A$64,0))),"")))</f>
        <v/>
      </c>
      <c r="X281" s="23"/>
      <c r="Y281" s="23"/>
      <c r="Z281" s="26"/>
      <c r="AA281" s="27" t="str">
        <f aca="false">IF(R281="","",IF(X281="Not accepted",R281,IF(OR(X281="Accepted",X281="Withdrawn by hospital"),IF(X281="Accepted",0,R281),IF(ISNUMBER(Z281),R281-Z281,""))))</f>
        <v/>
      </c>
      <c r="AB281" s="23"/>
      <c r="AC281" s="25"/>
      <c r="AD281" s="23"/>
      <c r="AE281" s="23"/>
      <c r="AF281" s="24"/>
      <c r="AG281" s="23"/>
      <c r="AH281" s="24"/>
      <c r="AI281" s="29" t="str">
        <f aca="false">IF(X281="Not accepted","Maintained",IF(X281="Partially accepted","Partially maintained",IF(X281="Accepted","Reversed",IF(X281="Withdrawn by hospital","Withdrawn by hospital",""))))</f>
        <v/>
      </c>
      <c r="AJ281" s="28" t="str">
        <f aca="false">IF(AI281="","",W281)</f>
        <v/>
      </c>
      <c r="AK281" s="29" t="str">
        <f aca="false">IF(AND(ISNUMBER(T281),ISNUMBER(W281)),W281-T281,"")</f>
        <v/>
      </c>
      <c r="AL281" s="29" t="str">
        <f aca="false">IF(A281="","",SUMIF(Actions!$C$5:$C$1004,A281,Actions!$F$5:$F$1004))</f>
        <v/>
      </c>
      <c r="AM281" s="25"/>
    </row>
    <row r="282" customFormat="false" ht="15" hidden="false" customHeight="false" outlineLevel="0" collapsed="false">
      <c r="A282" s="23"/>
      <c r="B282" s="23"/>
      <c r="C282" s="23"/>
      <c r="D282" s="23"/>
      <c r="E282" s="23"/>
      <c r="F282" s="23"/>
      <c r="G282" s="23"/>
      <c r="H282" s="23"/>
      <c r="I282" s="23"/>
      <c r="J282" s="23"/>
      <c r="K282" s="24"/>
      <c r="L282" s="23"/>
      <c r="M282" s="25"/>
      <c r="N282" s="25"/>
      <c r="O282" s="23"/>
      <c r="P282" s="26"/>
      <c r="Q282" s="26"/>
      <c r="R282" s="27" t="str">
        <f aca="false">IF(AND(ISNUMBER(P282),ISNUMBER(Q282)),P282-Q282,"")</f>
        <v/>
      </c>
      <c r="S282" s="24"/>
      <c r="T282" s="28" t="str">
        <f aca="false">IF(S282&lt;&gt;"",S282,IF(B282="","",IFERROR(IF(INDEX(Batches!$G$5:$G$64,MATCH(B282,Batches!$A$5:$A$64,0))="","",INDEX(Batches!$G$5:$G$64,MATCH(B282,Batches!$A$5:$A$64,0))),"")))</f>
        <v/>
      </c>
      <c r="U282" s="23"/>
      <c r="V282" s="24"/>
      <c r="W282" s="28" t="str">
        <f aca="false">IF(OR(X282="",X282="Pending"),"",IF(V282&lt;&gt;"",V282,IFERROR(IF(INDEX(Batches!$H$5:$H$64,MATCH(B282,Batches!$A$5:$A$64,0))="","",INDEX(Batches!$H$5:$H$64,MATCH(B282,Batches!$A$5:$A$64,0))),"")))</f>
        <v/>
      </c>
      <c r="X282" s="23"/>
      <c r="Y282" s="23"/>
      <c r="Z282" s="26"/>
      <c r="AA282" s="27" t="str">
        <f aca="false">IF(R282="","",IF(X282="Not accepted",R282,IF(OR(X282="Accepted",X282="Withdrawn by hospital"),IF(X282="Accepted",0,R282),IF(ISNUMBER(Z282),R282-Z282,""))))</f>
        <v/>
      </c>
      <c r="AB282" s="23"/>
      <c r="AC282" s="25"/>
      <c r="AD282" s="23"/>
      <c r="AE282" s="23"/>
      <c r="AF282" s="24"/>
      <c r="AG282" s="23"/>
      <c r="AH282" s="24"/>
      <c r="AI282" s="29" t="str">
        <f aca="false">IF(X282="Not accepted","Maintained",IF(X282="Partially accepted","Partially maintained",IF(X282="Accepted","Reversed",IF(X282="Withdrawn by hospital","Withdrawn by hospital",""))))</f>
        <v/>
      </c>
      <c r="AJ282" s="28" t="str">
        <f aca="false">IF(AI282="","",W282)</f>
        <v/>
      </c>
      <c r="AK282" s="29" t="str">
        <f aca="false">IF(AND(ISNUMBER(T282),ISNUMBER(W282)),W282-T282,"")</f>
        <v/>
      </c>
      <c r="AL282" s="29" t="str">
        <f aca="false">IF(A282="","",SUMIF(Actions!$C$5:$C$1004,A282,Actions!$F$5:$F$1004))</f>
        <v/>
      </c>
      <c r="AM282" s="25"/>
    </row>
    <row r="283" customFormat="false" ht="15" hidden="false" customHeight="false" outlineLevel="0" collapsed="false">
      <c r="A283" s="23"/>
      <c r="B283" s="23"/>
      <c r="C283" s="23"/>
      <c r="D283" s="23"/>
      <c r="E283" s="23"/>
      <c r="F283" s="23"/>
      <c r="G283" s="23"/>
      <c r="H283" s="23"/>
      <c r="I283" s="23"/>
      <c r="J283" s="23"/>
      <c r="K283" s="24"/>
      <c r="L283" s="23"/>
      <c r="M283" s="25"/>
      <c r="N283" s="25"/>
      <c r="O283" s="23"/>
      <c r="P283" s="26"/>
      <c r="Q283" s="26"/>
      <c r="R283" s="27" t="str">
        <f aca="false">IF(AND(ISNUMBER(P283),ISNUMBER(Q283)),P283-Q283,"")</f>
        <v/>
      </c>
      <c r="S283" s="24"/>
      <c r="T283" s="28" t="str">
        <f aca="false">IF(S283&lt;&gt;"",S283,IF(B283="","",IFERROR(IF(INDEX(Batches!$G$5:$G$64,MATCH(B283,Batches!$A$5:$A$64,0))="","",INDEX(Batches!$G$5:$G$64,MATCH(B283,Batches!$A$5:$A$64,0))),"")))</f>
        <v/>
      </c>
      <c r="U283" s="23"/>
      <c r="V283" s="24"/>
      <c r="W283" s="28" t="str">
        <f aca="false">IF(OR(X283="",X283="Pending"),"",IF(V283&lt;&gt;"",V283,IFERROR(IF(INDEX(Batches!$H$5:$H$64,MATCH(B283,Batches!$A$5:$A$64,0))="","",INDEX(Batches!$H$5:$H$64,MATCH(B283,Batches!$A$5:$A$64,0))),"")))</f>
        <v/>
      </c>
      <c r="X283" s="23"/>
      <c r="Y283" s="23"/>
      <c r="Z283" s="26"/>
      <c r="AA283" s="27" t="str">
        <f aca="false">IF(R283="","",IF(X283="Not accepted",R283,IF(OR(X283="Accepted",X283="Withdrawn by hospital"),IF(X283="Accepted",0,R283),IF(ISNUMBER(Z283),R283-Z283,""))))</f>
        <v/>
      </c>
      <c r="AB283" s="23"/>
      <c r="AC283" s="25"/>
      <c r="AD283" s="23"/>
      <c r="AE283" s="23"/>
      <c r="AF283" s="24"/>
      <c r="AG283" s="23"/>
      <c r="AH283" s="24"/>
      <c r="AI283" s="29" t="str">
        <f aca="false">IF(X283="Not accepted","Maintained",IF(X283="Partially accepted","Partially maintained",IF(X283="Accepted","Reversed",IF(X283="Withdrawn by hospital","Withdrawn by hospital",""))))</f>
        <v/>
      </c>
      <c r="AJ283" s="28" t="str">
        <f aca="false">IF(AI283="","",W283)</f>
        <v/>
      </c>
      <c r="AK283" s="29" t="str">
        <f aca="false">IF(AND(ISNUMBER(T283),ISNUMBER(W283)),W283-T283,"")</f>
        <v/>
      </c>
      <c r="AL283" s="29" t="str">
        <f aca="false">IF(A283="","",SUMIF(Actions!$C$5:$C$1004,A283,Actions!$F$5:$F$1004))</f>
        <v/>
      </c>
      <c r="AM283" s="25"/>
    </row>
    <row r="284" customFormat="false" ht="15" hidden="false" customHeight="false" outlineLevel="0" collapsed="false">
      <c r="A284" s="23"/>
      <c r="B284" s="23"/>
      <c r="C284" s="23"/>
      <c r="D284" s="23"/>
      <c r="E284" s="23"/>
      <c r="F284" s="23"/>
      <c r="G284" s="23"/>
      <c r="H284" s="23"/>
      <c r="I284" s="23"/>
      <c r="J284" s="23"/>
      <c r="K284" s="24"/>
      <c r="L284" s="23"/>
      <c r="M284" s="25"/>
      <c r="N284" s="25"/>
      <c r="O284" s="23"/>
      <c r="P284" s="26"/>
      <c r="Q284" s="26"/>
      <c r="R284" s="27" t="str">
        <f aca="false">IF(AND(ISNUMBER(P284),ISNUMBER(Q284)),P284-Q284,"")</f>
        <v/>
      </c>
      <c r="S284" s="24"/>
      <c r="T284" s="28" t="str">
        <f aca="false">IF(S284&lt;&gt;"",S284,IF(B284="","",IFERROR(IF(INDEX(Batches!$G$5:$G$64,MATCH(B284,Batches!$A$5:$A$64,0))="","",INDEX(Batches!$G$5:$G$64,MATCH(B284,Batches!$A$5:$A$64,0))),"")))</f>
        <v/>
      </c>
      <c r="U284" s="23"/>
      <c r="V284" s="24"/>
      <c r="W284" s="28" t="str">
        <f aca="false">IF(OR(X284="",X284="Pending"),"",IF(V284&lt;&gt;"",V284,IFERROR(IF(INDEX(Batches!$H$5:$H$64,MATCH(B284,Batches!$A$5:$A$64,0))="","",INDEX(Batches!$H$5:$H$64,MATCH(B284,Batches!$A$5:$A$64,0))),"")))</f>
        <v/>
      </c>
      <c r="X284" s="23"/>
      <c r="Y284" s="23"/>
      <c r="Z284" s="26"/>
      <c r="AA284" s="27" t="str">
        <f aca="false">IF(R284="","",IF(X284="Not accepted",R284,IF(OR(X284="Accepted",X284="Withdrawn by hospital"),IF(X284="Accepted",0,R284),IF(ISNUMBER(Z284),R284-Z284,""))))</f>
        <v/>
      </c>
      <c r="AB284" s="23"/>
      <c r="AC284" s="25"/>
      <c r="AD284" s="23"/>
      <c r="AE284" s="23"/>
      <c r="AF284" s="24"/>
      <c r="AG284" s="23"/>
      <c r="AH284" s="24"/>
      <c r="AI284" s="29" t="str">
        <f aca="false">IF(X284="Not accepted","Maintained",IF(X284="Partially accepted","Partially maintained",IF(X284="Accepted","Reversed",IF(X284="Withdrawn by hospital","Withdrawn by hospital",""))))</f>
        <v/>
      </c>
      <c r="AJ284" s="28" t="str">
        <f aca="false">IF(AI284="","",W284)</f>
        <v/>
      </c>
      <c r="AK284" s="29" t="str">
        <f aca="false">IF(AND(ISNUMBER(T284),ISNUMBER(W284)),W284-T284,"")</f>
        <v/>
      </c>
      <c r="AL284" s="29" t="str">
        <f aca="false">IF(A284="","",SUMIF(Actions!$C$5:$C$1004,A284,Actions!$F$5:$F$1004))</f>
        <v/>
      </c>
      <c r="AM284" s="25"/>
    </row>
    <row r="285" customFormat="false" ht="15" hidden="false" customHeight="false" outlineLevel="0" collapsed="false">
      <c r="A285" s="23"/>
      <c r="B285" s="23"/>
      <c r="C285" s="23"/>
      <c r="D285" s="23"/>
      <c r="E285" s="23"/>
      <c r="F285" s="23"/>
      <c r="G285" s="23"/>
      <c r="H285" s="23"/>
      <c r="I285" s="23"/>
      <c r="J285" s="23"/>
      <c r="K285" s="24"/>
      <c r="L285" s="23"/>
      <c r="M285" s="25"/>
      <c r="N285" s="25"/>
      <c r="O285" s="23"/>
      <c r="P285" s="26"/>
      <c r="Q285" s="26"/>
      <c r="R285" s="27" t="str">
        <f aca="false">IF(AND(ISNUMBER(P285),ISNUMBER(Q285)),P285-Q285,"")</f>
        <v/>
      </c>
      <c r="S285" s="24"/>
      <c r="T285" s="28" t="str">
        <f aca="false">IF(S285&lt;&gt;"",S285,IF(B285="","",IFERROR(IF(INDEX(Batches!$G$5:$G$64,MATCH(B285,Batches!$A$5:$A$64,0))="","",INDEX(Batches!$G$5:$G$64,MATCH(B285,Batches!$A$5:$A$64,0))),"")))</f>
        <v/>
      </c>
      <c r="U285" s="23"/>
      <c r="V285" s="24"/>
      <c r="W285" s="28" t="str">
        <f aca="false">IF(OR(X285="",X285="Pending"),"",IF(V285&lt;&gt;"",V285,IFERROR(IF(INDEX(Batches!$H$5:$H$64,MATCH(B285,Batches!$A$5:$A$64,0))="","",INDEX(Batches!$H$5:$H$64,MATCH(B285,Batches!$A$5:$A$64,0))),"")))</f>
        <v/>
      </c>
      <c r="X285" s="23"/>
      <c r="Y285" s="23"/>
      <c r="Z285" s="26"/>
      <c r="AA285" s="27" t="str">
        <f aca="false">IF(R285="","",IF(X285="Not accepted",R285,IF(OR(X285="Accepted",X285="Withdrawn by hospital"),IF(X285="Accepted",0,R285),IF(ISNUMBER(Z285),R285-Z285,""))))</f>
        <v/>
      </c>
      <c r="AB285" s="23"/>
      <c r="AC285" s="25"/>
      <c r="AD285" s="23"/>
      <c r="AE285" s="23"/>
      <c r="AF285" s="24"/>
      <c r="AG285" s="23"/>
      <c r="AH285" s="24"/>
      <c r="AI285" s="29" t="str">
        <f aca="false">IF(X285="Not accepted","Maintained",IF(X285="Partially accepted","Partially maintained",IF(X285="Accepted","Reversed",IF(X285="Withdrawn by hospital","Withdrawn by hospital",""))))</f>
        <v/>
      </c>
      <c r="AJ285" s="28" t="str">
        <f aca="false">IF(AI285="","",W285)</f>
        <v/>
      </c>
      <c r="AK285" s="29" t="str">
        <f aca="false">IF(AND(ISNUMBER(T285),ISNUMBER(W285)),W285-T285,"")</f>
        <v/>
      </c>
      <c r="AL285" s="29" t="str">
        <f aca="false">IF(A285="","",SUMIF(Actions!$C$5:$C$1004,A285,Actions!$F$5:$F$1004))</f>
        <v/>
      </c>
      <c r="AM285" s="25"/>
    </row>
    <row r="286" customFormat="false" ht="15" hidden="false" customHeight="false" outlineLevel="0" collapsed="false">
      <c r="A286" s="23"/>
      <c r="B286" s="23"/>
      <c r="C286" s="23"/>
      <c r="D286" s="23"/>
      <c r="E286" s="23"/>
      <c r="F286" s="23"/>
      <c r="G286" s="23"/>
      <c r="H286" s="23"/>
      <c r="I286" s="23"/>
      <c r="J286" s="23"/>
      <c r="K286" s="24"/>
      <c r="L286" s="23"/>
      <c r="M286" s="25"/>
      <c r="N286" s="25"/>
      <c r="O286" s="23"/>
      <c r="P286" s="26"/>
      <c r="Q286" s="26"/>
      <c r="R286" s="27" t="str">
        <f aca="false">IF(AND(ISNUMBER(P286),ISNUMBER(Q286)),P286-Q286,"")</f>
        <v/>
      </c>
      <c r="S286" s="24"/>
      <c r="T286" s="28" t="str">
        <f aca="false">IF(S286&lt;&gt;"",S286,IF(B286="","",IFERROR(IF(INDEX(Batches!$G$5:$G$64,MATCH(B286,Batches!$A$5:$A$64,0))="","",INDEX(Batches!$G$5:$G$64,MATCH(B286,Batches!$A$5:$A$64,0))),"")))</f>
        <v/>
      </c>
      <c r="U286" s="23"/>
      <c r="V286" s="24"/>
      <c r="W286" s="28" t="str">
        <f aca="false">IF(OR(X286="",X286="Pending"),"",IF(V286&lt;&gt;"",V286,IFERROR(IF(INDEX(Batches!$H$5:$H$64,MATCH(B286,Batches!$A$5:$A$64,0))="","",INDEX(Batches!$H$5:$H$64,MATCH(B286,Batches!$A$5:$A$64,0))),"")))</f>
        <v/>
      </c>
      <c r="X286" s="23"/>
      <c r="Y286" s="23"/>
      <c r="Z286" s="26"/>
      <c r="AA286" s="27" t="str">
        <f aca="false">IF(R286="","",IF(X286="Not accepted",R286,IF(OR(X286="Accepted",X286="Withdrawn by hospital"),IF(X286="Accepted",0,R286),IF(ISNUMBER(Z286),R286-Z286,""))))</f>
        <v/>
      </c>
      <c r="AB286" s="23"/>
      <c r="AC286" s="25"/>
      <c r="AD286" s="23"/>
      <c r="AE286" s="23"/>
      <c r="AF286" s="24"/>
      <c r="AG286" s="23"/>
      <c r="AH286" s="24"/>
      <c r="AI286" s="29" t="str">
        <f aca="false">IF(X286="Not accepted","Maintained",IF(X286="Partially accepted","Partially maintained",IF(X286="Accepted","Reversed",IF(X286="Withdrawn by hospital","Withdrawn by hospital",""))))</f>
        <v/>
      </c>
      <c r="AJ286" s="28" t="str">
        <f aca="false">IF(AI286="","",W286)</f>
        <v/>
      </c>
      <c r="AK286" s="29" t="str">
        <f aca="false">IF(AND(ISNUMBER(T286),ISNUMBER(W286)),W286-T286,"")</f>
        <v/>
      </c>
      <c r="AL286" s="29" t="str">
        <f aca="false">IF(A286="","",SUMIF(Actions!$C$5:$C$1004,A286,Actions!$F$5:$F$1004))</f>
        <v/>
      </c>
      <c r="AM286" s="25"/>
    </row>
    <row r="287" customFormat="false" ht="15" hidden="false" customHeight="false" outlineLevel="0" collapsed="false">
      <c r="A287" s="23"/>
      <c r="B287" s="23"/>
      <c r="C287" s="23"/>
      <c r="D287" s="23"/>
      <c r="E287" s="23"/>
      <c r="F287" s="23"/>
      <c r="G287" s="23"/>
      <c r="H287" s="23"/>
      <c r="I287" s="23"/>
      <c r="J287" s="23"/>
      <c r="K287" s="24"/>
      <c r="L287" s="23"/>
      <c r="M287" s="25"/>
      <c r="N287" s="25"/>
      <c r="O287" s="23"/>
      <c r="P287" s="26"/>
      <c r="Q287" s="26"/>
      <c r="R287" s="27" t="str">
        <f aca="false">IF(AND(ISNUMBER(P287),ISNUMBER(Q287)),P287-Q287,"")</f>
        <v/>
      </c>
      <c r="S287" s="24"/>
      <c r="T287" s="28" t="str">
        <f aca="false">IF(S287&lt;&gt;"",S287,IF(B287="","",IFERROR(IF(INDEX(Batches!$G$5:$G$64,MATCH(B287,Batches!$A$5:$A$64,0))="","",INDEX(Batches!$G$5:$G$64,MATCH(B287,Batches!$A$5:$A$64,0))),"")))</f>
        <v/>
      </c>
      <c r="U287" s="23"/>
      <c r="V287" s="24"/>
      <c r="W287" s="28" t="str">
        <f aca="false">IF(OR(X287="",X287="Pending"),"",IF(V287&lt;&gt;"",V287,IFERROR(IF(INDEX(Batches!$H$5:$H$64,MATCH(B287,Batches!$A$5:$A$64,0))="","",INDEX(Batches!$H$5:$H$64,MATCH(B287,Batches!$A$5:$A$64,0))),"")))</f>
        <v/>
      </c>
      <c r="X287" s="23"/>
      <c r="Y287" s="23"/>
      <c r="Z287" s="26"/>
      <c r="AA287" s="27" t="str">
        <f aca="false">IF(R287="","",IF(X287="Not accepted",R287,IF(OR(X287="Accepted",X287="Withdrawn by hospital"),IF(X287="Accepted",0,R287),IF(ISNUMBER(Z287),R287-Z287,""))))</f>
        <v/>
      </c>
      <c r="AB287" s="23"/>
      <c r="AC287" s="25"/>
      <c r="AD287" s="23"/>
      <c r="AE287" s="23"/>
      <c r="AF287" s="24"/>
      <c r="AG287" s="23"/>
      <c r="AH287" s="24"/>
      <c r="AI287" s="29" t="str">
        <f aca="false">IF(X287="Not accepted","Maintained",IF(X287="Partially accepted","Partially maintained",IF(X287="Accepted","Reversed",IF(X287="Withdrawn by hospital","Withdrawn by hospital",""))))</f>
        <v/>
      </c>
      <c r="AJ287" s="28" t="str">
        <f aca="false">IF(AI287="","",W287)</f>
        <v/>
      </c>
      <c r="AK287" s="29" t="str">
        <f aca="false">IF(AND(ISNUMBER(T287),ISNUMBER(W287)),W287-T287,"")</f>
        <v/>
      </c>
      <c r="AL287" s="29" t="str">
        <f aca="false">IF(A287="","",SUMIF(Actions!$C$5:$C$1004,A287,Actions!$F$5:$F$1004))</f>
        <v/>
      </c>
      <c r="AM287" s="25"/>
    </row>
    <row r="288" customFormat="false" ht="15" hidden="false" customHeight="false" outlineLevel="0" collapsed="false">
      <c r="A288" s="23"/>
      <c r="B288" s="23"/>
      <c r="C288" s="23"/>
      <c r="D288" s="23"/>
      <c r="E288" s="23"/>
      <c r="F288" s="23"/>
      <c r="G288" s="23"/>
      <c r="H288" s="23"/>
      <c r="I288" s="23"/>
      <c r="J288" s="23"/>
      <c r="K288" s="24"/>
      <c r="L288" s="23"/>
      <c r="M288" s="25"/>
      <c r="N288" s="25"/>
      <c r="O288" s="23"/>
      <c r="P288" s="26"/>
      <c r="Q288" s="26"/>
      <c r="R288" s="27" t="str">
        <f aca="false">IF(AND(ISNUMBER(P288),ISNUMBER(Q288)),P288-Q288,"")</f>
        <v/>
      </c>
      <c r="S288" s="24"/>
      <c r="T288" s="28" t="str">
        <f aca="false">IF(S288&lt;&gt;"",S288,IF(B288="","",IFERROR(IF(INDEX(Batches!$G$5:$G$64,MATCH(B288,Batches!$A$5:$A$64,0))="","",INDEX(Batches!$G$5:$G$64,MATCH(B288,Batches!$A$5:$A$64,0))),"")))</f>
        <v/>
      </c>
      <c r="U288" s="23"/>
      <c r="V288" s="24"/>
      <c r="W288" s="28" t="str">
        <f aca="false">IF(OR(X288="",X288="Pending"),"",IF(V288&lt;&gt;"",V288,IFERROR(IF(INDEX(Batches!$H$5:$H$64,MATCH(B288,Batches!$A$5:$A$64,0))="","",INDEX(Batches!$H$5:$H$64,MATCH(B288,Batches!$A$5:$A$64,0))),"")))</f>
        <v/>
      </c>
      <c r="X288" s="23"/>
      <c r="Y288" s="23"/>
      <c r="Z288" s="26"/>
      <c r="AA288" s="27" t="str">
        <f aca="false">IF(R288="","",IF(X288="Not accepted",R288,IF(OR(X288="Accepted",X288="Withdrawn by hospital"),IF(X288="Accepted",0,R288),IF(ISNUMBER(Z288),R288-Z288,""))))</f>
        <v/>
      </c>
      <c r="AB288" s="23"/>
      <c r="AC288" s="25"/>
      <c r="AD288" s="23"/>
      <c r="AE288" s="23"/>
      <c r="AF288" s="24"/>
      <c r="AG288" s="23"/>
      <c r="AH288" s="24"/>
      <c r="AI288" s="29" t="str">
        <f aca="false">IF(X288="Not accepted","Maintained",IF(X288="Partially accepted","Partially maintained",IF(X288="Accepted","Reversed",IF(X288="Withdrawn by hospital","Withdrawn by hospital",""))))</f>
        <v/>
      </c>
      <c r="AJ288" s="28" t="str">
        <f aca="false">IF(AI288="","",W288)</f>
        <v/>
      </c>
      <c r="AK288" s="29" t="str">
        <f aca="false">IF(AND(ISNUMBER(T288),ISNUMBER(W288)),W288-T288,"")</f>
        <v/>
      </c>
      <c r="AL288" s="29" t="str">
        <f aca="false">IF(A288="","",SUMIF(Actions!$C$5:$C$1004,A288,Actions!$F$5:$F$1004))</f>
        <v/>
      </c>
      <c r="AM288" s="25"/>
    </row>
    <row r="289" customFormat="false" ht="15" hidden="false" customHeight="false" outlineLevel="0" collapsed="false">
      <c r="A289" s="23"/>
      <c r="B289" s="23"/>
      <c r="C289" s="23"/>
      <c r="D289" s="23"/>
      <c r="E289" s="23"/>
      <c r="F289" s="23"/>
      <c r="G289" s="23"/>
      <c r="H289" s="23"/>
      <c r="I289" s="23"/>
      <c r="J289" s="23"/>
      <c r="K289" s="24"/>
      <c r="L289" s="23"/>
      <c r="M289" s="25"/>
      <c r="N289" s="25"/>
      <c r="O289" s="23"/>
      <c r="P289" s="26"/>
      <c r="Q289" s="26"/>
      <c r="R289" s="27" t="str">
        <f aca="false">IF(AND(ISNUMBER(P289),ISNUMBER(Q289)),P289-Q289,"")</f>
        <v/>
      </c>
      <c r="S289" s="24"/>
      <c r="T289" s="28" t="str">
        <f aca="false">IF(S289&lt;&gt;"",S289,IF(B289="","",IFERROR(IF(INDEX(Batches!$G$5:$G$64,MATCH(B289,Batches!$A$5:$A$64,0))="","",INDEX(Batches!$G$5:$G$64,MATCH(B289,Batches!$A$5:$A$64,0))),"")))</f>
        <v/>
      </c>
      <c r="U289" s="23"/>
      <c r="V289" s="24"/>
      <c r="W289" s="28" t="str">
        <f aca="false">IF(OR(X289="",X289="Pending"),"",IF(V289&lt;&gt;"",V289,IFERROR(IF(INDEX(Batches!$H$5:$H$64,MATCH(B289,Batches!$A$5:$A$64,0))="","",INDEX(Batches!$H$5:$H$64,MATCH(B289,Batches!$A$5:$A$64,0))),"")))</f>
        <v/>
      </c>
      <c r="X289" s="23"/>
      <c r="Y289" s="23"/>
      <c r="Z289" s="26"/>
      <c r="AA289" s="27" t="str">
        <f aca="false">IF(R289="","",IF(X289="Not accepted",R289,IF(OR(X289="Accepted",X289="Withdrawn by hospital"),IF(X289="Accepted",0,R289),IF(ISNUMBER(Z289),R289-Z289,""))))</f>
        <v/>
      </c>
      <c r="AB289" s="23"/>
      <c r="AC289" s="25"/>
      <c r="AD289" s="23"/>
      <c r="AE289" s="23"/>
      <c r="AF289" s="24"/>
      <c r="AG289" s="23"/>
      <c r="AH289" s="24"/>
      <c r="AI289" s="29" t="str">
        <f aca="false">IF(X289="Not accepted","Maintained",IF(X289="Partially accepted","Partially maintained",IF(X289="Accepted","Reversed",IF(X289="Withdrawn by hospital","Withdrawn by hospital",""))))</f>
        <v/>
      </c>
      <c r="AJ289" s="28" t="str">
        <f aca="false">IF(AI289="","",W289)</f>
        <v/>
      </c>
      <c r="AK289" s="29" t="str">
        <f aca="false">IF(AND(ISNUMBER(T289),ISNUMBER(W289)),W289-T289,"")</f>
        <v/>
      </c>
      <c r="AL289" s="29" t="str">
        <f aca="false">IF(A289="","",SUMIF(Actions!$C$5:$C$1004,A289,Actions!$F$5:$F$1004))</f>
        <v/>
      </c>
      <c r="AM289" s="25"/>
    </row>
    <row r="290" customFormat="false" ht="15" hidden="false" customHeight="false" outlineLevel="0" collapsed="false">
      <c r="A290" s="23"/>
      <c r="B290" s="23"/>
      <c r="C290" s="23"/>
      <c r="D290" s="23"/>
      <c r="E290" s="23"/>
      <c r="F290" s="23"/>
      <c r="G290" s="23"/>
      <c r="H290" s="23"/>
      <c r="I290" s="23"/>
      <c r="J290" s="23"/>
      <c r="K290" s="24"/>
      <c r="L290" s="23"/>
      <c r="M290" s="25"/>
      <c r="N290" s="25"/>
      <c r="O290" s="23"/>
      <c r="P290" s="26"/>
      <c r="Q290" s="26"/>
      <c r="R290" s="27" t="str">
        <f aca="false">IF(AND(ISNUMBER(P290),ISNUMBER(Q290)),P290-Q290,"")</f>
        <v/>
      </c>
      <c r="S290" s="24"/>
      <c r="T290" s="28" t="str">
        <f aca="false">IF(S290&lt;&gt;"",S290,IF(B290="","",IFERROR(IF(INDEX(Batches!$G$5:$G$64,MATCH(B290,Batches!$A$5:$A$64,0))="","",INDEX(Batches!$G$5:$G$64,MATCH(B290,Batches!$A$5:$A$64,0))),"")))</f>
        <v/>
      </c>
      <c r="U290" s="23"/>
      <c r="V290" s="24"/>
      <c r="W290" s="28" t="str">
        <f aca="false">IF(OR(X290="",X290="Pending"),"",IF(V290&lt;&gt;"",V290,IFERROR(IF(INDEX(Batches!$H$5:$H$64,MATCH(B290,Batches!$A$5:$A$64,0))="","",INDEX(Batches!$H$5:$H$64,MATCH(B290,Batches!$A$5:$A$64,0))),"")))</f>
        <v/>
      </c>
      <c r="X290" s="23"/>
      <c r="Y290" s="23"/>
      <c r="Z290" s="26"/>
      <c r="AA290" s="27" t="str">
        <f aca="false">IF(R290="","",IF(X290="Not accepted",R290,IF(OR(X290="Accepted",X290="Withdrawn by hospital"),IF(X290="Accepted",0,R290),IF(ISNUMBER(Z290),R290-Z290,""))))</f>
        <v/>
      </c>
      <c r="AB290" s="23"/>
      <c r="AC290" s="25"/>
      <c r="AD290" s="23"/>
      <c r="AE290" s="23"/>
      <c r="AF290" s="24"/>
      <c r="AG290" s="23"/>
      <c r="AH290" s="24"/>
      <c r="AI290" s="29" t="str">
        <f aca="false">IF(X290="Not accepted","Maintained",IF(X290="Partially accepted","Partially maintained",IF(X290="Accepted","Reversed",IF(X290="Withdrawn by hospital","Withdrawn by hospital",""))))</f>
        <v/>
      </c>
      <c r="AJ290" s="28" t="str">
        <f aca="false">IF(AI290="","",W290)</f>
        <v/>
      </c>
      <c r="AK290" s="29" t="str">
        <f aca="false">IF(AND(ISNUMBER(T290),ISNUMBER(W290)),W290-T290,"")</f>
        <v/>
      </c>
      <c r="AL290" s="29" t="str">
        <f aca="false">IF(A290="","",SUMIF(Actions!$C$5:$C$1004,A290,Actions!$F$5:$F$1004))</f>
        <v/>
      </c>
      <c r="AM290" s="25"/>
    </row>
    <row r="291" customFormat="false" ht="15" hidden="false" customHeight="false" outlineLevel="0" collapsed="false">
      <c r="A291" s="23"/>
      <c r="B291" s="23"/>
      <c r="C291" s="23"/>
      <c r="D291" s="23"/>
      <c r="E291" s="23"/>
      <c r="F291" s="23"/>
      <c r="G291" s="23"/>
      <c r="H291" s="23"/>
      <c r="I291" s="23"/>
      <c r="J291" s="23"/>
      <c r="K291" s="24"/>
      <c r="L291" s="23"/>
      <c r="M291" s="25"/>
      <c r="N291" s="25"/>
      <c r="O291" s="23"/>
      <c r="P291" s="26"/>
      <c r="Q291" s="26"/>
      <c r="R291" s="27" t="str">
        <f aca="false">IF(AND(ISNUMBER(P291),ISNUMBER(Q291)),P291-Q291,"")</f>
        <v/>
      </c>
      <c r="S291" s="24"/>
      <c r="T291" s="28" t="str">
        <f aca="false">IF(S291&lt;&gt;"",S291,IF(B291="","",IFERROR(IF(INDEX(Batches!$G$5:$G$64,MATCH(B291,Batches!$A$5:$A$64,0))="","",INDEX(Batches!$G$5:$G$64,MATCH(B291,Batches!$A$5:$A$64,0))),"")))</f>
        <v/>
      </c>
      <c r="U291" s="23"/>
      <c r="V291" s="24"/>
      <c r="W291" s="28" t="str">
        <f aca="false">IF(OR(X291="",X291="Pending"),"",IF(V291&lt;&gt;"",V291,IFERROR(IF(INDEX(Batches!$H$5:$H$64,MATCH(B291,Batches!$A$5:$A$64,0))="","",INDEX(Batches!$H$5:$H$64,MATCH(B291,Batches!$A$5:$A$64,0))),"")))</f>
        <v/>
      </c>
      <c r="X291" s="23"/>
      <c r="Y291" s="23"/>
      <c r="Z291" s="26"/>
      <c r="AA291" s="27" t="str">
        <f aca="false">IF(R291="","",IF(X291="Not accepted",R291,IF(OR(X291="Accepted",X291="Withdrawn by hospital"),IF(X291="Accepted",0,R291),IF(ISNUMBER(Z291),R291-Z291,""))))</f>
        <v/>
      </c>
      <c r="AB291" s="23"/>
      <c r="AC291" s="25"/>
      <c r="AD291" s="23"/>
      <c r="AE291" s="23"/>
      <c r="AF291" s="24"/>
      <c r="AG291" s="23"/>
      <c r="AH291" s="24"/>
      <c r="AI291" s="29" t="str">
        <f aca="false">IF(X291="Not accepted","Maintained",IF(X291="Partially accepted","Partially maintained",IF(X291="Accepted","Reversed",IF(X291="Withdrawn by hospital","Withdrawn by hospital",""))))</f>
        <v/>
      </c>
      <c r="AJ291" s="28" t="str">
        <f aca="false">IF(AI291="","",W291)</f>
        <v/>
      </c>
      <c r="AK291" s="29" t="str">
        <f aca="false">IF(AND(ISNUMBER(T291),ISNUMBER(W291)),W291-T291,"")</f>
        <v/>
      </c>
      <c r="AL291" s="29" t="str">
        <f aca="false">IF(A291="","",SUMIF(Actions!$C$5:$C$1004,A291,Actions!$F$5:$F$1004))</f>
        <v/>
      </c>
      <c r="AM291" s="25"/>
    </row>
    <row r="292" customFormat="false" ht="15" hidden="false" customHeight="false" outlineLevel="0" collapsed="false">
      <c r="A292" s="23"/>
      <c r="B292" s="23"/>
      <c r="C292" s="23"/>
      <c r="D292" s="23"/>
      <c r="E292" s="23"/>
      <c r="F292" s="23"/>
      <c r="G292" s="23"/>
      <c r="H292" s="23"/>
      <c r="I292" s="23"/>
      <c r="J292" s="23"/>
      <c r="K292" s="24"/>
      <c r="L292" s="23"/>
      <c r="M292" s="25"/>
      <c r="N292" s="25"/>
      <c r="O292" s="23"/>
      <c r="P292" s="26"/>
      <c r="Q292" s="26"/>
      <c r="R292" s="27" t="str">
        <f aca="false">IF(AND(ISNUMBER(P292),ISNUMBER(Q292)),P292-Q292,"")</f>
        <v/>
      </c>
      <c r="S292" s="24"/>
      <c r="T292" s="28" t="str">
        <f aca="false">IF(S292&lt;&gt;"",S292,IF(B292="","",IFERROR(IF(INDEX(Batches!$G$5:$G$64,MATCH(B292,Batches!$A$5:$A$64,0))="","",INDEX(Batches!$G$5:$G$64,MATCH(B292,Batches!$A$5:$A$64,0))),"")))</f>
        <v/>
      </c>
      <c r="U292" s="23"/>
      <c r="V292" s="24"/>
      <c r="W292" s="28" t="str">
        <f aca="false">IF(OR(X292="",X292="Pending"),"",IF(V292&lt;&gt;"",V292,IFERROR(IF(INDEX(Batches!$H$5:$H$64,MATCH(B292,Batches!$A$5:$A$64,0))="","",INDEX(Batches!$H$5:$H$64,MATCH(B292,Batches!$A$5:$A$64,0))),"")))</f>
        <v/>
      </c>
      <c r="X292" s="23"/>
      <c r="Y292" s="23"/>
      <c r="Z292" s="26"/>
      <c r="AA292" s="27" t="str">
        <f aca="false">IF(R292="","",IF(X292="Not accepted",R292,IF(OR(X292="Accepted",X292="Withdrawn by hospital"),IF(X292="Accepted",0,R292),IF(ISNUMBER(Z292),R292-Z292,""))))</f>
        <v/>
      </c>
      <c r="AB292" s="23"/>
      <c r="AC292" s="25"/>
      <c r="AD292" s="23"/>
      <c r="AE292" s="23"/>
      <c r="AF292" s="24"/>
      <c r="AG292" s="23"/>
      <c r="AH292" s="24"/>
      <c r="AI292" s="29" t="str">
        <f aca="false">IF(X292="Not accepted","Maintained",IF(X292="Partially accepted","Partially maintained",IF(X292="Accepted","Reversed",IF(X292="Withdrawn by hospital","Withdrawn by hospital",""))))</f>
        <v/>
      </c>
      <c r="AJ292" s="28" t="str">
        <f aca="false">IF(AI292="","",W292)</f>
        <v/>
      </c>
      <c r="AK292" s="29" t="str">
        <f aca="false">IF(AND(ISNUMBER(T292),ISNUMBER(W292)),W292-T292,"")</f>
        <v/>
      </c>
      <c r="AL292" s="29" t="str">
        <f aca="false">IF(A292="","",SUMIF(Actions!$C$5:$C$1004,A292,Actions!$F$5:$F$1004))</f>
        <v/>
      </c>
      <c r="AM292" s="25"/>
    </row>
    <row r="293" customFormat="false" ht="15" hidden="false" customHeight="false" outlineLevel="0" collapsed="false">
      <c r="A293" s="23"/>
      <c r="B293" s="23"/>
      <c r="C293" s="23"/>
      <c r="D293" s="23"/>
      <c r="E293" s="23"/>
      <c r="F293" s="23"/>
      <c r="G293" s="23"/>
      <c r="H293" s="23"/>
      <c r="I293" s="23"/>
      <c r="J293" s="23"/>
      <c r="K293" s="24"/>
      <c r="L293" s="23"/>
      <c r="M293" s="25"/>
      <c r="N293" s="25"/>
      <c r="O293" s="23"/>
      <c r="P293" s="26"/>
      <c r="Q293" s="26"/>
      <c r="R293" s="27" t="str">
        <f aca="false">IF(AND(ISNUMBER(P293),ISNUMBER(Q293)),P293-Q293,"")</f>
        <v/>
      </c>
      <c r="S293" s="24"/>
      <c r="T293" s="28" t="str">
        <f aca="false">IF(S293&lt;&gt;"",S293,IF(B293="","",IFERROR(IF(INDEX(Batches!$G$5:$G$64,MATCH(B293,Batches!$A$5:$A$64,0))="","",INDEX(Batches!$G$5:$G$64,MATCH(B293,Batches!$A$5:$A$64,0))),"")))</f>
        <v/>
      </c>
      <c r="U293" s="23"/>
      <c r="V293" s="24"/>
      <c r="W293" s="28" t="str">
        <f aca="false">IF(OR(X293="",X293="Pending"),"",IF(V293&lt;&gt;"",V293,IFERROR(IF(INDEX(Batches!$H$5:$H$64,MATCH(B293,Batches!$A$5:$A$64,0))="","",INDEX(Batches!$H$5:$H$64,MATCH(B293,Batches!$A$5:$A$64,0))),"")))</f>
        <v/>
      </c>
      <c r="X293" s="23"/>
      <c r="Y293" s="23"/>
      <c r="Z293" s="26"/>
      <c r="AA293" s="27" t="str">
        <f aca="false">IF(R293="","",IF(X293="Not accepted",R293,IF(OR(X293="Accepted",X293="Withdrawn by hospital"),IF(X293="Accepted",0,R293),IF(ISNUMBER(Z293),R293-Z293,""))))</f>
        <v/>
      </c>
      <c r="AB293" s="23"/>
      <c r="AC293" s="25"/>
      <c r="AD293" s="23"/>
      <c r="AE293" s="23"/>
      <c r="AF293" s="24"/>
      <c r="AG293" s="23"/>
      <c r="AH293" s="24"/>
      <c r="AI293" s="29" t="str">
        <f aca="false">IF(X293="Not accepted","Maintained",IF(X293="Partially accepted","Partially maintained",IF(X293="Accepted","Reversed",IF(X293="Withdrawn by hospital","Withdrawn by hospital",""))))</f>
        <v/>
      </c>
      <c r="AJ293" s="28" t="str">
        <f aca="false">IF(AI293="","",W293)</f>
        <v/>
      </c>
      <c r="AK293" s="29" t="str">
        <f aca="false">IF(AND(ISNUMBER(T293),ISNUMBER(W293)),W293-T293,"")</f>
        <v/>
      </c>
      <c r="AL293" s="29" t="str">
        <f aca="false">IF(A293="","",SUMIF(Actions!$C$5:$C$1004,A293,Actions!$F$5:$F$1004))</f>
        <v/>
      </c>
      <c r="AM293" s="25"/>
    </row>
    <row r="294" customFormat="false" ht="15" hidden="false" customHeight="false" outlineLevel="0" collapsed="false">
      <c r="A294" s="23"/>
      <c r="B294" s="23"/>
      <c r="C294" s="23"/>
      <c r="D294" s="23"/>
      <c r="E294" s="23"/>
      <c r="F294" s="23"/>
      <c r="G294" s="23"/>
      <c r="H294" s="23"/>
      <c r="I294" s="23"/>
      <c r="J294" s="23"/>
      <c r="K294" s="24"/>
      <c r="L294" s="23"/>
      <c r="M294" s="25"/>
      <c r="N294" s="25"/>
      <c r="O294" s="23"/>
      <c r="P294" s="26"/>
      <c r="Q294" s="26"/>
      <c r="R294" s="27" t="str">
        <f aca="false">IF(AND(ISNUMBER(P294),ISNUMBER(Q294)),P294-Q294,"")</f>
        <v/>
      </c>
      <c r="S294" s="24"/>
      <c r="T294" s="28" t="str">
        <f aca="false">IF(S294&lt;&gt;"",S294,IF(B294="","",IFERROR(IF(INDEX(Batches!$G$5:$G$64,MATCH(B294,Batches!$A$5:$A$64,0))="","",INDEX(Batches!$G$5:$G$64,MATCH(B294,Batches!$A$5:$A$64,0))),"")))</f>
        <v/>
      </c>
      <c r="U294" s="23"/>
      <c r="V294" s="24"/>
      <c r="W294" s="28" t="str">
        <f aca="false">IF(OR(X294="",X294="Pending"),"",IF(V294&lt;&gt;"",V294,IFERROR(IF(INDEX(Batches!$H$5:$H$64,MATCH(B294,Batches!$A$5:$A$64,0))="","",INDEX(Batches!$H$5:$H$64,MATCH(B294,Batches!$A$5:$A$64,0))),"")))</f>
        <v/>
      </c>
      <c r="X294" s="23"/>
      <c r="Y294" s="23"/>
      <c r="Z294" s="26"/>
      <c r="AA294" s="27" t="str">
        <f aca="false">IF(R294="","",IF(X294="Not accepted",R294,IF(OR(X294="Accepted",X294="Withdrawn by hospital"),IF(X294="Accepted",0,R294),IF(ISNUMBER(Z294),R294-Z294,""))))</f>
        <v/>
      </c>
      <c r="AB294" s="23"/>
      <c r="AC294" s="25"/>
      <c r="AD294" s="23"/>
      <c r="AE294" s="23"/>
      <c r="AF294" s="24"/>
      <c r="AG294" s="23"/>
      <c r="AH294" s="24"/>
      <c r="AI294" s="29" t="str">
        <f aca="false">IF(X294="Not accepted","Maintained",IF(X294="Partially accepted","Partially maintained",IF(X294="Accepted","Reversed",IF(X294="Withdrawn by hospital","Withdrawn by hospital",""))))</f>
        <v/>
      </c>
      <c r="AJ294" s="28" t="str">
        <f aca="false">IF(AI294="","",W294)</f>
        <v/>
      </c>
      <c r="AK294" s="29" t="str">
        <f aca="false">IF(AND(ISNUMBER(T294),ISNUMBER(W294)),W294-T294,"")</f>
        <v/>
      </c>
      <c r="AL294" s="29" t="str">
        <f aca="false">IF(A294="","",SUMIF(Actions!$C$5:$C$1004,A294,Actions!$F$5:$F$1004))</f>
        <v/>
      </c>
      <c r="AM294" s="25"/>
    </row>
    <row r="295" customFormat="false" ht="15" hidden="false" customHeight="false" outlineLevel="0" collapsed="false">
      <c r="A295" s="23"/>
      <c r="B295" s="23"/>
      <c r="C295" s="23"/>
      <c r="D295" s="23"/>
      <c r="E295" s="23"/>
      <c r="F295" s="23"/>
      <c r="G295" s="23"/>
      <c r="H295" s="23"/>
      <c r="I295" s="23"/>
      <c r="J295" s="23"/>
      <c r="K295" s="24"/>
      <c r="L295" s="23"/>
      <c r="M295" s="25"/>
      <c r="N295" s="25"/>
      <c r="O295" s="23"/>
      <c r="P295" s="26"/>
      <c r="Q295" s="26"/>
      <c r="R295" s="27" t="str">
        <f aca="false">IF(AND(ISNUMBER(P295),ISNUMBER(Q295)),P295-Q295,"")</f>
        <v/>
      </c>
      <c r="S295" s="24"/>
      <c r="T295" s="28" t="str">
        <f aca="false">IF(S295&lt;&gt;"",S295,IF(B295="","",IFERROR(IF(INDEX(Batches!$G$5:$G$64,MATCH(B295,Batches!$A$5:$A$64,0))="","",INDEX(Batches!$G$5:$G$64,MATCH(B295,Batches!$A$5:$A$64,0))),"")))</f>
        <v/>
      </c>
      <c r="U295" s="23"/>
      <c r="V295" s="24"/>
      <c r="W295" s="28" t="str">
        <f aca="false">IF(OR(X295="",X295="Pending"),"",IF(V295&lt;&gt;"",V295,IFERROR(IF(INDEX(Batches!$H$5:$H$64,MATCH(B295,Batches!$A$5:$A$64,0))="","",INDEX(Batches!$H$5:$H$64,MATCH(B295,Batches!$A$5:$A$64,0))),"")))</f>
        <v/>
      </c>
      <c r="X295" s="23"/>
      <c r="Y295" s="23"/>
      <c r="Z295" s="26"/>
      <c r="AA295" s="27" t="str">
        <f aca="false">IF(R295="","",IF(X295="Not accepted",R295,IF(OR(X295="Accepted",X295="Withdrawn by hospital"),IF(X295="Accepted",0,R295),IF(ISNUMBER(Z295),R295-Z295,""))))</f>
        <v/>
      </c>
      <c r="AB295" s="23"/>
      <c r="AC295" s="25"/>
      <c r="AD295" s="23"/>
      <c r="AE295" s="23"/>
      <c r="AF295" s="24"/>
      <c r="AG295" s="23"/>
      <c r="AH295" s="24"/>
      <c r="AI295" s="29" t="str">
        <f aca="false">IF(X295="Not accepted","Maintained",IF(X295="Partially accepted","Partially maintained",IF(X295="Accepted","Reversed",IF(X295="Withdrawn by hospital","Withdrawn by hospital",""))))</f>
        <v/>
      </c>
      <c r="AJ295" s="28" t="str">
        <f aca="false">IF(AI295="","",W295)</f>
        <v/>
      </c>
      <c r="AK295" s="29" t="str">
        <f aca="false">IF(AND(ISNUMBER(T295),ISNUMBER(W295)),W295-T295,"")</f>
        <v/>
      </c>
      <c r="AL295" s="29" t="str">
        <f aca="false">IF(A295="","",SUMIF(Actions!$C$5:$C$1004,A295,Actions!$F$5:$F$1004))</f>
        <v/>
      </c>
      <c r="AM295" s="25"/>
    </row>
    <row r="296" customFormat="false" ht="15" hidden="false" customHeight="false" outlineLevel="0" collapsed="false">
      <c r="A296" s="23"/>
      <c r="B296" s="23"/>
      <c r="C296" s="23"/>
      <c r="D296" s="23"/>
      <c r="E296" s="23"/>
      <c r="F296" s="23"/>
      <c r="G296" s="23"/>
      <c r="H296" s="23"/>
      <c r="I296" s="23"/>
      <c r="J296" s="23"/>
      <c r="K296" s="24"/>
      <c r="L296" s="23"/>
      <c r="M296" s="25"/>
      <c r="N296" s="25"/>
      <c r="O296" s="23"/>
      <c r="P296" s="26"/>
      <c r="Q296" s="26"/>
      <c r="R296" s="27" t="str">
        <f aca="false">IF(AND(ISNUMBER(P296),ISNUMBER(Q296)),P296-Q296,"")</f>
        <v/>
      </c>
      <c r="S296" s="24"/>
      <c r="T296" s="28" t="str">
        <f aca="false">IF(S296&lt;&gt;"",S296,IF(B296="","",IFERROR(IF(INDEX(Batches!$G$5:$G$64,MATCH(B296,Batches!$A$5:$A$64,0))="","",INDEX(Batches!$G$5:$G$64,MATCH(B296,Batches!$A$5:$A$64,0))),"")))</f>
        <v/>
      </c>
      <c r="U296" s="23"/>
      <c r="V296" s="24"/>
      <c r="W296" s="28" t="str">
        <f aca="false">IF(OR(X296="",X296="Pending"),"",IF(V296&lt;&gt;"",V296,IFERROR(IF(INDEX(Batches!$H$5:$H$64,MATCH(B296,Batches!$A$5:$A$64,0))="","",INDEX(Batches!$H$5:$H$64,MATCH(B296,Batches!$A$5:$A$64,0))),"")))</f>
        <v/>
      </c>
      <c r="X296" s="23"/>
      <c r="Y296" s="23"/>
      <c r="Z296" s="26"/>
      <c r="AA296" s="27" t="str">
        <f aca="false">IF(R296="","",IF(X296="Not accepted",R296,IF(OR(X296="Accepted",X296="Withdrawn by hospital"),IF(X296="Accepted",0,R296),IF(ISNUMBER(Z296),R296-Z296,""))))</f>
        <v/>
      </c>
      <c r="AB296" s="23"/>
      <c r="AC296" s="25"/>
      <c r="AD296" s="23"/>
      <c r="AE296" s="23"/>
      <c r="AF296" s="24"/>
      <c r="AG296" s="23"/>
      <c r="AH296" s="24"/>
      <c r="AI296" s="29" t="str">
        <f aca="false">IF(X296="Not accepted","Maintained",IF(X296="Partially accepted","Partially maintained",IF(X296="Accepted","Reversed",IF(X296="Withdrawn by hospital","Withdrawn by hospital",""))))</f>
        <v/>
      </c>
      <c r="AJ296" s="28" t="str">
        <f aca="false">IF(AI296="","",W296)</f>
        <v/>
      </c>
      <c r="AK296" s="29" t="str">
        <f aca="false">IF(AND(ISNUMBER(T296),ISNUMBER(W296)),W296-T296,"")</f>
        <v/>
      </c>
      <c r="AL296" s="29" t="str">
        <f aca="false">IF(A296="","",SUMIF(Actions!$C$5:$C$1004,A296,Actions!$F$5:$F$1004))</f>
        <v/>
      </c>
      <c r="AM296" s="25"/>
    </row>
    <row r="297" customFormat="false" ht="15" hidden="false" customHeight="false" outlineLevel="0" collapsed="false">
      <c r="A297" s="23"/>
      <c r="B297" s="23"/>
      <c r="C297" s="23"/>
      <c r="D297" s="23"/>
      <c r="E297" s="23"/>
      <c r="F297" s="23"/>
      <c r="G297" s="23"/>
      <c r="H297" s="23"/>
      <c r="I297" s="23"/>
      <c r="J297" s="23"/>
      <c r="K297" s="24"/>
      <c r="L297" s="23"/>
      <c r="M297" s="25"/>
      <c r="N297" s="25"/>
      <c r="O297" s="23"/>
      <c r="P297" s="26"/>
      <c r="Q297" s="26"/>
      <c r="R297" s="27" t="str">
        <f aca="false">IF(AND(ISNUMBER(P297),ISNUMBER(Q297)),P297-Q297,"")</f>
        <v/>
      </c>
      <c r="S297" s="24"/>
      <c r="T297" s="28" t="str">
        <f aca="false">IF(S297&lt;&gt;"",S297,IF(B297="","",IFERROR(IF(INDEX(Batches!$G$5:$G$64,MATCH(B297,Batches!$A$5:$A$64,0))="","",INDEX(Batches!$G$5:$G$64,MATCH(B297,Batches!$A$5:$A$64,0))),"")))</f>
        <v/>
      </c>
      <c r="U297" s="23"/>
      <c r="V297" s="24"/>
      <c r="W297" s="28" t="str">
        <f aca="false">IF(OR(X297="",X297="Pending"),"",IF(V297&lt;&gt;"",V297,IFERROR(IF(INDEX(Batches!$H$5:$H$64,MATCH(B297,Batches!$A$5:$A$64,0))="","",INDEX(Batches!$H$5:$H$64,MATCH(B297,Batches!$A$5:$A$64,0))),"")))</f>
        <v/>
      </c>
      <c r="X297" s="23"/>
      <c r="Y297" s="23"/>
      <c r="Z297" s="26"/>
      <c r="AA297" s="27" t="str">
        <f aca="false">IF(R297="","",IF(X297="Not accepted",R297,IF(OR(X297="Accepted",X297="Withdrawn by hospital"),IF(X297="Accepted",0,R297),IF(ISNUMBER(Z297),R297-Z297,""))))</f>
        <v/>
      </c>
      <c r="AB297" s="23"/>
      <c r="AC297" s="25"/>
      <c r="AD297" s="23"/>
      <c r="AE297" s="23"/>
      <c r="AF297" s="24"/>
      <c r="AG297" s="23"/>
      <c r="AH297" s="24"/>
      <c r="AI297" s="29" t="str">
        <f aca="false">IF(X297="Not accepted","Maintained",IF(X297="Partially accepted","Partially maintained",IF(X297="Accepted","Reversed",IF(X297="Withdrawn by hospital","Withdrawn by hospital",""))))</f>
        <v/>
      </c>
      <c r="AJ297" s="28" t="str">
        <f aca="false">IF(AI297="","",W297)</f>
        <v/>
      </c>
      <c r="AK297" s="29" t="str">
        <f aca="false">IF(AND(ISNUMBER(T297),ISNUMBER(W297)),W297-T297,"")</f>
        <v/>
      </c>
      <c r="AL297" s="29" t="str">
        <f aca="false">IF(A297="","",SUMIF(Actions!$C$5:$C$1004,A297,Actions!$F$5:$F$1004))</f>
        <v/>
      </c>
      <c r="AM297" s="25"/>
    </row>
    <row r="298" customFormat="false" ht="15" hidden="false" customHeight="false" outlineLevel="0" collapsed="false">
      <c r="A298" s="23"/>
      <c r="B298" s="23"/>
      <c r="C298" s="23"/>
      <c r="D298" s="23"/>
      <c r="E298" s="23"/>
      <c r="F298" s="23"/>
      <c r="G298" s="23"/>
      <c r="H298" s="23"/>
      <c r="I298" s="23"/>
      <c r="J298" s="23"/>
      <c r="K298" s="24"/>
      <c r="L298" s="23"/>
      <c r="M298" s="25"/>
      <c r="N298" s="25"/>
      <c r="O298" s="23"/>
      <c r="P298" s="26"/>
      <c r="Q298" s="26"/>
      <c r="R298" s="27" t="str">
        <f aca="false">IF(AND(ISNUMBER(P298),ISNUMBER(Q298)),P298-Q298,"")</f>
        <v/>
      </c>
      <c r="S298" s="24"/>
      <c r="T298" s="28" t="str">
        <f aca="false">IF(S298&lt;&gt;"",S298,IF(B298="","",IFERROR(IF(INDEX(Batches!$G$5:$G$64,MATCH(B298,Batches!$A$5:$A$64,0))="","",INDEX(Batches!$G$5:$G$64,MATCH(B298,Batches!$A$5:$A$64,0))),"")))</f>
        <v/>
      </c>
      <c r="U298" s="23"/>
      <c r="V298" s="24"/>
      <c r="W298" s="28" t="str">
        <f aca="false">IF(OR(X298="",X298="Pending"),"",IF(V298&lt;&gt;"",V298,IFERROR(IF(INDEX(Batches!$H$5:$H$64,MATCH(B298,Batches!$A$5:$A$64,0))="","",INDEX(Batches!$H$5:$H$64,MATCH(B298,Batches!$A$5:$A$64,0))),"")))</f>
        <v/>
      </c>
      <c r="X298" s="23"/>
      <c r="Y298" s="23"/>
      <c r="Z298" s="26"/>
      <c r="AA298" s="27" t="str">
        <f aca="false">IF(R298="","",IF(X298="Not accepted",R298,IF(OR(X298="Accepted",X298="Withdrawn by hospital"),IF(X298="Accepted",0,R298),IF(ISNUMBER(Z298),R298-Z298,""))))</f>
        <v/>
      </c>
      <c r="AB298" s="23"/>
      <c r="AC298" s="25"/>
      <c r="AD298" s="23"/>
      <c r="AE298" s="23"/>
      <c r="AF298" s="24"/>
      <c r="AG298" s="23"/>
      <c r="AH298" s="24"/>
      <c r="AI298" s="29" t="str">
        <f aca="false">IF(X298="Not accepted","Maintained",IF(X298="Partially accepted","Partially maintained",IF(X298="Accepted","Reversed",IF(X298="Withdrawn by hospital","Withdrawn by hospital",""))))</f>
        <v/>
      </c>
      <c r="AJ298" s="28" t="str">
        <f aca="false">IF(AI298="","",W298)</f>
        <v/>
      </c>
      <c r="AK298" s="29" t="str">
        <f aca="false">IF(AND(ISNUMBER(T298),ISNUMBER(W298)),W298-T298,"")</f>
        <v/>
      </c>
      <c r="AL298" s="29" t="str">
        <f aca="false">IF(A298="","",SUMIF(Actions!$C$5:$C$1004,A298,Actions!$F$5:$F$1004))</f>
        <v/>
      </c>
      <c r="AM298" s="25"/>
    </row>
    <row r="299" customFormat="false" ht="15" hidden="false" customHeight="false" outlineLevel="0" collapsed="false">
      <c r="A299" s="23"/>
      <c r="B299" s="23"/>
      <c r="C299" s="23"/>
      <c r="D299" s="23"/>
      <c r="E299" s="23"/>
      <c r="F299" s="23"/>
      <c r="G299" s="23"/>
      <c r="H299" s="23"/>
      <c r="I299" s="23"/>
      <c r="J299" s="23"/>
      <c r="K299" s="24"/>
      <c r="L299" s="23"/>
      <c r="M299" s="25"/>
      <c r="N299" s="25"/>
      <c r="O299" s="23"/>
      <c r="P299" s="26"/>
      <c r="Q299" s="26"/>
      <c r="R299" s="27" t="str">
        <f aca="false">IF(AND(ISNUMBER(P299),ISNUMBER(Q299)),P299-Q299,"")</f>
        <v/>
      </c>
      <c r="S299" s="24"/>
      <c r="T299" s="28" t="str">
        <f aca="false">IF(S299&lt;&gt;"",S299,IF(B299="","",IFERROR(IF(INDEX(Batches!$G$5:$G$64,MATCH(B299,Batches!$A$5:$A$64,0))="","",INDEX(Batches!$G$5:$G$64,MATCH(B299,Batches!$A$5:$A$64,0))),"")))</f>
        <v/>
      </c>
      <c r="U299" s="23"/>
      <c r="V299" s="24"/>
      <c r="W299" s="28" t="str">
        <f aca="false">IF(OR(X299="",X299="Pending"),"",IF(V299&lt;&gt;"",V299,IFERROR(IF(INDEX(Batches!$H$5:$H$64,MATCH(B299,Batches!$A$5:$A$64,0))="","",INDEX(Batches!$H$5:$H$64,MATCH(B299,Batches!$A$5:$A$64,0))),"")))</f>
        <v/>
      </c>
      <c r="X299" s="23"/>
      <c r="Y299" s="23"/>
      <c r="Z299" s="26"/>
      <c r="AA299" s="27" t="str">
        <f aca="false">IF(R299="","",IF(X299="Not accepted",R299,IF(OR(X299="Accepted",X299="Withdrawn by hospital"),IF(X299="Accepted",0,R299),IF(ISNUMBER(Z299),R299-Z299,""))))</f>
        <v/>
      </c>
      <c r="AB299" s="23"/>
      <c r="AC299" s="25"/>
      <c r="AD299" s="23"/>
      <c r="AE299" s="23"/>
      <c r="AF299" s="24"/>
      <c r="AG299" s="23"/>
      <c r="AH299" s="24"/>
      <c r="AI299" s="29" t="str">
        <f aca="false">IF(X299="Not accepted","Maintained",IF(X299="Partially accepted","Partially maintained",IF(X299="Accepted","Reversed",IF(X299="Withdrawn by hospital","Withdrawn by hospital",""))))</f>
        <v/>
      </c>
      <c r="AJ299" s="28" t="str">
        <f aca="false">IF(AI299="","",W299)</f>
        <v/>
      </c>
      <c r="AK299" s="29" t="str">
        <f aca="false">IF(AND(ISNUMBER(T299),ISNUMBER(W299)),W299-T299,"")</f>
        <v/>
      </c>
      <c r="AL299" s="29" t="str">
        <f aca="false">IF(A299="","",SUMIF(Actions!$C$5:$C$1004,A299,Actions!$F$5:$F$1004))</f>
        <v/>
      </c>
      <c r="AM299" s="25"/>
    </row>
    <row r="300" customFormat="false" ht="15" hidden="false" customHeight="false" outlineLevel="0" collapsed="false">
      <c r="A300" s="23"/>
      <c r="B300" s="23"/>
      <c r="C300" s="23"/>
      <c r="D300" s="23"/>
      <c r="E300" s="23"/>
      <c r="F300" s="23"/>
      <c r="G300" s="23"/>
      <c r="H300" s="23"/>
      <c r="I300" s="23"/>
      <c r="J300" s="23"/>
      <c r="K300" s="24"/>
      <c r="L300" s="23"/>
      <c r="M300" s="25"/>
      <c r="N300" s="25"/>
      <c r="O300" s="23"/>
      <c r="P300" s="26"/>
      <c r="Q300" s="26"/>
      <c r="R300" s="27" t="str">
        <f aca="false">IF(AND(ISNUMBER(P300),ISNUMBER(Q300)),P300-Q300,"")</f>
        <v/>
      </c>
      <c r="S300" s="24"/>
      <c r="T300" s="28" t="str">
        <f aca="false">IF(S300&lt;&gt;"",S300,IF(B300="","",IFERROR(IF(INDEX(Batches!$G$5:$G$64,MATCH(B300,Batches!$A$5:$A$64,0))="","",INDEX(Batches!$G$5:$G$64,MATCH(B300,Batches!$A$5:$A$64,0))),"")))</f>
        <v/>
      </c>
      <c r="U300" s="23"/>
      <c r="V300" s="24"/>
      <c r="W300" s="28" t="str">
        <f aca="false">IF(OR(X300="",X300="Pending"),"",IF(V300&lt;&gt;"",V300,IFERROR(IF(INDEX(Batches!$H$5:$H$64,MATCH(B300,Batches!$A$5:$A$64,0))="","",INDEX(Batches!$H$5:$H$64,MATCH(B300,Batches!$A$5:$A$64,0))),"")))</f>
        <v/>
      </c>
      <c r="X300" s="23"/>
      <c r="Y300" s="23"/>
      <c r="Z300" s="26"/>
      <c r="AA300" s="27" t="str">
        <f aca="false">IF(R300="","",IF(X300="Not accepted",R300,IF(OR(X300="Accepted",X300="Withdrawn by hospital"),IF(X300="Accepted",0,R300),IF(ISNUMBER(Z300),R300-Z300,""))))</f>
        <v/>
      </c>
      <c r="AB300" s="23"/>
      <c r="AC300" s="25"/>
      <c r="AD300" s="23"/>
      <c r="AE300" s="23"/>
      <c r="AF300" s="24"/>
      <c r="AG300" s="23"/>
      <c r="AH300" s="24"/>
      <c r="AI300" s="29" t="str">
        <f aca="false">IF(X300="Not accepted","Maintained",IF(X300="Partially accepted","Partially maintained",IF(X300="Accepted","Reversed",IF(X300="Withdrawn by hospital","Withdrawn by hospital",""))))</f>
        <v/>
      </c>
      <c r="AJ300" s="28" t="str">
        <f aca="false">IF(AI300="","",W300)</f>
        <v/>
      </c>
      <c r="AK300" s="29" t="str">
        <f aca="false">IF(AND(ISNUMBER(T300),ISNUMBER(W300)),W300-T300,"")</f>
        <v/>
      </c>
      <c r="AL300" s="29" t="str">
        <f aca="false">IF(A300="","",SUMIF(Actions!$C$5:$C$1004,A300,Actions!$F$5:$F$1004))</f>
        <v/>
      </c>
      <c r="AM300" s="25"/>
    </row>
    <row r="301" customFormat="false" ht="15" hidden="false" customHeight="false" outlineLevel="0" collapsed="false">
      <c r="A301" s="23"/>
      <c r="B301" s="23"/>
      <c r="C301" s="23"/>
      <c r="D301" s="23"/>
      <c r="E301" s="23"/>
      <c r="F301" s="23"/>
      <c r="G301" s="23"/>
      <c r="H301" s="23"/>
      <c r="I301" s="23"/>
      <c r="J301" s="23"/>
      <c r="K301" s="24"/>
      <c r="L301" s="23"/>
      <c r="M301" s="25"/>
      <c r="N301" s="25"/>
      <c r="O301" s="23"/>
      <c r="P301" s="26"/>
      <c r="Q301" s="26"/>
      <c r="R301" s="27" t="str">
        <f aca="false">IF(AND(ISNUMBER(P301),ISNUMBER(Q301)),P301-Q301,"")</f>
        <v/>
      </c>
      <c r="S301" s="24"/>
      <c r="T301" s="28" t="str">
        <f aca="false">IF(S301&lt;&gt;"",S301,IF(B301="","",IFERROR(IF(INDEX(Batches!$G$5:$G$64,MATCH(B301,Batches!$A$5:$A$64,0))="","",INDEX(Batches!$G$5:$G$64,MATCH(B301,Batches!$A$5:$A$64,0))),"")))</f>
        <v/>
      </c>
      <c r="U301" s="23"/>
      <c r="V301" s="24"/>
      <c r="W301" s="28" t="str">
        <f aca="false">IF(OR(X301="",X301="Pending"),"",IF(V301&lt;&gt;"",V301,IFERROR(IF(INDEX(Batches!$H$5:$H$64,MATCH(B301,Batches!$A$5:$A$64,0))="","",INDEX(Batches!$H$5:$H$64,MATCH(B301,Batches!$A$5:$A$64,0))),"")))</f>
        <v/>
      </c>
      <c r="X301" s="23"/>
      <c r="Y301" s="23"/>
      <c r="Z301" s="26"/>
      <c r="AA301" s="27" t="str">
        <f aca="false">IF(R301="","",IF(X301="Not accepted",R301,IF(OR(X301="Accepted",X301="Withdrawn by hospital"),IF(X301="Accepted",0,R301),IF(ISNUMBER(Z301),R301-Z301,""))))</f>
        <v/>
      </c>
      <c r="AB301" s="23"/>
      <c r="AC301" s="25"/>
      <c r="AD301" s="23"/>
      <c r="AE301" s="23"/>
      <c r="AF301" s="24"/>
      <c r="AG301" s="23"/>
      <c r="AH301" s="24"/>
      <c r="AI301" s="29" t="str">
        <f aca="false">IF(X301="Not accepted","Maintained",IF(X301="Partially accepted","Partially maintained",IF(X301="Accepted","Reversed",IF(X301="Withdrawn by hospital","Withdrawn by hospital",""))))</f>
        <v/>
      </c>
      <c r="AJ301" s="28" t="str">
        <f aca="false">IF(AI301="","",W301)</f>
        <v/>
      </c>
      <c r="AK301" s="29" t="str">
        <f aca="false">IF(AND(ISNUMBER(T301),ISNUMBER(W301)),W301-T301,"")</f>
        <v/>
      </c>
      <c r="AL301" s="29" t="str">
        <f aca="false">IF(A301="","",SUMIF(Actions!$C$5:$C$1004,A301,Actions!$F$5:$F$1004))</f>
        <v/>
      </c>
      <c r="AM301" s="25"/>
    </row>
    <row r="302" customFormat="false" ht="15" hidden="false" customHeight="false" outlineLevel="0" collapsed="false">
      <c r="A302" s="23"/>
      <c r="B302" s="23"/>
      <c r="C302" s="23"/>
      <c r="D302" s="23"/>
      <c r="E302" s="23"/>
      <c r="F302" s="23"/>
      <c r="G302" s="23"/>
      <c r="H302" s="23"/>
      <c r="I302" s="23"/>
      <c r="J302" s="23"/>
      <c r="K302" s="24"/>
      <c r="L302" s="23"/>
      <c r="M302" s="25"/>
      <c r="N302" s="25"/>
      <c r="O302" s="23"/>
      <c r="P302" s="26"/>
      <c r="Q302" s="26"/>
      <c r="R302" s="27" t="str">
        <f aca="false">IF(AND(ISNUMBER(P302),ISNUMBER(Q302)),P302-Q302,"")</f>
        <v/>
      </c>
      <c r="S302" s="24"/>
      <c r="T302" s="28" t="str">
        <f aca="false">IF(S302&lt;&gt;"",S302,IF(B302="","",IFERROR(IF(INDEX(Batches!$G$5:$G$64,MATCH(B302,Batches!$A$5:$A$64,0))="","",INDEX(Batches!$G$5:$G$64,MATCH(B302,Batches!$A$5:$A$64,0))),"")))</f>
        <v/>
      </c>
      <c r="U302" s="23"/>
      <c r="V302" s="24"/>
      <c r="W302" s="28" t="str">
        <f aca="false">IF(OR(X302="",X302="Pending"),"",IF(V302&lt;&gt;"",V302,IFERROR(IF(INDEX(Batches!$H$5:$H$64,MATCH(B302,Batches!$A$5:$A$64,0))="","",INDEX(Batches!$H$5:$H$64,MATCH(B302,Batches!$A$5:$A$64,0))),"")))</f>
        <v/>
      </c>
      <c r="X302" s="23"/>
      <c r="Y302" s="23"/>
      <c r="Z302" s="26"/>
      <c r="AA302" s="27" t="str">
        <f aca="false">IF(R302="","",IF(X302="Not accepted",R302,IF(OR(X302="Accepted",X302="Withdrawn by hospital"),IF(X302="Accepted",0,R302),IF(ISNUMBER(Z302),R302-Z302,""))))</f>
        <v/>
      </c>
      <c r="AB302" s="23"/>
      <c r="AC302" s="25"/>
      <c r="AD302" s="23"/>
      <c r="AE302" s="23"/>
      <c r="AF302" s="24"/>
      <c r="AG302" s="23"/>
      <c r="AH302" s="24"/>
      <c r="AI302" s="29" t="str">
        <f aca="false">IF(X302="Not accepted","Maintained",IF(X302="Partially accepted","Partially maintained",IF(X302="Accepted","Reversed",IF(X302="Withdrawn by hospital","Withdrawn by hospital",""))))</f>
        <v/>
      </c>
      <c r="AJ302" s="28" t="str">
        <f aca="false">IF(AI302="","",W302)</f>
        <v/>
      </c>
      <c r="AK302" s="29" t="str">
        <f aca="false">IF(AND(ISNUMBER(T302),ISNUMBER(W302)),W302-T302,"")</f>
        <v/>
      </c>
      <c r="AL302" s="29" t="str">
        <f aca="false">IF(A302="","",SUMIF(Actions!$C$5:$C$1004,A302,Actions!$F$5:$F$1004))</f>
        <v/>
      </c>
      <c r="AM302" s="25"/>
    </row>
    <row r="303" customFormat="false" ht="15" hidden="false" customHeight="false" outlineLevel="0" collapsed="false">
      <c r="A303" s="23"/>
      <c r="B303" s="23"/>
      <c r="C303" s="23"/>
      <c r="D303" s="23"/>
      <c r="E303" s="23"/>
      <c r="F303" s="23"/>
      <c r="G303" s="23"/>
      <c r="H303" s="23"/>
      <c r="I303" s="23"/>
      <c r="J303" s="23"/>
      <c r="K303" s="24"/>
      <c r="L303" s="23"/>
      <c r="M303" s="25"/>
      <c r="N303" s="25"/>
      <c r="O303" s="23"/>
      <c r="P303" s="26"/>
      <c r="Q303" s="26"/>
      <c r="R303" s="27" t="str">
        <f aca="false">IF(AND(ISNUMBER(P303),ISNUMBER(Q303)),P303-Q303,"")</f>
        <v/>
      </c>
      <c r="S303" s="24"/>
      <c r="T303" s="28" t="str">
        <f aca="false">IF(S303&lt;&gt;"",S303,IF(B303="","",IFERROR(IF(INDEX(Batches!$G$5:$G$64,MATCH(B303,Batches!$A$5:$A$64,0))="","",INDEX(Batches!$G$5:$G$64,MATCH(B303,Batches!$A$5:$A$64,0))),"")))</f>
        <v/>
      </c>
      <c r="U303" s="23"/>
      <c r="V303" s="24"/>
      <c r="W303" s="28" t="str">
        <f aca="false">IF(OR(X303="",X303="Pending"),"",IF(V303&lt;&gt;"",V303,IFERROR(IF(INDEX(Batches!$H$5:$H$64,MATCH(B303,Batches!$A$5:$A$64,0))="","",INDEX(Batches!$H$5:$H$64,MATCH(B303,Batches!$A$5:$A$64,0))),"")))</f>
        <v/>
      </c>
      <c r="X303" s="23"/>
      <c r="Y303" s="23"/>
      <c r="Z303" s="26"/>
      <c r="AA303" s="27" t="str">
        <f aca="false">IF(R303="","",IF(X303="Not accepted",R303,IF(OR(X303="Accepted",X303="Withdrawn by hospital"),IF(X303="Accepted",0,R303),IF(ISNUMBER(Z303),R303-Z303,""))))</f>
        <v/>
      </c>
      <c r="AB303" s="23"/>
      <c r="AC303" s="25"/>
      <c r="AD303" s="23"/>
      <c r="AE303" s="23"/>
      <c r="AF303" s="24"/>
      <c r="AG303" s="23"/>
      <c r="AH303" s="24"/>
      <c r="AI303" s="29" t="str">
        <f aca="false">IF(X303="Not accepted","Maintained",IF(X303="Partially accepted","Partially maintained",IF(X303="Accepted","Reversed",IF(X303="Withdrawn by hospital","Withdrawn by hospital",""))))</f>
        <v/>
      </c>
      <c r="AJ303" s="28" t="str">
        <f aca="false">IF(AI303="","",W303)</f>
        <v/>
      </c>
      <c r="AK303" s="29" t="str">
        <f aca="false">IF(AND(ISNUMBER(T303),ISNUMBER(W303)),W303-T303,"")</f>
        <v/>
      </c>
      <c r="AL303" s="29" t="str">
        <f aca="false">IF(A303="","",SUMIF(Actions!$C$5:$C$1004,A303,Actions!$F$5:$F$1004))</f>
        <v/>
      </c>
      <c r="AM303" s="25"/>
    </row>
    <row r="304" customFormat="false" ht="15" hidden="false" customHeight="false" outlineLevel="0" collapsed="false">
      <c r="A304" s="23"/>
      <c r="B304" s="23"/>
      <c r="C304" s="23"/>
      <c r="D304" s="23"/>
      <c r="E304" s="23"/>
      <c r="F304" s="23"/>
      <c r="G304" s="23"/>
      <c r="H304" s="23"/>
      <c r="I304" s="23"/>
      <c r="J304" s="23"/>
      <c r="K304" s="24"/>
      <c r="L304" s="23"/>
      <c r="M304" s="25"/>
      <c r="N304" s="25"/>
      <c r="O304" s="23"/>
      <c r="P304" s="26"/>
      <c r="Q304" s="26"/>
      <c r="R304" s="27" t="str">
        <f aca="false">IF(AND(ISNUMBER(P304),ISNUMBER(Q304)),P304-Q304,"")</f>
        <v/>
      </c>
      <c r="S304" s="24"/>
      <c r="T304" s="28" t="str">
        <f aca="false">IF(S304&lt;&gt;"",S304,IF(B304="","",IFERROR(IF(INDEX(Batches!$G$5:$G$64,MATCH(B304,Batches!$A$5:$A$64,0))="","",INDEX(Batches!$G$5:$G$64,MATCH(B304,Batches!$A$5:$A$64,0))),"")))</f>
        <v/>
      </c>
      <c r="U304" s="23"/>
      <c r="V304" s="24"/>
      <c r="W304" s="28" t="str">
        <f aca="false">IF(OR(X304="",X304="Pending"),"",IF(V304&lt;&gt;"",V304,IFERROR(IF(INDEX(Batches!$H$5:$H$64,MATCH(B304,Batches!$A$5:$A$64,0))="","",INDEX(Batches!$H$5:$H$64,MATCH(B304,Batches!$A$5:$A$64,0))),"")))</f>
        <v/>
      </c>
      <c r="X304" s="23"/>
      <c r="Y304" s="23"/>
      <c r="Z304" s="26"/>
      <c r="AA304" s="27" t="str">
        <f aca="false">IF(R304="","",IF(X304="Not accepted",R304,IF(OR(X304="Accepted",X304="Withdrawn by hospital"),IF(X304="Accepted",0,R304),IF(ISNUMBER(Z304),R304-Z304,""))))</f>
        <v/>
      </c>
      <c r="AB304" s="23"/>
      <c r="AC304" s="25"/>
      <c r="AD304" s="23"/>
      <c r="AE304" s="23"/>
      <c r="AF304" s="24"/>
      <c r="AG304" s="23"/>
      <c r="AH304" s="24"/>
      <c r="AI304" s="29" t="str">
        <f aca="false">IF(X304="Not accepted","Maintained",IF(X304="Partially accepted","Partially maintained",IF(X304="Accepted","Reversed",IF(X304="Withdrawn by hospital","Withdrawn by hospital",""))))</f>
        <v/>
      </c>
      <c r="AJ304" s="28" t="str">
        <f aca="false">IF(AI304="","",W304)</f>
        <v/>
      </c>
      <c r="AK304" s="29" t="str">
        <f aca="false">IF(AND(ISNUMBER(T304),ISNUMBER(W304)),W304-T304,"")</f>
        <v/>
      </c>
      <c r="AL304" s="29" t="str">
        <f aca="false">IF(A304="","",SUMIF(Actions!$C$5:$C$1004,A304,Actions!$F$5:$F$1004))</f>
        <v/>
      </c>
      <c r="AM304" s="25"/>
    </row>
    <row r="305" customFormat="false" ht="15" hidden="false" customHeight="false" outlineLevel="0" collapsed="false">
      <c r="A305" s="23"/>
      <c r="B305" s="23"/>
      <c r="C305" s="23"/>
      <c r="D305" s="23"/>
      <c r="E305" s="23"/>
      <c r="F305" s="23"/>
      <c r="G305" s="23"/>
      <c r="H305" s="23"/>
      <c r="I305" s="23"/>
      <c r="J305" s="23"/>
      <c r="K305" s="24"/>
      <c r="L305" s="23"/>
      <c r="M305" s="25"/>
      <c r="N305" s="25"/>
      <c r="O305" s="23"/>
      <c r="P305" s="26"/>
      <c r="Q305" s="26"/>
      <c r="R305" s="27" t="str">
        <f aca="false">IF(AND(ISNUMBER(P305),ISNUMBER(Q305)),P305-Q305,"")</f>
        <v/>
      </c>
      <c r="S305" s="24"/>
      <c r="T305" s="28" t="str">
        <f aca="false">IF(S305&lt;&gt;"",S305,IF(B305="","",IFERROR(IF(INDEX(Batches!$G$5:$G$64,MATCH(B305,Batches!$A$5:$A$64,0))="","",INDEX(Batches!$G$5:$G$64,MATCH(B305,Batches!$A$5:$A$64,0))),"")))</f>
        <v/>
      </c>
      <c r="U305" s="23"/>
      <c r="V305" s="24"/>
      <c r="W305" s="28" t="str">
        <f aca="false">IF(OR(X305="",X305="Pending"),"",IF(V305&lt;&gt;"",V305,IFERROR(IF(INDEX(Batches!$H$5:$H$64,MATCH(B305,Batches!$A$5:$A$64,0))="","",INDEX(Batches!$H$5:$H$64,MATCH(B305,Batches!$A$5:$A$64,0))),"")))</f>
        <v/>
      </c>
      <c r="X305" s="23"/>
      <c r="Y305" s="23"/>
      <c r="Z305" s="26"/>
      <c r="AA305" s="27" t="str">
        <f aca="false">IF(R305="","",IF(X305="Not accepted",R305,IF(OR(X305="Accepted",X305="Withdrawn by hospital"),IF(X305="Accepted",0,R305),IF(ISNUMBER(Z305),R305-Z305,""))))</f>
        <v/>
      </c>
      <c r="AB305" s="23"/>
      <c r="AC305" s="25"/>
      <c r="AD305" s="23"/>
      <c r="AE305" s="23"/>
      <c r="AF305" s="24"/>
      <c r="AG305" s="23"/>
      <c r="AH305" s="24"/>
      <c r="AI305" s="29" t="str">
        <f aca="false">IF(X305="Not accepted","Maintained",IF(X305="Partially accepted","Partially maintained",IF(X305="Accepted","Reversed",IF(X305="Withdrawn by hospital","Withdrawn by hospital",""))))</f>
        <v/>
      </c>
      <c r="AJ305" s="28" t="str">
        <f aca="false">IF(AI305="","",W305)</f>
        <v/>
      </c>
      <c r="AK305" s="29" t="str">
        <f aca="false">IF(AND(ISNUMBER(T305),ISNUMBER(W305)),W305-T305,"")</f>
        <v/>
      </c>
      <c r="AL305" s="29" t="str">
        <f aca="false">IF(A305="","",SUMIF(Actions!$C$5:$C$1004,A305,Actions!$F$5:$F$1004))</f>
        <v/>
      </c>
      <c r="AM305" s="25"/>
    </row>
    <row r="306" customFormat="false" ht="15" hidden="false" customHeight="false" outlineLevel="0" collapsed="false">
      <c r="A306" s="23"/>
      <c r="B306" s="23"/>
      <c r="C306" s="23"/>
      <c r="D306" s="23"/>
      <c r="E306" s="23"/>
      <c r="F306" s="23"/>
      <c r="G306" s="23"/>
      <c r="H306" s="23"/>
      <c r="I306" s="23"/>
      <c r="J306" s="23"/>
      <c r="K306" s="24"/>
      <c r="L306" s="23"/>
      <c r="M306" s="25"/>
      <c r="N306" s="25"/>
      <c r="O306" s="23"/>
      <c r="P306" s="26"/>
      <c r="Q306" s="26"/>
      <c r="R306" s="27" t="str">
        <f aca="false">IF(AND(ISNUMBER(P306),ISNUMBER(Q306)),P306-Q306,"")</f>
        <v/>
      </c>
      <c r="S306" s="24"/>
      <c r="T306" s="28" t="str">
        <f aca="false">IF(S306&lt;&gt;"",S306,IF(B306="","",IFERROR(IF(INDEX(Batches!$G$5:$G$64,MATCH(B306,Batches!$A$5:$A$64,0))="","",INDEX(Batches!$G$5:$G$64,MATCH(B306,Batches!$A$5:$A$64,0))),"")))</f>
        <v/>
      </c>
      <c r="U306" s="23"/>
      <c r="V306" s="24"/>
      <c r="W306" s="28" t="str">
        <f aca="false">IF(OR(X306="",X306="Pending"),"",IF(V306&lt;&gt;"",V306,IFERROR(IF(INDEX(Batches!$H$5:$H$64,MATCH(B306,Batches!$A$5:$A$64,0))="","",INDEX(Batches!$H$5:$H$64,MATCH(B306,Batches!$A$5:$A$64,0))),"")))</f>
        <v/>
      </c>
      <c r="X306" s="23"/>
      <c r="Y306" s="23"/>
      <c r="Z306" s="26"/>
      <c r="AA306" s="27" t="str">
        <f aca="false">IF(R306="","",IF(X306="Not accepted",R306,IF(OR(X306="Accepted",X306="Withdrawn by hospital"),IF(X306="Accepted",0,R306),IF(ISNUMBER(Z306),R306-Z306,""))))</f>
        <v/>
      </c>
      <c r="AB306" s="23"/>
      <c r="AC306" s="25"/>
      <c r="AD306" s="23"/>
      <c r="AE306" s="23"/>
      <c r="AF306" s="24"/>
      <c r="AG306" s="23"/>
      <c r="AH306" s="24"/>
      <c r="AI306" s="29" t="str">
        <f aca="false">IF(X306="Not accepted","Maintained",IF(X306="Partially accepted","Partially maintained",IF(X306="Accepted","Reversed",IF(X306="Withdrawn by hospital","Withdrawn by hospital",""))))</f>
        <v/>
      </c>
      <c r="AJ306" s="28" t="str">
        <f aca="false">IF(AI306="","",W306)</f>
        <v/>
      </c>
      <c r="AK306" s="29" t="str">
        <f aca="false">IF(AND(ISNUMBER(T306),ISNUMBER(W306)),W306-T306,"")</f>
        <v/>
      </c>
      <c r="AL306" s="29" t="str">
        <f aca="false">IF(A306="","",SUMIF(Actions!$C$5:$C$1004,A306,Actions!$F$5:$F$1004))</f>
        <v/>
      </c>
      <c r="AM306" s="25"/>
    </row>
    <row r="307" customFormat="false" ht="15" hidden="false" customHeight="false" outlineLevel="0" collapsed="false">
      <c r="A307" s="23"/>
      <c r="B307" s="23"/>
      <c r="C307" s="23"/>
      <c r="D307" s="23"/>
      <c r="E307" s="23"/>
      <c r="F307" s="23"/>
      <c r="G307" s="23"/>
      <c r="H307" s="23"/>
      <c r="I307" s="23"/>
      <c r="J307" s="23"/>
      <c r="K307" s="24"/>
      <c r="L307" s="23"/>
      <c r="M307" s="25"/>
      <c r="N307" s="25"/>
      <c r="O307" s="23"/>
      <c r="P307" s="26"/>
      <c r="Q307" s="26"/>
      <c r="R307" s="27" t="str">
        <f aca="false">IF(AND(ISNUMBER(P307),ISNUMBER(Q307)),P307-Q307,"")</f>
        <v/>
      </c>
      <c r="S307" s="24"/>
      <c r="T307" s="28" t="str">
        <f aca="false">IF(S307&lt;&gt;"",S307,IF(B307="","",IFERROR(IF(INDEX(Batches!$G$5:$G$64,MATCH(B307,Batches!$A$5:$A$64,0))="","",INDEX(Batches!$G$5:$G$64,MATCH(B307,Batches!$A$5:$A$64,0))),"")))</f>
        <v/>
      </c>
      <c r="U307" s="23"/>
      <c r="V307" s="24"/>
      <c r="W307" s="28" t="str">
        <f aca="false">IF(OR(X307="",X307="Pending"),"",IF(V307&lt;&gt;"",V307,IFERROR(IF(INDEX(Batches!$H$5:$H$64,MATCH(B307,Batches!$A$5:$A$64,0))="","",INDEX(Batches!$H$5:$H$64,MATCH(B307,Batches!$A$5:$A$64,0))),"")))</f>
        <v/>
      </c>
      <c r="X307" s="23"/>
      <c r="Y307" s="23"/>
      <c r="Z307" s="26"/>
      <c r="AA307" s="27" t="str">
        <f aca="false">IF(R307="","",IF(X307="Not accepted",R307,IF(OR(X307="Accepted",X307="Withdrawn by hospital"),IF(X307="Accepted",0,R307),IF(ISNUMBER(Z307),R307-Z307,""))))</f>
        <v/>
      </c>
      <c r="AB307" s="23"/>
      <c r="AC307" s="25"/>
      <c r="AD307" s="23"/>
      <c r="AE307" s="23"/>
      <c r="AF307" s="24"/>
      <c r="AG307" s="23"/>
      <c r="AH307" s="24"/>
      <c r="AI307" s="29" t="str">
        <f aca="false">IF(X307="Not accepted","Maintained",IF(X307="Partially accepted","Partially maintained",IF(X307="Accepted","Reversed",IF(X307="Withdrawn by hospital","Withdrawn by hospital",""))))</f>
        <v/>
      </c>
      <c r="AJ307" s="28" t="str">
        <f aca="false">IF(AI307="","",W307)</f>
        <v/>
      </c>
      <c r="AK307" s="29" t="str">
        <f aca="false">IF(AND(ISNUMBER(T307),ISNUMBER(W307)),W307-T307,"")</f>
        <v/>
      </c>
      <c r="AL307" s="29" t="str">
        <f aca="false">IF(A307="","",SUMIF(Actions!$C$5:$C$1004,A307,Actions!$F$5:$F$1004))</f>
        <v/>
      </c>
      <c r="AM307" s="25"/>
    </row>
    <row r="308" customFormat="false" ht="15" hidden="false" customHeight="false" outlineLevel="0" collapsed="false">
      <c r="A308" s="23"/>
      <c r="B308" s="23"/>
      <c r="C308" s="23"/>
      <c r="D308" s="23"/>
      <c r="E308" s="23"/>
      <c r="F308" s="23"/>
      <c r="G308" s="23"/>
      <c r="H308" s="23"/>
      <c r="I308" s="23"/>
      <c r="J308" s="23"/>
      <c r="K308" s="24"/>
      <c r="L308" s="23"/>
      <c r="M308" s="25"/>
      <c r="N308" s="25"/>
      <c r="O308" s="23"/>
      <c r="P308" s="26"/>
      <c r="Q308" s="26"/>
      <c r="R308" s="27" t="str">
        <f aca="false">IF(AND(ISNUMBER(P308),ISNUMBER(Q308)),P308-Q308,"")</f>
        <v/>
      </c>
      <c r="S308" s="24"/>
      <c r="T308" s="28" t="str">
        <f aca="false">IF(S308&lt;&gt;"",S308,IF(B308="","",IFERROR(IF(INDEX(Batches!$G$5:$G$64,MATCH(B308,Batches!$A$5:$A$64,0))="","",INDEX(Batches!$G$5:$G$64,MATCH(B308,Batches!$A$5:$A$64,0))),"")))</f>
        <v/>
      </c>
      <c r="U308" s="23"/>
      <c r="V308" s="24"/>
      <c r="W308" s="28" t="str">
        <f aca="false">IF(OR(X308="",X308="Pending"),"",IF(V308&lt;&gt;"",V308,IFERROR(IF(INDEX(Batches!$H$5:$H$64,MATCH(B308,Batches!$A$5:$A$64,0))="","",INDEX(Batches!$H$5:$H$64,MATCH(B308,Batches!$A$5:$A$64,0))),"")))</f>
        <v/>
      </c>
      <c r="X308" s="23"/>
      <c r="Y308" s="23"/>
      <c r="Z308" s="26"/>
      <c r="AA308" s="27" t="str">
        <f aca="false">IF(R308="","",IF(X308="Not accepted",R308,IF(OR(X308="Accepted",X308="Withdrawn by hospital"),IF(X308="Accepted",0,R308),IF(ISNUMBER(Z308),R308-Z308,""))))</f>
        <v/>
      </c>
      <c r="AB308" s="23"/>
      <c r="AC308" s="25"/>
      <c r="AD308" s="23"/>
      <c r="AE308" s="23"/>
      <c r="AF308" s="24"/>
      <c r="AG308" s="23"/>
      <c r="AH308" s="24"/>
      <c r="AI308" s="29" t="str">
        <f aca="false">IF(X308="Not accepted","Maintained",IF(X308="Partially accepted","Partially maintained",IF(X308="Accepted","Reversed",IF(X308="Withdrawn by hospital","Withdrawn by hospital",""))))</f>
        <v/>
      </c>
      <c r="AJ308" s="28" t="str">
        <f aca="false">IF(AI308="","",W308)</f>
        <v/>
      </c>
      <c r="AK308" s="29" t="str">
        <f aca="false">IF(AND(ISNUMBER(T308),ISNUMBER(W308)),W308-T308,"")</f>
        <v/>
      </c>
      <c r="AL308" s="29" t="str">
        <f aca="false">IF(A308="","",SUMIF(Actions!$C$5:$C$1004,A308,Actions!$F$5:$F$1004))</f>
        <v/>
      </c>
      <c r="AM308" s="25"/>
    </row>
    <row r="309" customFormat="false" ht="15" hidden="false" customHeight="false" outlineLevel="0" collapsed="false">
      <c r="A309" s="23"/>
      <c r="B309" s="23"/>
      <c r="C309" s="23"/>
      <c r="D309" s="23"/>
      <c r="E309" s="23"/>
      <c r="F309" s="23"/>
      <c r="G309" s="23"/>
      <c r="H309" s="23"/>
      <c r="I309" s="23"/>
      <c r="J309" s="23"/>
      <c r="K309" s="24"/>
      <c r="L309" s="23"/>
      <c r="M309" s="25"/>
      <c r="N309" s="25"/>
      <c r="O309" s="23"/>
      <c r="P309" s="26"/>
      <c r="Q309" s="26"/>
      <c r="R309" s="27" t="str">
        <f aca="false">IF(AND(ISNUMBER(P309),ISNUMBER(Q309)),P309-Q309,"")</f>
        <v/>
      </c>
      <c r="S309" s="24"/>
      <c r="T309" s="28" t="str">
        <f aca="false">IF(S309&lt;&gt;"",S309,IF(B309="","",IFERROR(IF(INDEX(Batches!$G$5:$G$64,MATCH(B309,Batches!$A$5:$A$64,0))="","",INDEX(Batches!$G$5:$G$64,MATCH(B309,Batches!$A$5:$A$64,0))),"")))</f>
        <v/>
      </c>
      <c r="U309" s="23"/>
      <c r="V309" s="24"/>
      <c r="W309" s="28" t="str">
        <f aca="false">IF(OR(X309="",X309="Pending"),"",IF(V309&lt;&gt;"",V309,IFERROR(IF(INDEX(Batches!$H$5:$H$64,MATCH(B309,Batches!$A$5:$A$64,0))="","",INDEX(Batches!$H$5:$H$64,MATCH(B309,Batches!$A$5:$A$64,0))),"")))</f>
        <v/>
      </c>
      <c r="X309" s="23"/>
      <c r="Y309" s="23"/>
      <c r="Z309" s="26"/>
      <c r="AA309" s="27" t="str">
        <f aca="false">IF(R309="","",IF(X309="Not accepted",R309,IF(OR(X309="Accepted",X309="Withdrawn by hospital"),IF(X309="Accepted",0,R309),IF(ISNUMBER(Z309),R309-Z309,""))))</f>
        <v/>
      </c>
      <c r="AB309" s="23"/>
      <c r="AC309" s="25"/>
      <c r="AD309" s="23"/>
      <c r="AE309" s="23"/>
      <c r="AF309" s="24"/>
      <c r="AG309" s="23"/>
      <c r="AH309" s="24"/>
      <c r="AI309" s="29" t="str">
        <f aca="false">IF(X309="Not accepted","Maintained",IF(X309="Partially accepted","Partially maintained",IF(X309="Accepted","Reversed",IF(X309="Withdrawn by hospital","Withdrawn by hospital",""))))</f>
        <v/>
      </c>
      <c r="AJ309" s="28" t="str">
        <f aca="false">IF(AI309="","",W309)</f>
        <v/>
      </c>
      <c r="AK309" s="29" t="str">
        <f aca="false">IF(AND(ISNUMBER(T309),ISNUMBER(W309)),W309-T309,"")</f>
        <v/>
      </c>
      <c r="AL309" s="29" t="str">
        <f aca="false">IF(A309="","",SUMIF(Actions!$C$5:$C$1004,A309,Actions!$F$5:$F$1004))</f>
        <v/>
      </c>
      <c r="AM309" s="25"/>
    </row>
    <row r="310" customFormat="false" ht="15" hidden="false" customHeight="false" outlineLevel="0" collapsed="false">
      <c r="A310" s="23"/>
      <c r="B310" s="23"/>
      <c r="C310" s="23"/>
      <c r="D310" s="23"/>
      <c r="E310" s="23"/>
      <c r="F310" s="23"/>
      <c r="G310" s="23"/>
      <c r="H310" s="23"/>
      <c r="I310" s="23"/>
      <c r="J310" s="23"/>
      <c r="K310" s="24"/>
      <c r="L310" s="23"/>
      <c r="M310" s="25"/>
      <c r="N310" s="25"/>
      <c r="O310" s="23"/>
      <c r="P310" s="26"/>
      <c r="Q310" s="26"/>
      <c r="R310" s="27" t="str">
        <f aca="false">IF(AND(ISNUMBER(P310),ISNUMBER(Q310)),P310-Q310,"")</f>
        <v/>
      </c>
      <c r="S310" s="24"/>
      <c r="T310" s="28" t="str">
        <f aca="false">IF(S310&lt;&gt;"",S310,IF(B310="","",IFERROR(IF(INDEX(Batches!$G$5:$G$64,MATCH(B310,Batches!$A$5:$A$64,0))="","",INDEX(Batches!$G$5:$G$64,MATCH(B310,Batches!$A$5:$A$64,0))),"")))</f>
        <v/>
      </c>
      <c r="U310" s="23"/>
      <c r="V310" s="24"/>
      <c r="W310" s="28" t="str">
        <f aca="false">IF(OR(X310="",X310="Pending"),"",IF(V310&lt;&gt;"",V310,IFERROR(IF(INDEX(Batches!$H$5:$H$64,MATCH(B310,Batches!$A$5:$A$64,0))="","",INDEX(Batches!$H$5:$H$64,MATCH(B310,Batches!$A$5:$A$64,0))),"")))</f>
        <v/>
      </c>
      <c r="X310" s="23"/>
      <c r="Y310" s="23"/>
      <c r="Z310" s="26"/>
      <c r="AA310" s="27" t="str">
        <f aca="false">IF(R310="","",IF(X310="Not accepted",R310,IF(OR(X310="Accepted",X310="Withdrawn by hospital"),IF(X310="Accepted",0,R310),IF(ISNUMBER(Z310),R310-Z310,""))))</f>
        <v/>
      </c>
      <c r="AB310" s="23"/>
      <c r="AC310" s="25"/>
      <c r="AD310" s="23"/>
      <c r="AE310" s="23"/>
      <c r="AF310" s="24"/>
      <c r="AG310" s="23"/>
      <c r="AH310" s="24"/>
      <c r="AI310" s="29" t="str">
        <f aca="false">IF(X310="Not accepted","Maintained",IF(X310="Partially accepted","Partially maintained",IF(X310="Accepted","Reversed",IF(X310="Withdrawn by hospital","Withdrawn by hospital",""))))</f>
        <v/>
      </c>
      <c r="AJ310" s="28" t="str">
        <f aca="false">IF(AI310="","",W310)</f>
        <v/>
      </c>
      <c r="AK310" s="29" t="str">
        <f aca="false">IF(AND(ISNUMBER(T310),ISNUMBER(W310)),W310-T310,"")</f>
        <v/>
      </c>
      <c r="AL310" s="29" t="str">
        <f aca="false">IF(A310="","",SUMIF(Actions!$C$5:$C$1004,A310,Actions!$F$5:$F$1004))</f>
        <v/>
      </c>
      <c r="AM310" s="25"/>
    </row>
    <row r="311" customFormat="false" ht="15" hidden="false" customHeight="false" outlineLevel="0" collapsed="false">
      <c r="A311" s="23"/>
      <c r="B311" s="23"/>
      <c r="C311" s="23"/>
      <c r="D311" s="23"/>
      <c r="E311" s="23"/>
      <c r="F311" s="23"/>
      <c r="G311" s="23"/>
      <c r="H311" s="23"/>
      <c r="I311" s="23"/>
      <c r="J311" s="23"/>
      <c r="K311" s="24"/>
      <c r="L311" s="23"/>
      <c r="M311" s="25"/>
      <c r="N311" s="25"/>
      <c r="O311" s="23"/>
      <c r="P311" s="26"/>
      <c r="Q311" s="26"/>
      <c r="R311" s="27" t="str">
        <f aca="false">IF(AND(ISNUMBER(P311),ISNUMBER(Q311)),P311-Q311,"")</f>
        <v/>
      </c>
      <c r="S311" s="24"/>
      <c r="T311" s="28" t="str">
        <f aca="false">IF(S311&lt;&gt;"",S311,IF(B311="","",IFERROR(IF(INDEX(Batches!$G$5:$G$64,MATCH(B311,Batches!$A$5:$A$64,0))="","",INDEX(Batches!$G$5:$G$64,MATCH(B311,Batches!$A$5:$A$64,0))),"")))</f>
        <v/>
      </c>
      <c r="U311" s="23"/>
      <c r="V311" s="24"/>
      <c r="W311" s="28" t="str">
        <f aca="false">IF(OR(X311="",X311="Pending"),"",IF(V311&lt;&gt;"",V311,IFERROR(IF(INDEX(Batches!$H$5:$H$64,MATCH(B311,Batches!$A$5:$A$64,0))="","",INDEX(Batches!$H$5:$H$64,MATCH(B311,Batches!$A$5:$A$64,0))),"")))</f>
        <v/>
      </c>
      <c r="X311" s="23"/>
      <c r="Y311" s="23"/>
      <c r="Z311" s="26"/>
      <c r="AA311" s="27" t="str">
        <f aca="false">IF(R311="","",IF(X311="Not accepted",R311,IF(OR(X311="Accepted",X311="Withdrawn by hospital"),IF(X311="Accepted",0,R311),IF(ISNUMBER(Z311),R311-Z311,""))))</f>
        <v/>
      </c>
      <c r="AB311" s="23"/>
      <c r="AC311" s="25"/>
      <c r="AD311" s="23"/>
      <c r="AE311" s="23"/>
      <c r="AF311" s="24"/>
      <c r="AG311" s="23"/>
      <c r="AH311" s="24"/>
      <c r="AI311" s="29" t="str">
        <f aca="false">IF(X311="Not accepted","Maintained",IF(X311="Partially accepted","Partially maintained",IF(X311="Accepted","Reversed",IF(X311="Withdrawn by hospital","Withdrawn by hospital",""))))</f>
        <v/>
      </c>
      <c r="AJ311" s="28" t="str">
        <f aca="false">IF(AI311="","",W311)</f>
        <v/>
      </c>
      <c r="AK311" s="29" t="str">
        <f aca="false">IF(AND(ISNUMBER(T311),ISNUMBER(W311)),W311-T311,"")</f>
        <v/>
      </c>
      <c r="AL311" s="29" t="str">
        <f aca="false">IF(A311="","",SUMIF(Actions!$C$5:$C$1004,A311,Actions!$F$5:$F$1004))</f>
        <v/>
      </c>
      <c r="AM311" s="25"/>
    </row>
    <row r="312" customFormat="false" ht="15" hidden="false" customHeight="false" outlineLevel="0" collapsed="false">
      <c r="A312" s="23"/>
      <c r="B312" s="23"/>
      <c r="C312" s="23"/>
      <c r="D312" s="23"/>
      <c r="E312" s="23"/>
      <c r="F312" s="23"/>
      <c r="G312" s="23"/>
      <c r="H312" s="23"/>
      <c r="I312" s="23"/>
      <c r="J312" s="23"/>
      <c r="K312" s="24"/>
      <c r="L312" s="23"/>
      <c r="M312" s="25"/>
      <c r="N312" s="25"/>
      <c r="O312" s="23"/>
      <c r="P312" s="26"/>
      <c r="Q312" s="26"/>
      <c r="R312" s="27" t="str">
        <f aca="false">IF(AND(ISNUMBER(P312),ISNUMBER(Q312)),P312-Q312,"")</f>
        <v/>
      </c>
      <c r="S312" s="24"/>
      <c r="T312" s="28" t="str">
        <f aca="false">IF(S312&lt;&gt;"",S312,IF(B312="","",IFERROR(IF(INDEX(Batches!$G$5:$G$64,MATCH(B312,Batches!$A$5:$A$64,0))="","",INDEX(Batches!$G$5:$G$64,MATCH(B312,Batches!$A$5:$A$64,0))),"")))</f>
        <v/>
      </c>
      <c r="U312" s="23"/>
      <c r="V312" s="24"/>
      <c r="W312" s="28" t="str">
        <f aca="false">IF(OR(X312="",X312="Pending"),"",IF(V312&lt;&gt;"",V312,IFERROR(IF(INDEX(Batches!$H$5:$H$64,MATCH(B312,Batches!$A$5:$A$64,0))="","",INDEX(Batches!$H$5:$H$64,MATCH(B312,Batches!$A$5:$A$64,0))),"")))</f>
        <v/>
      </c>
      <c r="X312" s="23"/>
      <c r="Y312" s="23"/>
      <c r="Z312" s="26"/>
      <c r="AA312" s="27" t="str">
        <f aca="false">IF(R312="","",IF(X312="Not accepted",R312,IF(OR(X312="Accepted",X312="Withdrawn by hospital"),IF(X312="Accepted",0,R312),IF(ISNUMBER(Z312),R312-Z312,""))))</f>
        <v/>
      </c>
      <c r="AB312" s="23"/>
      <c r="AC312" s="25"/>
      <c r="AD312" s="23"/>
      <c r="AE312" s="23"/>
      <c r="AF312" s="24"/>
      <c r="AG312" s="23"/>
      <c r="AH312" s="24"/>
      <c r="AI312" s="29" t="str">
        <f aca="false">IF(X312="Not accepted","Maintained",IF(X312="Partially accepted","Partially maintained",IF(X312="Accepted","Reversed",IF(X312="Withdrawn by hospital","Withdrawn by hospital",""))))</f>
        <v/>
      </c>
      <c r="AJ312" s="28" t="str">
        <f aca="false">IF(AI312="","",W312)</f>
        <v/>
      </c>
      <c r="AK312" s="29" t="str">
        <f aca="false">IF(AND(ISNUMBER(T312),ISNUMBER(W312)),W312-T312,"")</f>
        <v/>
      </c>
      <c r="AL312" s="29" t="str">
        <f aca="false">IF(A312="","",SUMIF(Actions!$C$5:$C$1004,A312,Actions!$F$5:$F$1004))</f>
        <v/>
      </c>
      <c r="AM312" s="25"/>
    </row>
    <row r="313" customFormat="false" ht="15" hidden="false" customHeight="false" outlineLevel="0" collapsed="false">
      <c r="A313" s="23"/>
      <c r="B313" s="23"/>
      <c r="C313" s="23"/>
      <c r="D313" s="23"/>
      <c r="E313" s="23"/>
      <c r="F313" s="23"/>
      <c r="G313" s="23"/>
      <c r="H313" s="23"/>
      <c r="I313" s="23"/>
      <c r="J313" s="23"/>
      <c r="K313" s="24"/>
      <c r="L313" s="23"/>
      <c r="M313" s="25"/>
      <c r="N313" s="25"/>
      <c r="O313" s="23"/>
      <c r="P313" s="26"/>
      <c r="Q313" s="26"/>
      <c r="R313" s="27" t="str">
        <f aca="false">IF(AND(ISNUMBER(P313),ISNUMBER(Q313)),P313-Q313,"")</f>
        <v/>
      </c>
      <c r="S313" s="24"/>
      <c r="T313" s="28" t="str">
        <f aca="false">IF(S313&lt;&gt;"",S313,IF(B313="","",IFERROR(IF(INDEX(Batches!$G$5:$G$64,MATCH(B313,Batches!$A$5:$A$64,0))="","",INDEX(Batches!$G$5:$G$64,MATCH(B313,Batches!$A$5:$A$64,0))),"")))</f>
        <v/>
      </c>
      <c r="U313" s="23"/>
      <c r="V313" s="24"/>
      <c r="W313" s="28" t="str">
        <f aca="false">IF(OR(X313="",X313="Pending"),"",IF(V313&lt;&gt;"",V313,IFERROR(IF(INDEX(Batches!$H$5:$H$64,MATCH(B313,Batches!$A$5:$A$64,0))="","",INDEX(Batches!$H$5:$H$64,MATCH(B313,Batches!$A$5:$A$64,0))),"")))</f>
        <v/>
      </c>
      <c r="X313" s="23"/>
      <c r="Y313" s="23"/>
      <c r="Z313" s="26"/>
      <c r="AA313" s="27" t="str">
        <f aca="false">IF(R313="","",IF(X313="Not accepted",R313,IF(OR(X313="Accepted",X313="Withdrawn by hospital"),IF(X313="Accepted",0,R313),IF(ISNUMBER(Z313),R313-Z313,""))))</f>
        <v/>
      </c>
      <c r="AB313" s="23"/>
      <c r="AC313" s="25"/>
      <c r="AD313" s="23"/>
      <c r="AE313" s="23"/>
      <c r="AF313" s="24"/>
      <c r="AG313" s="23"/>
      <c r="AH313" s="24"/>
      <c r="AI313" s="29" t="str">
        <f aca="false">IF(X313="Not accepted","Maintained",IF(X313="Partially accepted","Partially maintained",IF(X313="Accepted","Reversed",IF(X313="Withdrawn by hospital","Withdrawn by hospital",""))))</f>
        <v/>
      </c>
      <c r="AJ313" s="28" t="str">
        <f aca="false">IF(AI313="","",W313)</f>
        <v/>
      </c>
      <c r="AK313" s="29" t="str">
        <f aca="false">IF(AND(ISNUMBER(T313),ISNUMBER(W313)),W313-T313,"")</f>
        <v/>
      </c>
      <c r="AL313" s="29" t="str">
        <f aca="false">IF(A313="","",SUMIF(Actions!$C$5:$C$1004,A313,Actions!$F$5:$F$1004))</f>
        <v/>
      </c>
      <c r="AM313" s="25"/>
    </row>
    <row r="314" customFormat="false" ht="15" hidden="false" customHeight="false" outlineLevel="0" collapsed="false">
      <c r="A314" s="23"/>
      <c r="B314" s="23"/>
      <c r="C314" s="23"/>
      <c r="D314" s="23"/>
      <c r="E314" s="23"/>
      <c r="F314" s="23"/>
      <c r="G314" s="23"/>
      <c r="H314" s="23"/>
      <c r="I314" s="23"/>
      <c r="J314" s="23"/>
      <c r="K314" s="24"/>
      <c r="L314" s="23"/>
      <c r="M314" s="25"/>
      <c r="N314" s="25"/>
      <c r="O314" s="23"/>
      <c r="P314" s="26"/>
      <c r="Q314" s="26"/>
      <c r="R314" s="27" t="str">
        <f aca="false">IF(AND(ISNUMBER(P314),ISNUMBER(Q314)),P314-Q314,"")</f>
        <v/>
      </c>
      <c r="S314" s="24"/>
      <c r="T314" s="28" t="str">
        <f aca="false">IF(S314&lt;&gt;"",S314,IF(B314="","",IFERROR(IF(INDEX(Batches!$G$5:$G$64,MATCH(B314,Batches!$A$5:$A$64,0))="","",INDEX(Batches!$G$5:$G$64,MATCH(B314,Batches!$A$5:$A$64,0))),"")))</f>
        <v/>
      </c>
      <c r="U314" s="23"/>
      <c r="V314" s="24"/>
      <c r="W314" s="28" t="str">
        <f aca="false">IF(OR(X314="",X314="Pending"),"",IF(V314&lt;&gt;"",V314,IFERROR(IF(INDEX(Batches!$H$5:$H$64,MATCH(B314,Batches!$A$5:$A$64,0))="","",INDEX(Batches!$H$5:$H$64,MATCH(B314,Batches!$A$5:$A$64,0))),"")))</f>
        <v/>
      </c>
      <c r="X314" s="23"/>
      <c r="Y314" s="23"/>
      <c r="Z314" s="26"/>
      <c r="AA314" s="27" t="str">
        <f aca="false">IF(R314="","",IF(X314="Not accepted",R314,IF(OR(X314="Accepted",X314="Withdrawn by hospital"),IF(X314="Accepted",0,R314),IF(ISNUMBER(Z314),R314-Z314,""))))</f>
        <v/>
      </c>
      <c r="AB314" s="23"/>
      <c r="AC314" s="25"/>
      <c r="AD314" s="23"/>
      <c r="AE314" s="23"/>
      <c r="AF314" s="24"/>
      <c r="AG314" s="23"/>
      <c r="AH314" s="24"/>
      <c r="AI314" s="29" t="str">
        <f aca="false">IF(X314="Not accepted","Maintained",IF(X314="Partially accepted","Partially maintained",IF(X314="Accepted","Reversed",IF(X314="Withdrawn by hospital","Withdrawn by hospital",""))))</f>
        <v/>
      </c>
      <c r="AJ314" s="28" t="str">
        <f aca="false">IF(AI314="","",W314)</f>
        <v/>
      </c>
      <c r="AK314" s="29" t="str">
        <f aca="false">IF(AND(ISNUMBER(T314),ISNUMBER(W314)),W314-T314,"")</f>
        <v/>
      </c>
      <c r="AL314" s="29" t="str">
        <f aca="false">IF(A314="","",SUMIF(Actions!$C$5:$C$1004,A314,Actions!$F$5:$F$1004))</f>
        <v/>
      </c>
      <c r="AM314" s="25"/>
    </row>
    <row r="315" customFormat="false" ht="15" hidden="false" customHeight="false" outlineLevel="0" collapsed="false">
      <c r="A315" s="23"/>
      <c r="B315" s="23"/>
      <c r="C315" s="23"/>
      <c r="D315" s="23"/>
      <c r="E315" s="23"/>
      <c r="F315" s="23"/>
      <c r="G315" s="23"/>
      <c r="H315" s="23"/>
      <c r="I315" s="23"/>
      <c r="J315" s="23"/>
      <c r="K315" s="24"/>
      <c r="L315" s="23"/>
      <c r="M315" s="25"/>
      <c r="N315" s="25"/>
      <c r="O315" s="23"/>
      <c r="P315" s="26"/>
      <c r="Q315" s="26"/>
      <c r="R315" s="27" t="str">
        <f aca="false">IF(AND(ISNUMBER(P315),ISNUMBER(Q315)),P315-Q315,"")</f>
        <v/>
      </c>
      <c r="S315" s="24"/>
      <c r="T315" s="28" t="str">
        <f aca="false">IF(S315&lt;&gt;"",S315,IF(B315="","",IFERROR(IF(INDEX(Batches!$G$5:$G$64,MATCH(B315,Batches!$A$5:$A$64,0))="","",INDEX(Batches!$G$5:$G$64,MATCH(B315,Batches!$A$5:$A$64,0))),"")))</f>
        <v/>
      </c>
      <c r="U315" s="23"/>
      <c r="V315" s="24"/>
      <c r="W315" s="28" t="str">
        <f aca="false">IF(OR(X315="",X315="Pending"),"",IF(V315&lt;&gt;"",V315,IFERROR(IF(INDEX(Batches!$H$5:$H$64,MATCH(B315,Batches!$A$5:$A$64,0))="","",INDEX(Batches!$H$5:$H$64,MATCH(B315,Batches!$A$5:$A$64,0))),"")))</f>
        <v/>
      </c>
      <c r="X315" s="23"/>
      <c r="Y315" s="23"/>
      <c r="Z315" s="26"/>
      <c r="AA315" s="27" t="str">
        <f aca="false">IF(R315="","",IF(X315="Not accepted",R315,IF(OR(X315="Accepted",X315="Withdrawn by hospital"),IF(X315="Accepted",0,R315),IF(ISNUMBER(Z315),R315-Z315,""))))</f>
        <v/>
      </c>
      <c r="AB315" s="23"/>
      <c r="AC315" s="25"/>
      <c r="AD315" s="23"/>
      <c r="AE315" s="23"/>
      <c r="AF315" s="24"/>
      <c r="AG315" s="23"/>
      <c r="AH315" s="24"/>
      <c r="AI315" s="29" t="str">
        <f aca="false">IF(X315="Not accepted","Maintained",IF(X315="Partially accepted","Partially maintained",IF(X315="Accepted","Reversed",IF(X315="Withdrawn by hospital","Withdrawn by hospital",""))))</f>
        <v/>
      </c>
      <c r="AJ315" s="28" t="str">
        <f aca="false">IF(AI315="","",W315)</f>
        <v/>
      </c>
      <c r="AK315" s="29" t="str">
        <f aca="false">IF(AND(ISNUMBER(T315),ISNUMBER(W315)),W315-T315,"")</f>
        <v/>
      </c>
      <c r="AL315" s="29" t="str">
        <f aca="false">IF(A315="","",SUMIF(Actions!$C$5:$C$1004,A315,Actions!$F$5:$F$1004))</f>
        <v/>
      </c>
      <c r="AM315" s="25"/>
    </row>
    <row r="316" customFormat="false" ht="15" hidden="false" customHeight="false" outlineLevel="0" collapsed="false">
      <c r="A316" s="23"/>
      <c r="B316" s="23"/>
      <c r="C316" s="23"/>
      <c r="D316" s="23"/>
      <c r="E316" s="23"/>
      <c r="F316" s="23"/>
      <c r="G316" s="23"/>
      <c r="H316" s="23"/>
      <c r="I316" s="23"/>
      <c r="J316" s="23"/>
      <c r="K316" s="24"/>
      <c r="L316" s="23"/>
      <c r="M316" s="25"/>
      <c r="N316" s="25"/>
      <c r="O316" s="23"/>
      <c r="P316" s="26"/>
      <c r="Q316" s="26"/>
      <c r="R316" s="27" t="str">
        <f aca="false">IF(AND(ISNUMBER(P316),ISNUMBER(Q316)),P316-Q316,"")</f>
        <v/>
      </c>
      <c r="S316" s="24"/>
      <c r="T316" s="28" t="str">
        <f aca="false">IF(S316&lt;&gt;"",S316,IF(B316="","",IFERROR(IF(INDEX(Batches!$G$5:$G$64,MATCH(B316,Batches!$A$5:$A$64,0))="","",INDEX(Batches!$G$5:$G$64,MATCH(B316,Batches!$A$5:$A$64,0))),"")))</f>
        <v/>
      </c>
      <c r="U316" s="23"/>
      <c r="V316" s="24"/>
      <c r="W316" s="28" t="str">
        <f aca="false">IF(OR(X316="",X316="Pending"),"",IF(V316&lt;&gt;"",V316,IFERROR(IF(INDEX(Batches!$H$5:$H$64,MATCH(B316,Batches!$A$5:$A$64,0))="","",INDEX(Batches!$H$5:$H$64,MATCH(B316,Batches!$A$5:$A$64,0))),"")))</f>
        <v/>
      </c>
      <c r="X316" s="23"/>
      <c r="Y316" s="23"/>
      <c r="Z316" s="26"/>
      <c r="AA316" s="27" t="str">
        <f aca="false">IF(R316="","",IF(X316="Not accepted",R316,IF(OR(X316="Accepted",X316="Withdrawn by hospital"),IF(X316="Accepted",0,R316),IF(ISNUMBER(Z316),R316-Z316,""))))</f>
        <v/>
      </c>
      <c r="AB316" s="23"/>
      <c r="AC316" s="25"/>
      <c r="AD316" s="23"/>
      <c r="AE316" s="23"/>
      <c r="AF316" s="24"/>
      <c r="AG316" s="23"/>
      <c r="AH316" s="24"/>
      <c r="AI316" s="29" t="str">
        <f aca="false">IF(X316="Not accepted","Maintained",IF(X316="Partially accepted","Partially maintained",IF(X316="Accepted","Reversed",IF(X316="Withdrawn by hospital","Withdrawn by hospital",""))))</f>
        <v/>
      </c>
      <c r="AJ316" s="28" t="str">
        <f aca="false">IF(AI316="","",W316)</f>
        <v/>
      </c>
      <c r="AK316" s="29" t="str">
        <f aca="false">IF(AND(ISNUMBER(T316),ISNUMBER(W316)),W316-T316,"")</f>
        <v/>
      </c>
      <c r="AL316" s="29" t="str">
        <f aca="false">IF(A316="","",SUMIF(Actions!$C$5:$C$1004,A316,Actions!$F$5:$F$1004))</f>
        <v/>
      </c>
      <c r="AM316" s="25"/>
    </row>
    <row r="317" customFormat="false" ht="15" hidden="false" customHeight="false" outlineLevel="0" collapsed="false">
      <c r="A317" s="23"/>
      <c r="B317" s="23"/>
      <c r="C317" s="23"/>
      <c r="D317" s="23"/>
      <c r="E317" s="23"/>
      <c r="F317" s="23"/>
      <c r="G317" s="23"/>
      <c r="H317" s="23"/>
      <c r="I317" s="23"/>
      <c r="J317" s="23"/>
      <c r="K317" s="24"/>
      <c r="L317" s="23"/>
      <c r="M317" s="25"/>
      <c r="N317" s="25"/>
      <c r="O317" s="23"/>
      <c r="P317" s="26"/>
      <c r="Q317" s="26"/>
      <c r="R317" s="27" t="str">
        <f aca="false">IF(AND(ISNUMBER(P317),ISNUMBER(Q317)),P317-Q317,"")</f>
        <v/>
      </c>
      <c r="S317" s="24"/>
      <c r="T317" s="28" t="str">
        <f aca="false">IF(S317&lt;&gt;"",S317,IF(B317="","",IFERROR(IF(INDEX(Batches!$G$5:$G$64,MATCH(B317,Batches!$A$5:$A$64,0))="","",INDEX(Batches!$G$5:$G$64,MATCH(B317,Batches!$A$5:$A$64,0))),"")))</f>
        <v/>
      </c>
      <c r="U317" s="23"/>
      <c r="V317" s="24"/>
      <c r="W317" s="28" t="str">
        <f aca="false">IF(OR(X317="",X317="Pending"),"",IF(V317&lt;&gt;"",V317,IFERROR(IF(INDEX(Batches!$H$5:$H$64,MATCH(B317,Batches!$A$5:$A$64,0))="","",INDEX(Batches!$H$5:$H$64,MATCH(B317,Batches!$A$5:$A$64,0))),"")))</f>
        <v/>
      </c>
      <c r="X317" s="23"/>
      <c r="Y317" s="23"/>
      <c r="Z317" s="26"/>
      <c r="AA317" s="27" t="str">
        <f aca="false">IF(R317="","",IF(X317="Not accepted",R317,IF(OR(X317="Accepted",X317="Withdrawn by hospital"),IF(X317="Accepted",0,R317),IF(ISNUMBER(Z317),R317-Z317,""))))</f>
        <v/>
      </c>
      <c r="AB317" s="23"/>
      <c r="AC317" s="25"/>
      <c r="AD317" s="23"/>
      <c r="AE317" s="23"/>
      <c r="AF317" s="24"/>
      <c r="AG317" s="23"/>
      <c r="AH317" s="24"/>
      <c r="AI317" s="29" t="str">
        <f aca="false">IF(X317="Not accepted","Maintained",IF(X317="Partially accepted","Partially maintained",IF(X317="Accepted","Reversed",IF(X317="Withdrawn by hospital","Withdrawn by hospital",""))))</f>
        <v/>
      </c>
      <c r="AJ317" s="28" t="str">
        <f aca="false">IF(AI317="","",W317)</f>
        <v/>
      </c>
      <c r="AK317" s="29" t="str">
        <f aca="false">IF(AND(ISNUMBER(T317),ISNUMBER(W317)),W317-T317,"")</f>
        <v/>
      </c>
      <c r="AL317" s="29" t="str">
        <f aca="false">IF(A317="","",SUMIF(Actions!$C$5:$C$1004,A317,Actions!$F$5:$F$1004))</f>
        <v/>
      </c>
      <c r="AM317" s="25"/>
    </row>
    <row r="318" customFormat="false" ht="15" hidden="false" customHeight="false" outlineLevel="0" collapsed="false">
      <c r="A318" s="23"/>
      <c r="B318" s="23"/>
      <c r="C318" s="23"/>
      <c r="D318" s="23"/>
      <c r="E318" s="23"/>
      <c r="F318" s="23"/>
      <c r="G318" s="23"/>
      <c r="H318" s="23"/>
      <c r="I318" s="23"/>
      <c r="J318" s="23"/>
      <c r="K318" s="24"/>
      <c r="L318" s="23"/>
      <c r="M318" s="25"/>
      <c r="N318" s="25"/>
      <c r="O318" s="23"/>
      <c r="P318" s="26"/>
      <c r="Q318" s="26"/>
      <c r="R318" s="27" t="str">
        <f aca="false">IF(AND(ISNUMBER(P318),ISNUMBER(Q318)),P318-Q318,"")</f>
        <v/>
      </c>
      <c r="S318" s="24"/>
      <c r="T318" s="28" t="str">
        <f aca="false">IF(S318&lt;&gt;"",S318,IF(B318="","",IFERROR(IF(INDEX(Batches!$G$5:$G$64,MATCH(B318,Batches!$A$5:$A$64,0))="","",INDEX(Batches!$G$5:$G$64,MATCH(B318,Batches!$A$5:$A$64,0))),"")))</f>
        <v/>
      </c>
      <c r="U318" s="23"/>
      <c r="V318" s="24"/>
      <c r="W318" s="28" t="str">
        <f aca="false">IF(OR(X318="",X318="Pending"),"",IF(V318&lt;&gt;"",V318,IFERROR(IF(INDEX(Batches!$H$5:$H$64,MATCH(B318,Batches!$A$5:$A$64,0))="","",INDEX(Batches!$H$5:$H$64,MATCH(B318,Batches!$A$5:$A$64,0))),"")))</f>
        <v/>
      </c>
      <c r="X318" s="23"/>
      <c r="Y318" s="23"/>
      <c r="Z318" s="26"/>
      <c r="AA318" s="27" t="str">
        <f aca="false">IF(R318="","",IF(X318="Not accepted",R318,IF(OR(X318="Accepted",X318="Withdrawn by hospital"),IF(X318="Accepted",0,R318),IF(ISNUMBER(Z318),R318-Z318,""))))</f>
        <v/>
      </c>
      <c r="AB318" s="23"/>
      <c r="AC318" s="25"/>
      <c r="AD318" s="23"/>
      <c r="AE318" s="23"/>
      <c r="AF318" s="24"/>
      <c r="AG318" s="23"/>
      <c r="AH318" s="24"/>
      <c r="AI318" s="29" t="str">
        <f aca="false">IF(X318="Not accepted","Maintained",IF(X318="Partially accepted","Partially maintained",IF(X318="Accepted","Reversed",IF(X318="Withdrawn by hospital","Withdrawn by hospital",""))))</f>
        <v/>
      </c>
      <c r="AJ318" s="28" t="str">
        <f aca="false">IF(AI318="","",W318)</f>
        <v/>
      </c>
      <c r="AK318" s="29" t="str">
        <f aca="false">IF(AND(ISNUMBER(T318),ISNUMBER(W318)),W318-T318,"")</f>
        <v/>
      </c>
      <c r="AL318" s="29" t="str">
        <f aca="false">IF(A318="","",SUMIF(Actions!$C$5:$C$1004,A318,Actions!$F$5:$F$1004))</f>
        <v/>
      </c>
      <c r="AM318" s="25"/>
    </row>
    <row r="319" customFormat="false" ht="15" hidden="false" customHeight="false" outlineLevel="0" collapsed="false">
      <c r="A319" s="23"/>
      <c r="B319" s="23"/>
      <c r="C319" s="23"/>
      <c r="D319" s="23"/>
      <c r="E319" s="23"/>
      <c r="F319" s="23"/>
      <c r="G319" s="23"/>
      <c r="H319" s="23"/>
      <c r="I319" s="23"/>
      <c r="J319" s="23"/>
      <c r="K319" s="24"/>
      <c r="L319" s="23"/>
      <c r="M319" s="25"/>
      <c r="N319" s="25"/>
      <c r="O319" s="23"/>
      <c r="P319" s="26"/>
      <c r="Q319" s="26"/>
      <c r="R319" s="27" t="str">
        <f aca="false">IF(AND(ISNUMBER(P319),ISNUMBER(Q319)),P319-Q319,"")</f>
        <v/>
      </c>
      <c r="S319" s="24"/>
      <c r="T319" s="28" t="str">
        <f aca="false">IF(S319&lt;&gt;"",S319,IF(B319="","",IFERROR(IF(INDEX(Batches!$G$5:$G$64,MATCH(B319,Batches!$A$5:$A$64,0))="","",INDEX(Batches!$G$5:$G$64,MATCH(B319,Batches!$A$5:$A$64,0))),"")))</f>
        <v/>
      </c>
      <c r="U319" s="23"/>
      <c r="V319" s="24"/>
      <c r="W319" s="28" t="str">
        <f aca="false">IF(OR(X319="",X319="Pending"),"",IF(V319&lt;&gt;"",V319,IFERROR(IF(INDEX(Batches!$H$5:$H$64,MATCH(B319,Batches!$A$5:$A$64,0))="","",INDEX(Batches!$H$5:$H$64,MATCH(B319,Batches!$A$5:$A$64,0))),"")))</f>
        <v/>
      </c>
      <c r="X319" s="23"/>
      <c r="Y319" s="23"/>
      <c r="Z319" s="26"/>
      <c r="AA319" s="27" t="str">
        <f aca="false">IF(R319="","",IF(X319="Not accepted",R319,IF(OR(X319="Accepted",X319="Withdrawn by hospital"),IF(X319="Accepted",0,R319),IF(ISNUMBER(Z319),R319-Z319,""))))</f>
        <v/>
      </c>
      <c r="AB319" s="23"/>
      <c r="AC319" s="25"/>
      <c r="AD319" s="23"/>
      <c r="AE319" s="23"/>
      <c r="AF319" s="24"/>
      <c r="AG319" s="23"/>
      <c r="AH319" s="24"/>
      <c r="AI319" s="29" t="str">
        <f aca="false">IF(X319="Not accepted","Maintained",IF(X319="Partially accepted","Partially maintained",IF(X319="Accepted","Reversed",IF(X319="Withdrawn by hospital","Withdrawn by hospital",""))))</f>
        <v/>
      </c>
      <c r="AJ319" s="28" t="str">
        <f aca="false">IF(AI319="","",W319)</f>
        <v/>
      </c>
      <c r="AK319" s="29" t="str">
        <f aca="false">IF(AND(ISNUMBER(T319),ISNUMBER(W319)),W319-T319,"")</f>
        <v/>
      </c>
      <c r="AL319" s="29" t="str">
        <f aca="false">IF(A319="","",SUMIF(Actions!$C$5:$C$1004,A319,Actions!$F$5:$F$1004))</f>
        <v/>
      </c>
      <c r="AM319" s="25"/>
    </row>
    <row r="320" customFormat="false" ht="15" hidden="false" customHeight="false" outlineLevel="0" collapsed="false">
      <c r="A320" s="23"/>
      <c r="B320" s="23"/>
      <c r="C320" s="23"/>
      <c r="D320" s="23"/>
      <c r="E320" s="23"/>
      <c r="F320" s="23"/>
      <c r="G320" s="23"/>
      <c r="H320" s="23"/>
      <c r="I320" s="23"/>
      <c r="J320" s="23"/>
      <c r="K320" s="24"/>
      <c r="L320" s="23"/>
      <c r="M320" s="25"/>
      <c r="N320" s="25"/>
      <c r="O320" s="23"/>
      <c r="P320" s="26"/>
      <c r="Q320" s="26"/>
      <c r="R320" s="27" t="str">
        <f aca="false">IF(AND(ISNUMBER(P320),ISNUMBER(Q320)),P320-Q320,"")</f>
        <v/>
      </c>
      <c r="S320" s="24"/>
      <c r="T320" s="28" t="str">
        <f aca="false">IF(S320&lt;&gt;"",S320,IF(B320="","",IFERROR(IF(INDEX(Batches!$G$5:$G$64,MATCH(B320,Batches!$A$5:$A$64,0))="","",INDEX(Batches!$G$5:$G$64,MATCH(B320,Batches!$A$5:$A$64,0))),"")))</f>
        <v/>
      </c>
      <c r="U320" s="23"/>
      <c r="V320" s="24"/>
      <c r="W320" s="28" t="str">
        <f aca="false">IF(OR(X320="",X320="Pending"),"",IF(V320&lt;&gt;"",V320,IFERROR(IF(INDEX(Batches!$H$5:$H$64,MATCH(B320,Batches!$A$5:$A$64,0))="","",INDEX(Batches!$H$5:$H$64,MATCH(B320,Batches!$A$5:$A$64,0))),"")))</f>
        <v/>
      </c>
      <c r="X320" s="23"/>
      <c r="Y320" s="23"/>
      <c r="Z320" s="26"/>
      <c r="AA320" s="27" t="str">
        <f aca="false">IF(R320="","",IF(X320="Not accepted",R320,IF(OR(X320="Accepted",X320="Withdrawn by hospital"),IF(X320="Accepted",0,R320),IF(ISNUMBER(Z320),R320-Z320,""))))</f>
        <v/>
      </c>
      <c r="AB320" s="23"/>
      <c r="AC320" s="25"/>
      <c r="AD320" s="23"/>
      <c r="AE320" s="23"/>
      <c r="AF320" s="24"/>
      <c r="AG320" s="23"/>
      <c r="AH320" s="24"/>
      <c r="AI320" s="29" t="str">
        <f aca="false">IF(X320="Not accepted","Maintained",IF(X320="Partially accepted","Partially maintained",IF(X320="Accepted","Reversed",IF(X320="Withdrawn by hospital","Withdrawn by hospital",""))))</f>
        <v/>
      </c>
      <c r="AJ320" s="28" t="str">
        <f aca="false">IF(AI320="","",W320)</f>
        <v/>
      </c>
      <c r="AK320" s="29" t="str">
        <f aca="false">IF(AND(ISNUMBER(T320),ISNUMBER(W320)),W320-T320,"")</f>
        <v/>
      </c>
      <c r="AL320" s="29" t="str">
        <f aca="false">IF(A320="","",SUMIF(Actions!$C$5:$C$1004,A320,Actions!$F$5:$F$1004))</f>
        <v/>
      </c>
      <c r="AM320" s="25"/>
    </row>
    <row r="321" customFormat="false" ht="15" hidden="false" customHeight="false" outlineLevel="0" collapsed="false">
      <c r="A321" s="23"/>
      <c r="B321" s="23"/>
      <c r="C321" s="23"/>
      <c r="D321" s="23"/>
      <c r="E321" s="23"/>
      <c r="F321" s="23"/>
      <c r="G321" s="23"/>
      <c r="H321" s="23"/>
      <c r="I321" s="23"/>
      <c r="J321" s="23"/>
      <c r="K321" s="24"/>
      <c r="L321" s="23"/>
      <c r="M321" s="25"/>
      <c r="N321" s="25"/>
      <c r="O321" s="23"/>
      <c r="P321" s="26"/>
      <c r="Q321" s="26"/>
      <c r="R321" s="27" t="str">
        <f aca="false">IF(AND(ISNUMBER(P321),ISNUMBER(Q321)),P321-Q321,"")</f>
        <v/>
      </c>
      <c r="S321" s="24"/>
      <c r="T321" s="28" t="str">
        <f aca="false">IF(S321&lt;&gt;"",S321,IF(B321="","",IFERROR(IF(INDEX(Batches!$G$5:$G$64,MATCH(B321,Batches!$A$5:$A$64,0))="","",INDEX(Batches!$G$5:$G$64,MATCH(B321,Batches!$A$5:$A$64,0))),"")))</f>
        <v/>
      </c>
      <c r="U321" s="23"/>
      <c r="V321" s="24"/>
      <c r="W321" s="28" t="str">
        <f aca="false">IF(OR(X321="",X321="Pending"),"",IF(V321&lt;&gt;"",V321,IFERROR(IF(INDEX(Batches!$H$5:$H$64,MATCH(B321,Batches!$A$5:$A$64,0))="","",INDEX(Batches!$H$5:$H$64,MATCH(B321,Batches!$A$5:$A$64,0))),"")))</f>
        <v/>
      </c>
      <c r="X321" s="23"/>
      <c r="Y321" s="23"/>
      <c r="Z321" s="26"/>
      <c r="AA321" s="27" t="str">
        <f aca="false">IF(R321="","",IF(X321="Not accepted",R321,IF(OR(X321="Accepted",X321="Withdrawn by hospital"),IF(X321="Accepted",0,R321),IF(ISNUMBER(Z321),R321-Z321,""))))</f>
        <v/>
      </c>
      <c r="AB321" s="23"/>
      <c r="AC321" s="25"/>
      <c r="AD321" s="23"/>
      <c r="AE321" s="23"/>
      <c r="AF321" s="24"/>
      <c r="AG321" s="23"/>
      <c r="AH321" s="24"/>
      <c r="AI321" s="29" t="str">
        <f aca="false">IF(X321="Not accepted","Maintained",IF(X321="Partially accepted","Partially maintained",IF(X321="Accepted","Reversed",IF(X321="Withdrawn by hospital","Withdrawn by hospital",""))))</f>
        <v/>
      </c>
      <c r="AJ321" s="28" t="str">
        <f aca="false">IF(AI321="","",W321)</f>
        <v/>
      </c>
      <c r="AK321" s="29" t="str">
        <f aca="false">IF(AND(ISNUMBER(T321),ISNUMBER(W321)),W321-T321,"")</f>
        <v/>
      </c>
      <c r="AL321" s="29" t="str">
        <f aca="false">IF(A321="","",SUMIF(Actions!$C$5:$C$1004,A321,Actions!$F$5:$F$1004))</f>
        <v/>
      </c>
      <c r="AM321" s="25"/>
    </row>
    <row r="322" customFormat="false" ht="15" hidden="false" customHeight="false" outlineLevel="0" collapsed="false">
      <c r="A322" s="23"/>
      <c r="B322" s="23"/>
      <c r="C322" s="23"/>
      <c r="D322" s="23"/>
      <c r="E322" s="23"/>
      <c r="F322" s="23"/>
      <c r="G322" s="23"/>
      <c r="H322" s="23"/>
      <c r="I322" s="23"/>
      <c r="J322" s="23"/>
      <c r="K322" s="24"/>
      <c r="L322" s="23"/>
      <c r="M322" s="25"/>
      <c r="N322" s="25"/>
      <c r="O322" s="23"/>
      <c r="P322" s="26"/>
      <c r="Q322" s="26"/>
      <c r="R322" s="27" t="str">
        <f aca="false">IF(AND(ISNUMBER(P322),ISNUMBER(Q322)),P322-Q322,"")</f>
        <v/>
      </c>
      <c r="S322" s="24"/>
      <c r="T322" s="28" t="str">
        <f aca="false">IF(S322&lt;&gt;"",S322,IF(B322="","",IFERROR(IF(INDEX(Batches!$G$5:$G$64,MATCH(B322,Batches!$A$5:$A$64,0))="","",INDEX(Batches!$G$5:$G$64,MATCH(B322,Batches!$A$5:$A$64,0))),"")))</f>
        <v/>
      </c>
      <c r="U322" s="23"/>
      <c r="V322" s="24"/>
      <c r="W322" s="28" t="str">
        <f aca="false">IF(OR(X322="",X322="Pending"),"",IF(V322&lt;&gt;"",V322,IFERROR(IF(INDEX(Batches!$H$5:$H$64,MATCH(B322,Batches!$A$5:$A$64,0))="","",INDEX(Batches!$H$5:$H$64,MATCH(B322,Batches!$A$5:$A$64,0))),"")))</f>
        <v/>
      </c>
      <c r="X322" s="23"/>
      <c r="Y322" s="23"/>
      <c r="Z322" s="26"/>
      <c r="AA322" s="27" t="str">
        <f aca="false">IF(R322="","",IF(X322="Not accepted",R322,IF(OR(X322="Accepted",X322="Withdrawn by hospital"),IF(X322="Accepted",0,R322),IF(ISNUMBER(Z322),R322-Z322,""))))</f>
        <v/>
      </c>
      <c r="AB322" s="23"/>
      <c r="AC322" s="25"/>
      <c r="AD322" s="23"/>
      <c r="AE322" s="23"/>
      <c r="AF322" s="24"/>
      <c r="AG322" s="23"/>
      <c r="AH322" s="24"/>
      <c r="AI322" s="29" t="str">
        <f aca="false">IF(X322="Not accepted","Maintained",IF(X322="Partially accepted","Partially maintained",IF(X322="Accepted","Reversed",IF(X322="Withdrawn by hospital","Withdrawn by hospital",""))))</f>
        <v/>
      </c>
      <c r="AJ322" s="28" t="str">
        <f aca="false">IF(AI322="","",W322)</f>
        <v/>
      </c>
      <c r="AK322" s="29" t="str">
        <f aca="false">IF(AND(ISNUMBER(T322),ISNUMBER(W322)),W322-T322,"")</f>
        <v/>
      </c>
      <c r="AL322" s="29" t="str">
        <f aca="false">IF(A322="","",SUMIF(Actions!$C$5:$C$1004,A322,Actions!$F$5:$F$1004))</f>
        <v/>
      </c>
      <c r="AM322" s="25"/>
    </row>
    <row r="323" customFormat="false" ht="15" hidden="false" customHeight="false" outlineLevel="0" collapsed="false">
      <c r="A323" s="23"/>
      <c r="B323" s="23"/>
      <c r="C323" s="23"/>
      <c r="D323" s="23"/>
      <c r="E323" s="23"/>
      <c r="F323" s="23"/>
      <c r="G323" s="23"/>
      <c r="H323" s="23"/>
      <c r="I323" s="23"/>
      <c r="J323" s="23"/>
      <c r="K323" s="24"/>
      <c r="L323" s="23"/>
      <c r="M323" s="25"/>
      <c r="N323" s="25"/>
      <c r="O323" s="23"/>
      <c r="P323" s="26"/>
      <c r="Q323" s="26"/>
      <c r="R323" s="27" t="str">
        <f aca="false">IF(AND(ISNUMBER(P323),ISNUMBER(Q323)),P323-Q323,"")</f>
        <v/>
      </c>
      <c r="S323" s="24"/>
      <c r="T323" s="28" t="str">
        <f aca="false">IF(S323&lt;&gt;"",S323,IF(B323="","",IFERROR(IF(INDEX(Batches!$G$5:$G$64,MATCH(B323,Batches!$A$5:$A$64,0))="","",INDEX(Batches!$G$5:$G$64,MATCH(B323,Batches!$A$5:$A$64,0))),"")))</f>
        <v/>
      </c>
      <c r="U323" s="23"/>
      <c r="V323" s="24"/>
      <c r="W323" s="28" t="str">
        <f aca="false">IF(OR(X323="",X323="Pending"),"",IF(V323&lt;&gt;"",V323,IFERROR(IF(INDEX(Batches!$H$5:$H$64,MATCH(B323,Batches!$A$5:$A$64,0))="","",INDEX(Batches!$H$5:$H$64,MATCH(B323,Batches!$A$5:$A$64,0))),"")))</f>
        <v/>
      </c>
      <c r="X323" s="23"/>
      <c r="Y323" s="23"/>
      <c r="Z323" s="26"/>
      <c r="AA323" s="27" t="str">
        <f aca="false">IF(R323="","",IF(X323="Not accepted",R323,IF(OR(X323="Accepted",X323="Withdrawn by hospital"),IF(X323="Accepted",0,R323),IF(ISNUMBER(Z323),R323-Z323,""))))</f>
        <v/>
      </c>
      <c r="AB323" s="23"/>
      <c r="AC323" s="25"/>
      <c r="AD323" s="23"/>
      <c r="AE323" s="23"/>
      <c r="AF323" s="24"/>
      <c r="AG323" s="23"/>
      <c r="AH323" s="24"/>
      <c r="AI323" s="29" t="str">
        <f aca="false">IF(X323="Not accepted","Maintained",IF(X323="Partially accepted","Partially maintained",IF(X323="Accepted","Reversed",IF(X323="Withdrawn by hospital","Withdrawn by hospital",""))))</f>
        <v/>
      </c>
      <c r="AJ323" s="28" t="str">
        <f aca="false">IF(AI323="","",W323)</f>
        <v/>
      </c>
      <c r="AK323" s="29" t="str">
        <f aca="false">IF(AND(ISNUMBER(T323),ISNUMBER(W323)),W323-T323,"")</f>
        <v/>
      </c>
      <c r="AL323" s="29" t="str">
        <f aca="false">IF(A323="","",SUMIF(Actions!$C$5:$C$1004,A323,Actions!$F$5:$F$1004))</f>
        <v/>
      </c>
      <c r="AM323" s="25"/>
    </row>
    <row r="324" customFormat="false" ht="15" hidden="false" customHeight="false" outlineLevel="0" collapsed="false">
      <c r="A324" s="23"/>
      <c r="B324" s="23"/>
      <c r="C324" s="23"/>
      <c r="D324" s="23"/>
      <c r="E324" s="23"/>
      <c r="F324" s="23"/>
      <c r="G324" s="23"/>
      <c r="H324" s="23"/>
      <c r="I324" s="23"/>
      <c r="J324" s="23"/>
      <c r="K324" s="24"/>
      <c r="L324" s="23"/>
      <c r="M324" s="25"/>
      <c r="N324" s="25"/>
      <c r="O324" s="23"/>
      <c r="P324" s="26"/>
      <c r="Q324" s="26"/>
      <c r="R324" s="27" t="str">
        <f aca="false">IF(AND(ISNUMBER(P324),ISNUMBER(Q324)),P324-Q324,"")</f>
        <v/>
      </c>
      <c r="S324" s="24"/>
      <c r="T324" s="28" t="str">
        <f aca="false">IF(S324&lt;&gt;"",S324,IF(B324="","",IFERROR(IF(INDEX(Batches!$G$5:$G$64,MATCH(B324,Batches!$A$5:$A$64,0))="","",INDEX(Batches!$G$5:$G$64,MATCH(B324,Batches!$A$5:$A$64,0))),"")))</f>
        <v/>
      </c>
      <c r="U324" s="23"/>
      <c r="V324" s="24"/>
      <c r="W324" s="28" t="str">
        <f aca="false">IF(OR(X324="",X324="Pending"),"",IF(V324&lt;&gt;"",V324,IFERROR(IF(INDEX(Batches!$H$5:$H$64,MATCH(B324,Batches!$A$5:$A$64,0))="","",INDEX(Batches!$H$5:$H$64,MATCH(B324,Batches!$A$5:$A$64,0))),"")))</f>
        <v/>
      </c>
      <c r="X324" s="23"/>
      <c r="Y324" s="23"/>
      <c r="Z324" s="26"/>
      <c r="AA324" s="27" t="str">
        <f aca="false">IF(R324="","",IF(X324="Not accepted",R324,IF(OR(X324="Accepted",X324="Withdrawn by hospital"),IF(X324="Accepted",0,R324),IF(ISNUMBER(Z324),R324-Z324,""))))</f>
        <v/>
      </c>
      <c r="AB324" s="23"/>
      <c r="AC324" s="25"/>
      <c r="AD324" s="23"/>
      <c r="AE324" s="23"/>
      <c r="AF324" s="24"/>
      <c r="AG324" s="23"/>
      <c r="AH324" s="24"/>
      <c r="AI324" s="29" t="str">
        <f aca="false">IF(X324="Not accepted","Maintained",IF(X324="Partially accepted","Partially maintained",IF(X324="Accepted","Reversed",IF(X324="Withdrawn by hospital","Withdrawn by hospital",""))))</f>
        <v/>
      </c>
      <c r="AJ324" s="28" t="str">
        <f aca="false">IF(AI324="","",W324)</f>
        <v/>
      </c>
      <c r="AK324" s="29" t="str">
        <f aca="false">IF(AND(ISNUMBER(T324),ISNUMBER(W324)),W324-T324,"")</f>
        <v/>
      </c>
      <c r="AL324" s="29" t="str">
        <f aca="false">IF(A324="","",SUMIF(Actions!$C$5:$C$1004,A324,Actions!$F$5:$F$1004))</f>
        <v/>
      </c>
      <c r="AM324" s="25"/>
    </row>
    <row r="325" customFormat="false" ht="15" hidden="false" customHeight="false" outlineLevel="0" collapsed="false">
      <c r="A325" s="23"/>
      <c r="B325" s="23"/>
      <c r="C325" s="23"/>
      <c r="D325" s="23"/>
      <c r="E325" s="23"/>
      <c r="F325" s="23"/>
      <c r="G325" s="23"/>
      <c r="H325" s="23"/>
      <c r="I325" s="23"/>
      <c r="J325" s="23"/>
      <c r="K325" s="24"/>
      <c r="L325" s="23"/>
      <c r="M325" s="25"/>
      <c r="N325" s="25"/>
      <c r="O325" s="23"/>
      <c r="P325" s="26"/>
      <c r="Q325" s="26"/>
      <c r="R325" s="27" t="str">
        <f aca="false">IF(AND(ISNUMBER(P325),ISNUMBER(Q325)),P325-Q325,"")</f>
        <v/>
      </c>
      <c r="S325" s="24"/>
      <c r="T325" s="28" t="str">
        <f aca="false">IF(S325&lt;&gt;"",S325,IF(B325="","",IFERROR(IF(INDEX(Batches!$G$5:$G$64,MATCH(B325,Batches!$A$5:$A$64,0))="","",INDEX(Batches!$G$5:$G$64,MATCH(B325,Batches!$A$5:$A$64,0))),"")))</f>
        <v/>
      </c>
      <c r="U325" s="23"/>
      <c r="V325" s="24"/>
      <c r="W325" s="28" t="str">
        <f aca="false">IF(OR(X325="",X325="Pending"),"",IF(V325&lt;&gt;"",V325,IFERROR(IF(INDEX(Batches!$H$5:$H$64,MATCH(B325,Batches!$A$5:$A$64,0))="","",INDEX(Batches!$H$5:$H$64,MATCH(B325,Batches!$A$5:$A$64,0))),"")))</f>
        <v/>
      </c>
      <c r="X325" s="23"/>
      <c r="Y325" s="23"/>
      <c r="Z325" s="26"/>
      <c r="AA325" s="27" t="str">
        <f aca="false">IF(R325="","",IF(X325="Not accepted",R325,IF(OR(X325="Accepted",X325="Withdrawn by hospital"),IF(X325="Accepted",0,R325),IF(ISNUMBER(Z325),R325-Z325,""))))</f>
        <v/>
      </c>
      <c r="AB325" s="23"/>
      <c r="AC325" s="25"/>
      <c r="AD325" s="23"/>
      <c r="AE325" s="23"/>
      <c r="AF325" s="24"/>
      <c r="AG325" s="23"/>
      <c r="AH325" s="24"/>
      <c r="AI325" s="29" t="str">
        <f aca="false">IF(X325="Not accepted","Maintained",IF(X325="Partially accepted","Partially maintained",IF(X325="Accepted","Reversed",IF(X325="Withdrawn by hospital","Withdrawn by hospital",""))))</f>
        <v/>
      </c>
      <c r="AJ325" s="28" t="str">
        <f aca="false">IF(AI325="","",W325)</f>
        <v/>
      </c>
      <c r="AK325" s="29" t="str">
        <f aca="false">IF(AND(ISNUMBER(T325),ISNUMBER(W325)),W325-T325,"")</f>
        <v/>
      </c>
      <c r="AL325" s="29" t="str">
        <f aca="false">IF(A325="","",SUMIF(Actions!$C$5:$C$1004,A325,Actions!$F$5:$F$1004))</f>
        <v/>
      </c>
      <c r="AM325" s="25"/>
    </row>
    <row r="326" customFormat="false" ht="15" hidden="false" customHeight="false" outlineLevel="0" collapsed="false">
      <c r="A326" s="23"/>
      <c r="B326" s="23"/>
      <c r="C326" s="23"/>
      <c r="D326" s="23"/>
      <c r="E326" s="23"/>
      <c r="F326" s="23"/>
      <c r="G326" s="23"/>
      <c r="H326" s="23"/>
      <c r="I326" s="23"/>
      <c r="J326" s="23"/>
      <c r="K326" s="24"/>
      <c r="L326" s="23"/>
      <c r="M326" s="25"/>
      <c r="N326" s="25"/>
      <c r="O326" s="23"/>
      <c r="P326" s="26"/>
      <c r="Q326" s="26"/>
      <c r="R326" s="27" t="str">
        <f aca="false">IF(AND(ISNUMBER(P326),ISNUMBER(Q326)),P326-Q326,"")</f>
        <v/>
      </c>
      <c r="S326" s="24"/>
      <c r="T326" s="28" t="str">
        <f aca="false">IF(S326&lt;&gt;"",S326,IF(B326="","",IFERROR(IF(INDEX(Batches!$G$5:$G$64,MATCH(B326,Batches!$A$5:$A$64,0))="","",INDEX(Batches!$G$5:$G$64,MATCH(B326,Batches!$A$5:$A$64,0))),"")))</f>
        <v/>
      </c>
      <c r="U326" s="23"/>
      <c r="V326" s="24"/>
      <c r="W326" s="28" t="str">
        <f aca="false">IF(OR(X326="",X326="Pending"),"",IF(V326&lt;&gt;"",V326,IFERROR(IF(INDEX(Batches!$H$5:$H$64,MATCH(B326,Batches!$A$5:$A$64,0))="","",INDEX(Batches!$H$5:$H$64,MATCH(B326,Batches!$A$5:$A$64,0))),"")))</f>
        <v/>
      </c>
      <c r="X326" s="23"/>
      <c r="Y326" s="23"/>
      <c r="Z326" s="26"/>
      <c r="AA326" s="27" t="str">
        <f aca="false">IF(R326="","",IF(X326="Not accepted",R326,IF(OR(X326="Accepted",X326="Withdrawn by hospital"),IF(X326="Accepted",0,R326),IF(ISNUMBER(Z326),R326-Z326,""))))</f>
        <v/>
      </c>
      <c r="AB326" s="23"/>
      <c r="AC326" s="25"/>
      <c r="AD326" s="23"/>
      <c r="AE326" s="23"/>
      <c r="AF326" s="24"/>
      <c r="AG326" s="23"/>
      <c r="AH326" s="24"/>
      <c r="AI326" s="29" t="str">
        <f aca="false">IF(X326="Not accepted","Maintained",IF(X326="Partially accepted","Partially maintained",IF(X326="Accepted","Reversed",IF(X326="Withdrawn by hospital","Withdrawn by hospital",""))))</f>
        <v/>
      </c>
      <c r="AJ326" s="28" t="str">
        <f aca="false">IF(AI326="","",W326)</f>
        <v/>
      </c>
      <c r="AK326" s="29" t="str">
        <f aca="false">IF(AND(ISNUMBER(T326),ISNUMBER(W326)),W326-T326,"")</f>
        <v/>
      </c>
      <c r="AL326" s="29" t="str">
        <f aca="false">IF(A326="","",SUMIF(Actions!$C$5:$C$1004,A326,Actions!$F$5:$F$1004))</f>
        <v/>
      </c>
      <c r="AM326" s="25"/>
    </row>
    <row r="327" customFormat="false" ht="15" hidden="false" customHeight="false" outlineLevel="0" collapsed="false">
      <c r="A327" s="23"/>
      <c r="B327" s="23"/>
      <c r="C327" s="23"/>
      <c r="D327" s="23"/>
      <c r="E327" s="23"/>
      <c r="F327" s="23"/>
      <c r="G327" s="23"/>
      <c r="H327" s="23"/>
      <c r="I327" s="23"/>
      <c r="J327" s="23"/>
      <c r="K327" s="24"/>
      <c r="L327" s="23"/>
      <c r="M327" s="25"/>
      <c r="N327" s="25"/>
      <c r="O327" s="23"/>
      <c r="P327" s="26"/>
      <c r="Q327" s="26"/>
      <c r="R327" s="27" t="str">
        <f aca="false">IF(AND(ISNUMBER(P327),ISNUMBER(Q327)),P327-Q327,"")</f>
        <v/>
      </c>
      <c r="S327" s="24"/>
      <c r="T327" s="28" t="str">
        <f aca="false">IF(S327&lt;&gt;"",S327,IF(B327="","",IFERROR(IF(INDEX(Batches!$G$5:$G$64,MATCH(B327,Batches!$A$5:$A$64,0))="","",INDEX(Batches!$G$5:$G$64,MATCH(B327,Batches!$A$5:$A$64,0))),"")))</f>
        <v/>
      </c>
      <c r="U327" s="23"/>
      <c r="V327" s="24"/>
      <c r="W327" s="28" t="str">
        <f aca="false">IF(OR(X327="",X327="Pending"),"",IF(V327&lt;&gt;"",V327,IFERROR(IF(INDEX(Batches!$H$5:$H$64,MATCH(B327,Batches!$A$5:$A$64,0))="","",INDEX(Batches!$H$5:$H$64,MATCH(B327,Batches!$A$5:$A$64,0))),"")))</f>
        <v/>
      </c>
      <c r="X327" s="23"/>
      <c r="Y327" s="23"/>
      <c r="Z327" s="26"/>
      <c r="AA327" s="27" t="str">
        <f aca="false">IF(R327="","",IF(X327="Not accepted",R327,IF(OR(X327="Accepted",X327="Withdrawn by hospital"),IF(X327="Accepted",0,R327),IF(ISNUMBER(Z327),R327-Z327,""))))</f>
        <v/>
      </c>
      <c r="AB327" s="23"/>
      <c r="AC327" s="25"/>
      <c r="AD327" s="23"/>
      <c r="AE327" s="23"/>
      <c r="AF327" s="24"/>
      <c r="AG327" s="23"/>
      <c r="AH327" s="24"/>
      <c r="AI327" s="29" t="str">
        <f aca="false">IF(X327="Not accepted","Maintained",IF(X327="Partially accepted","Partially maintained",IF(X327="Accepted","Reversed",IF(X327="Withdrawn by hospital","Withdrawn by hospital",""))))</f>
        <v/>
      </c>
      <c r="AJ327" s="28" t="str">
        <f aca="false">IF(AI327="","",W327)</f>
        <v/>
      </c>
      <c r="AK327" s="29" t="str">
        <f aca="false">IF(AND(ISNUMBER(T327),ISNUMBER(W327)),W327-T327,"")</f>
        <v/>
      </c>
      <c r="AL327" s="29" t="str">
        <f aca="false">IF(A327="","",SUMIF(Actions!$C$5:$C$1004,A327,Actions!$F$5:$F$1004))</f>
        <v/>
      </c>
      <c r="AM327" s="25"/>
    </row>
    <row r="328" customFormat="false" ht="15" hidden="false" customHeight="false" outlineLevel="0" collapsed="false">
      <c r="A328" s="23"/>
      <c r="B328" s="23"/>
      <c r="C328" s="23"/>
      <c r="D328" s="23"/>
      <c r="E328" s="23"/>
      <c r="F328" s="23"/>
      <c r="G328" s="23"/>
      <c r="H328" s="23"/>
      <c r="I328" s="23"/>
      <c r="J328" s="23"/>
      <c r="K328" s="24"/>
      <c r="L328" s="23"/>
      <c r="M328" s="25"/>
      <c r="N328" s="25"/>
      <c r="O328" s="23"/>
      <c r="P328" s="26"/>
      <c r="Q328" s="26"/>
      <c r="R328" s="27" t="str">
        <f aca="false">IF(AND(ISNUMBER(P328),ISNUMBER(Q328)),P328-Q328,"")</f>
        <v/>
      </c>
      <c r="S328" s="24"/>
      <c r="T328" s="28" t="str">
        <f aca="false">IF(S328&lt;&gt;"",S328,IF(B328="","",IFERROR(IF(INDEX(Batches!$G$5:$G$64,MATCH(B328,Batches!$A$5:$A$64,0))="","",INDEX(Batches!$G$5:$G$64,MATCH(B328,Batches!$A$5:$A$64,0))),"")))</f>
        <v/>
      </c>
      <c r="U328" s="23"/>
      <c r="V328" s="24"/>
      <c r="W328" s="28" t="str">
        <f aca="false">IF(OR(X328="",X328="Pending"),"",IF(V328&lt;&gt;"",V328,IFERROR(IF(INDEX(Batches!$H$5:$H$64,MATCH(B328,Batches!$A$5:$A$64,0))="","",INDEX(Batches!$H$5:$H$64,MATCH(B328,Batches!$A$5:$A$64,0))),"")))</f>
        <v/>
      </c>
      <c r="X328" s="23"/>
      <c r="Y328" s="23"/>
      <c r="Z328" s="26"/>
      <c r="AA328" s="27" t="str">
        <f aca="false">IF(R328="","",IF(X328="Not accepted",R328,IF(OR(X328="Accepted",X328="Withdrawn by hospital"),IF(X328="Accepted",0,R328),IF(ISNUMBER(Z328),R328-Z328,""))))</f>
        <v/>
      </c>
      <c r="AB328" s="23"/>
      <c r="AC328" s="25"/>
      <c r="AD328" s="23"/>
      <c r="AE328" s="23"/>
      <c r="AF328" s="24"/>
      <c r="AG328" s="23"/>
      <c r="AH328" s="24"/>
      <c r="AI328" s="29" t="str">
        <f aca="false">IF(X328="Not accepted","Maintained",IF(X328="Partially accepted","Partially maintained",IF(X328="Accepted","Reversed",IF(X328="Withdrawn by hospital","Withdrawn by hospital",""))))</f>
        <v/>
      </c>
      <c r="AJ328" s="28" t="str">
        <f aca="false">IF(AI328="","",W328)</f>
        <v/>
      </c>
      <c r="AK328" s="29" t="str">
        <f aca="false">IF(AND(ISNUMBER(T328),ISNUMBER(W328)),W328-T328,"")</f>
        <v/>
      </c>
      <c r="AL328" s="29" t="str">
        <f aca="false">IF(A328="","",SUMIF(Actions!$C$5:$C$1004,A328,Actions!$F$5:$F$1004))</f>
        <v/>
      </c>
      <c r="AM328" s="25"/>
    </row>
    <row r="329" customFormat="false" ht="15" hidden="false" customHeight="false" outlineLevel="0" collapsed="false">
      <c r="A329" s="23"/>
      <c r="B329" s="23"/>
      <c r="C329" s="23"/>
      <c r="D329" s="23"/>
      <c r="E329" s="23"/>
      <c r="F329" s="23"/>
      <c r="G329" s="23"/>
      <c r="H329" s="23"/>
      <c r="I329" s="23"/>
      <c r="J329" s="23"/>
      <c r="K329" s="24"/>
      <c r="L329" s="23"/>
      <c r="M329" s="25"/>
      <c r="N329" s="25"/>
      <c r="O329" s="23"/>
      <c r="P329" s="26"/>
      <c r="Q329" s="26"/>
      <c r="R329" s="27" t="str">
        <f aca="false">IF(AND(ISNUMBER(P329),ISNUMBER(Q329)),P329-Q329,"")</f>
        <v/>
      </c>
      <c r="S329" s="24"/>
      <c r="T329" s="28" t="str">
        <f aca="false">IF(S329&lt;&gt;"",S329,IF(B329="","",IFERROR(IF(INDEX(Batches!$G$5:$G$64,MATCH(B329,Batches!$A$5:$A$64,0))="","",INDEX(Batches!$G$5:$G$64,MATCH(B329,Batches!$A$5:$A$64,0))),"")))</f>
        <v/>
      </c>
      <c r="U329" s="23"/>
      <c r="V329" s="24"/>
      <c r="W329" s="28" t="str">
        <f aca="false">IF(OR(X329="",X329="Pending"),"",IF(V329&lt;&gt;"",V329,IFERROR(IF(INDEX(Batches!$H$5:$H$64,MATCH(B329,Batches!$A$5:$A$64,0))="","",INDEX(Batches!$H$5:$H$64,MATCH(B329,Batches!$A$5:$A$64,0))),"")))</f>
        <v/>
      </c>
      <c r="X329" s="23"/>
      <c r="Y329" s="23"/>
      <c r="Z329" s="26"/>
      <c r="AA329" s="27" t="str">
        <f aca="false">IF(R329="","",IF(X329="Not accepted",R329,IF(OR(X329="Accepted",X329="Withdrawn by hospital"),IF(X329="Accepted",0,R329),IF(ISNUMBER(Z329),R329-Z329,""))))</f>
        <v/>
      </c>
      <c r="AB329" s="23"/>
      <c r="AC329" s="25"/>
      <c r="AD329" s="23"/>
      <c r="AE329" s="23"/>
      <c r="AF329" s="24"/>
      <c r="AG329" s="23"/>
      <c r="AH329" s="24"/>
      <c r="AI329" s="29" t="str">
        <f aca="false">IF(X329="Not accepted","Maintained",IF(X329="Partially accepted","Partially maintained",IF(X329="Accepted","Reversed",IF(X329="Withdrawn by hospital","Withdrawn by hospital",""))))</f>
        <v/>
      </c>
      <c r="AJ329" s="28" t="str">
        <f aca="false">IF(AI329="","",W329)</f>
        <v/>
      </c>
      <c r="AK329" s="29" t="str">
        <f aca="false">IF(AND(ISNUMBER(T329),ISNUMBER(W329)),W329-T329,"")</f>
        <v/>
      </c>
      <c r="AL329" s="29" t="str">
        <f aca="false">IF(A329="","",SUMIF(Actions!$C$5:$C$1004,A329,Actions!$F$5:$F$1004))</f>
        <v/>
      </c>
      <c r="AM329" s="25"/>
    </row>
    <row r="330" customFormat="false" ht="15" hidden="false" customHeight="false" outlineLevel="0" collapsed="false">
      <c r="A330" s="23"/>
      <c r="B330" s="23"/>
      <c r="C330" s="23"/>
      <c r="D330" s="23"/>
      <c r="E330" s="23"/>
      <c r="F330" s="23"/>
      <c r="G330" s="23"/>
      <c r="H330" s="23"/>
      <c r="I330" s="23"/>
      <c r="J330" s="23"/>
      <c r="K330" s="24"/>
      <c r="L330" s="23"/>
      <c r="M330" s="25"/>
      <c r="N330" s="25"/>
      <c r="O330" s="23"/>
      <c r="P330" s="26"/>
      <c r="Q330" s="26"/>
      <c r="R330" s="27" t="str">
        <f aca="false">IF(AND(ISNUMBER(P330),ISNUMBER(Q330)),P330-Q330,"")</f>
        <v/>
      </c>
      <c r="S330" s="24"/>
      <c r="T330" s="28" t="str">
        <f aca="false">IF(S330&lt;&gt;"",S330,IF(B330="","",IFERROR(IF(INDEX(Batches!$G$5:$G$64,MATCH(B330,Batches!$A$5:$A$64,0))="","",INDEX(Batches!$G$5:$G$64,MATCH(B330,Batches!$A$5:$A$64,0))),"")))</f>
        <v/>
      </c>
      <c r="U330" s="23"/>
      <c r="V330" s="24"/>
      <c r="W330" s="28" t="str">
        <f aca="false">IF(OR(X330="",X330="Pending"),"",IF(V330&lt;&gt;"",V330,IFERROR(IF(INDEX(Batches!$H$5:$H$64,MATCH(B330,Batches!$A$5:$A$64,0))="","",INDEX(Batches!$H$5:$H$64,MATCH(B330,Batches!$A$5:$A$64,0))),"")))</f>
        <v/>
      </c>
      <c r="X330" s="23"/>
      <c r="Y330" s="23"/>
      <c r="Z330" s="26"/>
      <c r="AA330" s="27" t="str">
        <f aca="false">IF(R330="","",IF(X330="Not accepted",R330,IF(OR(X330="Accepted",X330="Withdrawn by hospital"),IF(X330="Accepted",0,R330),IF(ISNUMBER(Z330),R330-Z330,""))))</f>
        <v/>
      </c>
      <c r="AB330" s="23"/>
      <c r="AC330" s="25"/>
      <c r="AD330" s="23"/>
      <c r="AE330" s="23"/>
      <c r="AF330" s="24"/>
      <c r="AG330" s="23"/>
      <c r="AH330" s="24"/>
      <c r="AI330" s="29" t="str">
        <f aca="false">IF(X330="Not accepted","Maintained",IF(X330="Partially accepted","Partially maintained",IF(X330="Accepted","Reversed",IF(X330="Withdrawn by hospital","Withdrawn by hospital",""))))</f>
        <v/>
      </c>
      <c r="AJ330" s="28" t="str">
        <f aca="false">IF(AI330="","",W330)</f>
        <v/>
      </c>
      <c r="AK330" s="29" t="str">
        <f aca="false">IF(AND(ISNUMBER(T330),ISNUMBER(W330)),W330-T330,"")</f>
        <v/>
      </c>
      <c r="AL330" s="29" t="str">
        <f aca="false">IF(A330="","",SUMIF(Actions!$C$5:$C$1004,A330,Actions!$F$5:$F$1004))</f>
        <v/>
      </c>
      <c r="AM330" s="25"/>
    </row>
    <row r="331" customFormat="false" ht="15" hidden="false" customHeight="false" outlineLevel="0" collapsed="false">
      <c r="A331" s="23"/>
      <c r="B331" s="23"/>
      <c r="C331" s="23"/>
      <c r="D331" s="23"/>
      <c r="E331" s="23"/>
      <c r="F331" s="23"/>
      <c r="G331" s="23"/>
      <c r="H331" s="23"/>
      <c r="I331" s="23"/>
      <c r="J331" s="23"/>
      <c r="K331" s="24"/>
      <c r="L331" s="23"/>
      <c r="M331" s="25"/>
      <c r="N331" s="25"/>
      <c r="O331" s="23"/>
      <c r="P331" s="26"/>
      <c r="Q331" s="26"/>
      <c r="R331" s="27" t="str">
        <f aca="false">IF(AND(ISNUMBER(P331),ISNUMBER(Q331)),P331-Q331,"")</f>
        <v/>
      </c>
      <c r="S331" s="24"/>
      <c r="T331" s="28" t="str">
        <f aca="false">IF(S331&lt;&gt;"",S331,IF(B331="","",IFERROR(IF(INDEX(Batches!$G$5:$G$64,MATCH(B331,Batches!$A$5:$A$64,0))="","",INDEX(Batches!$G$5:$G$64,MATCH(B331,Batches!$A$5:$A$64,0))),"")))</f>
        <v/>
      </c>
      <c r="U331" s="23"/>
      <c r="V331" s="24"/>
      <c r="W331" s="28" t="str">
        <f aca="false">IF(OR(X331="",X331="Pending"),"",IF(V331&lt;&gt;"",V331,IFERROR(IF(INDEX(Batches!$H$5:$H$64,MATCH(B331,Batches!$A$5:$A$64,0))="","",INDEX(Batches!$H$5:$H$64,MATCH(B331,Batches!$A$5:$A$64,0))),"")))</f>
        <v/>
      </c>
      <c r="X331" s="23"/>
      <c r="Y331" s="23"/>
      <c r="Z331" s="26"/>
      <c r="AA331" s="27" t="str">
        <f aca="false">IF(R331="","",IF(X331="Not accepted",R331,IF(OR(X331="Accepted",X331="Withdrawn by hospital"),IF(X331="Accepted",0,R331),IF(ISNUMBER(Z331),R331-Z331,""))))</f>
        <v/>
      </c>
      <c r="AB331" s="23"/>
      <c r="AC331" s="25"/>
      <c r="AD331" s="23"/>
      <c r="AE331" s="23"/>
      <c r="AF331" s="24"/>
      <c r="AG331" s="23"/>
      <c r="AH331" s="24"/>
      <c r="AI331" s="29" t="str">
        <f aca="false">IF(X331="Not accepted","Maintained",IF(X331="Partially accepted","Partially maintained",IF(X331="Accepted","Reversed",IF(X331="Withdrawn by hospital","Withdrawn by hospital",""))))</f>
        <v/>
      </c>
      <c r="AJ331" s="28" t="str">
        <f aca="false">IF(AI331="","",W331)</f>
        <v/>
      </c>
      <c r="AK331" s="29" t="str">
        <f aca="false">IF(AND(ISNUMBER(T331),ISNUMBER(W331)),W331-T331,"")</f>
        <v/>
      </c>
      <c r="AL331" s="29" t="str">
        <f aca="false">IF(A331="","",SUMIF(Actions!$C$5:$C$1004,A331,Actions!$F$5:$F$1004))</f>
        <v/>
      </c>
      <c r="AM331" s="25"/>
    </row>
    <row r="332" customFormat="false" ht="15" hidden="false" customHeight="false" outlineLevel="0" collapsed="false">
      <c r="A332" s="23"/>
      <c r="B332" s="23"/>
      <c r="C332" s="23"/>
      <c r="D332" s="23"/>
      <c r="E332" s="23"/>
      <c r="F332" s="23"/>
      <c r="G332" s="23"/>
      <c r="H332" s="23"/>
      <c r="I332" s="23"/>
      <c r="J332" s="23"/>
      <c r="K332" s="24"/>
      <c r="L332" s="23"/>
      <c r="M332" s="25"/>
      <c r="N332" s="25"/>
      <c r="O332" s="23"/>
      <c r="P332" s="26"/>
      <c r="Q332" s="26"/>
      <c r="R332" s="27" t="str">
        <f aca="false">IF(AND(ISNUMBER(P332),ISNUMBER(Q332)),P332-Q332,"")</f>
        <v/>
      </c>
      <c r="S332" s="24"/>
      <c r="T332" s="28" t="str">
        <f aca="false">IF(S332&lt;&gt;"",S332,IF(B332="","",IFERROR(IF(INDEX(Batches!$G$5:$G$64,MATCH(B332,Batches!$A$5:$A$64,0))="","",INDEX(Batches!$G$5:$G$64,MATCH(B332,Batches!$A$5:$A$64,0))),"")))</f>
        <v/>
      </c>
      <c r="U332" s="23"/>
      <c r="V332" s="24"/>
      <c r="W332" s="28" t="str">
        <f aca="false">IF(OR(X332="",X332="Pending"),"",IF(V332&lt;&gt;"",V332,IFERROR(IF(INDEX(Batches!$H$5:$H$64,MATCH(B332,Batches!$A$5:$A$64,0))="","",INDEX(Batches!$H$5:$H$64,MATCH(B332,Batches!$A$5:$A$64,0))),"")))</f>
        <v/>
      </c>
      <c r="X332" s="23"/>
      <c r="Y332" s="23"/>
      <c r="Z332" s="26"/>
      <c r="AA332" s="27" t="str">
        <f aca="false">IF(R332="","",IF(X332="Not accepted",R332,IF(OR(X332="Accepted",X332="Withdrawn by hospital"),IF(X332="Accepted",0,R332),IF(ISNUMBER(Z332),R332-Z332,""))))</f>
        <v/>
      </c>
      <c r="AB332" s="23"/>
      <c r="AC332" s="25"/>
      <c r="AD332" s="23"/>
      <c r="AE332" s="23"/>
      <c r="AF332" s="24"/>
      <c r="AG332" s="23"/>
      <c r="AH332" s="24"/>
      <c r="AI332" s="29" t="str">
        <f aca="false">IF(X332="Not accepted","Maintained",IF(X332="Partially accepted","Partially maintained",IF(X332="Accepted","Reversed",IF(X332="Withdrawn by hospital","Withdrawn by hospital",""))))</f>
        <v/>
      </c>
      <c r="AJ332" s="28" t="str">
        <f aca="false">IF(AI332="","",W332)</f>
        <v/>
      </c>
      <c r="AK332" s="29" t="str">
        <f aca="false">IF(AND(ISNUMBER(T332),ISNUMBER(W332)),W332-T332,"")</f>
        <v/>
      </c>
      <c r="AL332" s="29" t="str">
        <f aca="false">IF(A332="","",SUMIF(Actions!$C$5:$C$1004,A332,Actions!$F$5:$F$1004))</f>
        <v/>
      </c>
      <c r="AM332" s="25"/>
    </row>
    <row r="333" customFormat="false" ht="15" hidden="false" customHeight="false" outlineLevel="0" collapsed="false">
      <c r="A333" s="23"/>
      <c r="B333" s="23"/>
      <c r="C333" s="23"/>
      <c r="D333" s="23"/>
      <c r="E333" s="23"/>
      <c r="F333" s="23"/>
      <c r="G333" s="23"/>
      <c r="H333" s="23"/>
      <c r="I333" s="23"/>
      <c r="J333" s="23"/>
      <c r="K333" s="24"/>
      <c r="L333" s="23"/>
      <c r="M333" s="25"/>
      <c r="N333" s="25"/>
      <c r="O333" s="23"/>
      <c r="P333" s="26"/>
      <c r="Q333" s="26"/>
      <c r="R333" s="27" t="str">
        <f aca="false">IF(AND(ISNUMBER(P333),ISNUMBER(Q333)),P333-Q333,"")</f>
        <v/>
      </c>
      <c r="S333" s="24"/>
      <c r="T333" s="28" t="str">
        <f aca="false">IF(S333&lt;&gt;"",S333,IF(B333="","",IFERROR(IF(INDEX(Batches!$G$5:$G$64,MATCH(B333,Batches!$A$5:$A$64,0))="","",INDEX(Batches!$G$5:$G$64,MATCH(B333,Batches!$A$5:$A$64,0))),"")))</f>
        <v/>
      </c>
      <c r="U333" s="23"/>
      <c r="V333" s="24"/>
      <c r="W333" s="28" t="str">
        <f aca="false">IF(OR(X333="",X333="Pending"),"",IF(V333&lt;&gt;"",V333,IFERROR(IF(INDEX(Batches!$H$5:$H$64,MATCH(B333,Batches!$A$5:$A$64,0))="","",INDEX(Batches!$H$5:$H$64,MATCH(B333,Batches!$A$5:$A$64,0))),"")))</f>
        <v/>
      </c>
      <c r="X333" s="23"/>
      <c r="Y333" s="23"/>
      <c r="Z333" s="26"/>
      <c r="AA333" s="27" t="str">
        <f aca="false">IF(R333="","",IF(X333="Not accepted",R333,IF(OR(X333="Accepted",X333="Withdrawn by hospital"),IF(X333="Accepted",0,R333),IF(ISNUMBER(Z333),R333-Z333,""))))</f>
        <v/>
      </c>
      <c r="AB333" s="23"/>
      <c r="AC333" s="25"/>
      <c r="AD333" s="23"/>
      <c r="AE333" s="23"/>
      <c r="AF333" s="24"/>
      <c r="AG333" s="23"/>
      <c r="AH333" s="24"/>
      <c r="AI333" s="29" t="str">
        <f aca="false">IF(X333="Not accepted","Maintained",IF(X333="Partially accepted","Partially maintained",IF(X333="Accepted","Reversed",IF(X333="Withdrawn by hospital","Withdrawn by hospital",""))))</f>
        <v/>
      </c>
      <c r="AJ333" s="28" t="str">
        <f aca="false">IF(AI333="","",W333)</f>
        <v/>
      </c>
      <c r="AK333" s="29" t="str">
        <f aca="false">IF(AND(ISNUMBER(T333),ISNUMBER(W333)),W333-T333,"")</f>
        <v/>
      </c>
      <c r="AL333" s="29" t="str">
        <f aca="false">IF(A333="","",SUMIF(Actions!$C$5:$C$1004,A333,Actions!$F$5:$F$1004))</f>
        <v/>
      </c>
      <c r="AM333" s="25"/>
    </row>
    <row r="334" customFormat="false" ht="15" hidden="false" customHeight="false" outlineLevel="0" collapsed="false">
      <c r="A334" s="23"/>
      <c r="B334" s="23"/>
      <c r="C334" s="23"/>
      <c r="D334" s="23"/>
      <c r="E334" s="23"/>
      <c r="F334" s="23"/>
      <c r="G334" s="23"/>
      <c r="H334" s="23"/>
      <c r="I334" s="23"/>
      <c r="J334" s="23"/>
      <c r="K334" s="24"/>
      <c r="L334" s="23"/>
      <c r="M334" s="25"/>
      <c r="N334" s="25"/>
      <c r="O334" s="23"/>
      <c r="P334" s="26"/>
      <c r="Q334" s="26"/>
      <c r="R334" s="27" t="str">
        <f aca="false">IF(AND(ISNUMBER(P334),ISNUMBER(Q334)),P334-Q334,"")</f>
        <v/>
      </c>
      <c r="S334" s="24"/>
      <c r="T334" s="28" t="str">
        <f aca="false">IF(S334&lt;&gt;"",S334,IF(B334="","",IFERROR(IF(INDEX(Batches!$G$5:$G$64,MATCH(B334,Batches!$A$5:$A$64,0))="","",INDEX(Batches!$G$5:$G$64,MATCH(B334,Batches!$A$5:$A$64,0))),"")))</f>
        <v/>
      </c>
      <c r="U334" s="23"/>
      <c r="V334" s="24"/>
      <c r="W334" s="28" t="str">
        <f aca="false">IF(OR(X334="",X334="Pending"),"",IF(V334&lt;&gt;"",V334,IFERROR(IF(INDEX(Batches!$H$5:$H$64,MATCH(B334,Batches!$A$5:$A$64,0))="","",INDEX(Batches!$H$5:$H$64,MATCH(B334,Batches!$A$5:$A$64,0))),"")))</f>
        <v/>
      </c>
      <c r="X334" s="23"/>
      <c r="Y334" s="23"/>
      <c r="Z334" s="26"/>
      <c r="AA334" s="27" t="str">
        <f aca="false">IF(R334="","",IF(X334="Not accepted",R334,IF(OR(X334="Accepted",X334="Withdrawn by hospital"),IF(X334="Accepted",0,R334),IF(ISNUMBER(Z334),R334-Z334,""))))</f>
        <v/>
      </c>
      <c r="AB334" s="23"/>
      <c r="AC334" s="25"/>
      <c r="AD334" s="23"/>
      <c r="AE334" s="23"/>
      <c r="AF334" s="24"/>
      <c r="AG334" s="23"/>
      <c r="AH334" s="24"/>
      <c r="AI334" s="29" t="str">
        <f aca="false">IF(X334="Not accepted","Maintained",IF(X334="Partially accepted","Partially maintained",IF(X334="Accepted","Reversed",IF(X334="Withdrawn by hospital","Withdrawn by hospital",""))))</f>
        <v/>
      </c>
      <c r="AJ334" s="28" t="str">
        <f aca="false">IF(AI334="","",W334)</f>
        <v/>
      </c>
      <c r="AK334" s="29" t="str">
        <f aca="false">IF(AND(ISNUMBER(T334),ISNUMBER(W334)),W334-T334,"")</f>
        <v/>
      </c>
      <c r="AL334" s="29" t="str">
        <f aca="false">IF(A334="","",SUMIF(Actions!$C$5:$C$1004,A334,Actions!$F$5:$F$1004))</f>
        <v/>
      </c>
      <c r="AM334" s="25"/>
    </row>
    <row r="335" customFormat="false" ht="15" hidden="false" customHeight="false" outlineLevel="0" collapsed="false">
      <c r="A335" s="23"/>
      <c r="B335" s="23"/>
      <c r="C335" s="23"/>
      <c r="D335" s="23"/>
      <c r="E335" s="23"/>
      <c r="F335" s="23"/>
      <c r="G335" s="23"/>
      <c r="H335" s="23"/>
      <c r="I335" s="23"/>
      <c r="J335" s="23"/>
      <c r="K335" s="24"/>
      <c r="L335" s="23"/>
      <c r="M335" s="25"/>
      <c r="N335" s="25"/>
      <c r="O335" s="23"/>
      <c r="P335" s="26"/>
      <c r="Q335" s="26"/>
      <c r="R335" s="27" t="str">
        <f aca="false">IF(AND(ISNUMBER(P335),ISNUMBER(Q335)),P335-Q335,"")</f>
        <v/>
      </c>
      <c r="S335" s="24"/>
      <c r="T335" s="28" t="str">
        <f aca="false">IF(S335&lt;&gt;"",S335,IF(B335="","",IFERROR(IF(INDEX(Batches!$G$5:$G$64,MATCH(B335,Batches!$A$5:$A$64,0))="","",INDEX(Batches!$G$5:$G$64,MATCH(B335,Batches!$A$5:$A$64,0))),"")))</f>
        <v/>
      </c>
      <c r="U335" s="23"/>
      <c r="V335" s="24"/>
      <c r="W335" s="28" t="str">
        <f aca="false">IF(OR(X335="",X335="Pending"),"",IF(V335&lt;&gt;"",V335,IFERROR(IF(INDEX(Batches!$H$5:$H$64,MATCH(B335,Batches!$A$5:$A$64,0))="","",INDEX(Batches!$H$5:$H$64,MATCH(B335,Batches!$A$5:$A$64,0))),"")))</f>
        <v/>
      </c>
      <c r="X335" s="23"/>
      <c r="Y335" s="23"/>
      <c r="Z335" s="26"/>
      <c r="AA335" s="27" t="str">
        <f aca="false">IF(R335="","",IF(X335="Not accepted",R335,IF(OR(X335="Accepted",X335="Withdrawn by hospital"),IF(X335="Accepted",0,R335),IF(ISNUMBER(Z335),R335-Z335,""))))</f>
        <v/>
      </c>
      <c r="AB335" s="23"/>
      <c r="AC335" s="25"/>
      <c r="AD335" s="23"/>
      <c r="AE335" s="23"/>
      <c r="AF335" s="24"/>
      <c r="AG335" s="23"/>
      <c r="AH335" s="24"/>
      <c r="AI335" s="29" t="str">
        <f aca="false">IF(X335="Not accepted","Maintained",IF(X335="Partially accepted","Partially maintained",IF(X335="Accepted","Reversed",IF(X335="Withdrawn by hospital","Withdrawn by hospital",""))))</f>
        <v/>
      </c>
      <c r="AJ335" s="28" t="str">
        <f aca="false">IF(AI335="","",W335)</f>
        <v/>
      </c>
      <c r="AK335" s="29" t="str">
        <f aca="false">IF(AND(ISNUMBER(T335),ISNUMBER(W335)),W335-T335,"")</f>
        <v/>
      </c>
      <c r="AL335" s="29" t="str">
        <f aca="false">IF(A335="","",SUMIF(Actions!$C$5:$C$1004,A335,Actions!$F$5:$F$1004))</f>
        <v/>
      </c>
      <c r="AM335" s="25"/>
    </row>
    <row r="336" customFormat="false" ht="15" hidden="false" customHeight="false" outlineLevel="0" collapsed="false">
      <c r="A336" s="23"/>
      <c r="B336" s="23"/>
      <c r="C336" s="23"/>
      <c r="D336" s="23"/>
      <c r="E336" s="23"/>
      <c r="F336" s="23"/>
      <c r="G336" s="23"/>
      <c r="H336" s="23"/>
      <c r="I336" s="23"/>
      <c r="J336" s="23"/>
      <c r="K336" s="24"/>
      <c r="L336" s="23"/>
      <c r="M336" s="25"/>
      <c r="N336" s="25"/>
      <c r="O336" s="23"/>
      <c r="P336" s="26"/>
      <c r="Q336" s="26"/>
      <c r="R336" s="27" t="str">
        <f aca="false">IF(AND(ISNUMBER(P336),ISNUMBER(Q336)),P336-Q336,"")</f>
        <v/>
      </c>
      <c r="S336" s="24"/>
      <c r="T336" s="28" t="str">
        <f aca="false">IF(S336&lt;&gt;"",S336,IF(B336="","",IFERROR(IF(INDEX(Batches!$G$5:$G$64,MATCH(B336,Batches!$A$5:$A$64,0))="","",INDEX(Batches!$G$5:$G$64,MATCH(B336,Batches!$A$5:$A$64,0))),"")))</f>
        <v/>
      </c>
      <c r="U336" s="23"/>
      <c r="V336" s="24"/>
      <c r="W336" s="28" t="str">
        <f aca="false">IF(OR(X336="",X336="Pending"),"",IF(V336&lt;&gt;"",V336,IFERROR(IF(INDEX(Batches!$H$5:$H$64,MATCH(B336,Batches!$A$5:$A$64,0))="","",INDEX(Batches!$H$5:$H$64,MATCH(B336,Batches!$A$5:$A$64,0))),"")))</f>
        <v/>
      </c>
      <c r="X336" s="23"/>
      <c r="Y336" s="23"/>
      <c r="Z336" s="26"/>
      <c r="AA336" s="27" t="str">
        <f aca="false">IF(R336="","",IF(X336="Not accepted",R336,IF(OR(X336="Accepted",X336="Withdrawn by hospital"),IF(X336="Accepted",0,R336),IF(ISNUMBER(Z336),R336-Z336,""))))</f>
        <v/>
      </c>
      <c r="AB336" s="23"/>
      <c r="AC336" s="25"/>
      <c r="AD336" s="23"/>
      <c r="AE336" s="23"/>
      <c r="AF336" s="24"/>
      <c r="AG336" s="23"/>
      <c r="AH336" s="24"/>
      <c r="AI336" s="29" t="str">
        <f aca="false">IF(X336="Not accepted","Maintained",IF(X336="Partially accepted","Partially maintained",IF(X336="Accepted","Reversed",IF(X336="Withdrawn by hospital","Withdrawn by hospital",""))))</f>
        <v/>
      </c>
      <c r="AJ336" s="28" t="str">
        <f aca="false">IF(AI336="","",W336)</f>
        <v/>
      </c>
      <c r="AK336" s="29" t="str">
        <f aca="false">IF(AND(ISNUMBER(T336),ISNUMBER(W336)),W336-T336,"")</f>
        <v/>
      </c>
      <c r="AL336" s="29" t="str">
        <f aca="false">IF(A336="","",SUMIF(Actions!$C$5:$C$1004,A336,Actions!$F$5:$F$1004))</f>
        <v/>
      </c>
      <c r="AM336" s="25"/>
    </row>
    <row r="337" customFormat="false" ht="15" hidden="false" customHeight="false" outlineLevel="0" collapsed="false">
      <c r="A337" s="23"/>
      <c r="B337" s="23"/>
      <c r="C337" s="23"/>
      <c r="D337" s="23"/>
      <c r="E337" s="23"/>
      <c r="F337" s="23"/>
      <c r="G337" s="23"/>
      <c r="H337" s="23"/>
      <c r="I337" s="23"/>
      <c r="J337" s="23"/>
      <c r="K337" s="24"/>
      <c r="L337" s="23"/>
      <c r="M337" s="25"/>
      <c r="N337" s="25"/>
      <c r="O337" s="23"/>
      <c r="P337" s="26"/>
      <c r="Q337" s="26"/>
      <c r="R337" s="27" t="str">
        <f aca="false">IF(AND(ISNUMBER(P337),ISNUMBER(Q337)),P337-Q337,"")</f>
        <v/>
      </c>
      <c r="S337" s="24"/>
      <c r="T337" s="28" t="str">
        <f aca="false">IF(S337&lt;&gt;"",S337,IF(B337="","",IFERROR(IF(INDEX(Batches!$G$5:$G$64,MATCH(B337,Batches!$A$5:$A$64,0))="","",INDEX(Batches!$G$5:$G$64,MATCH(B337,Batches!$A$5:$A$64,0))),"")))</f>
        <v/>
      </c>
      <c r="U337" s="23"/>
      <c r="V337" s="24"/>
      <c r="W337" s="28" t="str">
        <f aca="false">IF(OR(X337="",X337="Pending"),"",IF(V337&lt;&gt;"",V337,IFERROR(IF(INDEX(Batches!$H$5:$H$64,MATCH(B337,Batches!$A$5:$A$64,0))="","",INDEX(Batches!$H$5:$H$64,MATCH(B337,Batches!$A$5:$A$64,0))),"")))</f>
        <v/>
      </c>
      <c r="X337" s="23"/>
      <c r="Y337" s="23"/>
      <c r="Z337" s="26"/>
      <c r="AA337" s="27" t="str">
        <f aca="false">IF(R337="","",IF(X337="Not accepted",R337,IF(OR(X337="Accepted",X337="Withdrawn by hospital"),IF(X337="Accepted",0,R337),IF(ISNUMBER(Z337),R337-Z337,""))))</f>
        <v/>
      </c>
      <c r="AB337" s="23"/>
      <c r="AC337" s="25"/>
      <c r="AD337" s="23"/>
      <c r="AE337" s="23"/>
      <c r="AF337" s="24"/>
      <c r="AG337" s="23"/>
      <c r="AH337" s="24"/>
      <c r="AI337" s="29" t="str">
        <f aca="false">IF(X337="Not accepted","Maintained",IF(X337="Partially accepted","Partially maintained",IF(X337="Accepted","Reversed",IF(X337="Withdrawn by hospital","Withdrawn by hospital",""))))</f>
        <v/>
      </c>
      <c r="AJ337" s="28" t="str">
        <f aca="false">IF(AI337="","",W337)</f>
        <v/>
      </c>
      <c r="AK337" s="29" t="str">
        <f aca="false">IF(AND(ISNUMBER(T337),ISNUMBER(W337)),W337-T337,"")</f>
        <v/>
      </c>
      <c r="AL337" s="29" t="str">
        <f aca="false">IF(A337="","",SUMIF(Actions!$C$5:$C$1004,A337,Actions!$F$5:$F$1004))</f>
        <v/>
      </c>
      <c r="AM337" s="25"/>
    </row>
    <row r="338" customFormat="false" ht="15" hidden="false" customHeight="false" outlineLevel="0" collapsed="false">
      <c r="A338" s="23"/>
      <c r="B338" s="23"/>
      <c r="C338" s="23"/>
      <c r="D338" s="23"/>
      <c r="E338" s="23"/>
      <c r="F338" s="23"/>
      <c r="G338" s="23"/>
      <c r="H338" s="23"/>
      <c r="I338" s="23"/>
      <c r="J338" s="23"/>
      <c r="K338" s="24"/>
      <c r="L338" s="23"/>
      <c r="M338" s="25"/>
      <c r="N338" s="25"/>
      <c r="O338" s="23"/>
      <c r="P338" s="26"/>
      <c r="Q338" s="26"/>
      <c r="R338" s="27" t="str">
        <f aca="false">IF(AND(ISNUMBER(P338),ISNUMBER(Q338)),P338-Q338,"")</f>
        <v/>
      </c>
      <c r="S338" s="24"/>
      <c r="T338" s="28" t="str">
        <f aca="false">IF(S338&lt;&gt;"",S338,IF(B338="","",IFERROR(IF(INDEX(Batches!$G$5:$G$64,MATCH(B338,Batches!$A$5:$A$64,0))="","",INDEX(Batches!$G$5:$G$64,MATCH(B338,Batches!$A$5:$A$64,0))),"")))</f>
        <v/>
      </c>
      <c r="U338" s="23"/>
      <c r="V338" s="24"/>
      <c r="W338" s="28" t="str">
        <f aca="false">IF(OR(X338="",X338="Pending"),"",IF(V338&lt;&gt;"",V338,IFERROR(IF(INDEX(Batches!$H$5:$H$64,MATCH(B338,Batches!$A$5:$A$64,0))="","",INDEX(Batches!$H$5:$H$64,MATCH(B338,Batches!$A$5:$A$64,0))),"")))</f>
        <v/>
      </c>
      <c r="X338" s="23"/>
      <c r="Y338" s="23"/>
      <c r="Z338" s="26"/>
      <c r="AA338" s="27" t="str">
        <f aca="false">IF(R338="","",IF(X338="Not accepted",R338,IF(OR(X338="Accepted",X338="Withdrawn by hospital"),IF(X338="Accepted",0,R338),IF(ISNUMBER(Z338),R338-Z338,""))))</f>
        <v/>
      </c>
      <c r="AB338" s="23"/>
      <c r="AC338" s="25"/>
      <c r="AD338" s="23"/>
      <c r="AE338" s="23"/>
      <c r="AF338" s="24"/>
      <c r="AG338" s="23"/>
      <c r="AH338" s="24"/>
      <c r="AI338" s="29" t="str">
        <f aca="false">IF(X338="Not accepted","Maintained",IF(X338="Partially accepted","Partially maintained",IF(X338="Accepted","Reversed",IF(X338="Withdrawn by hospital","Withdrawn by hospital",""))))</f>
        <v/>
      </c>
      <c r="AJ338" s="28" t="str">
        <f aca="false">IF(AI338="","",W338)</f>
        <v/>
      </c>
      <c r="AK338" s="29" t="str">
        <f aca="false">IF(AND(ISNUMBER(T338),ISNUMBER(W338)),W338-T338,"")</f>
        <v/>
      </c>
      <c r="AL338" s="29" t="str">
        <f aca="false">IF(A338="","",SUMIF(Actions!$C$5:$C$1004,A338,Actions!$F$5:$F$1004))</f>
        <v/>
      </c>
      <c r="AM338" s="25"/>
    </row>
    <row r="339" customFormat="false" ht="15" hidden="false" customHeight="false" outlineLevel="0" collapsed="false">
      <c r="A339" s="23"/>
      <c r="B339" s="23"/>
      <c r="C339" s="23"/>
      <c r="D339" s="23"/>
      <c r="E339" s="23"/>
      <c r="F339" s="23"/>
      <c r="G339" s="23"/>
      <c r="H339" s="23"/>
      <c r="I339" s="23"/>
      <c r="J339" s="23"/>
      <c r="K339" s="24"/>
      <c r="L339" s="23"/>
      <c r="M339" s="25"/>
      <c r="N339" s="25"/>
      <c r="O339" s="23"/>
      <c r="P339" s="26"/>
      <c r="Q339" s="26"/>
      <c r="R339" s="27" t="str">
        <f aca="false">IF(AND(ISNUMBER(P339),ISNUMBER(Q339)),P339-Q339,"")</f>
        <v/>
      </c>
      <c r="S339" s="24"/>
      <c r="T339" s="28" t="str">
        <f aca="false">IF(S339&lt;&gt;"",S339,IF(B339="","",IFERROR(IF(INDEX(Batches!$G$5:$G$64,MATCH(B339,Batches!$A$5:$A$64,0))="","",INDEX(Batches!$G$5:$G$64,MATCH(B339,Batches!$A$5:$A$64,0))),"")))</f>
        <v/>
      </c>
      <c r="U339" s="23"/>
      <c r="V339" s="24"/>
      <c r="W339" s="28" t="str">
        <f aca="false">IF(OR(X339="",X339="Pending"),"",IF(V339&lt;&gt;"",V339,IFERROR(IF(INDEX(Batches!$H$5:$H$64,MATCH(B339,Batches!$A$5:$A$64,0))="","",INDEX(Batches!$H$5:$H$64,MATCH(B339,Batches!$A$5:$A$64,0))),"")))</f>
        <v/>
      </c>
      <c r="X339" s="23"/>
      <c r="Y339" s="23"/>
      <c r="Z339" s="26"/>
      <c r="AA339" s="27" t="str">
        <f aca="false">IF(R339="","",IF(X339="Not accepted",R339,IF(OR(X339="Accepted",X339="Withdrawn by hospital"),IF(X339="Accepted",0,R339),IF(ISNUMBER(Z339),R339-Z339,""))))</f>
        <v/>
      </c>
      <c r="AB339" s="23"/>
      <c r="AC339" s="25"/>
      <c r="AD339" s="23"/>
      <c r="AE339" s="23"/>
      <c r="AF339" s="24"/>
      <c r="AG339" s="23"/>
      <c r="AH339" s="24"/>
      <c r="AI339" s="29" t="str">
        <f aca="false">IF(X339="Not accepted","Maintained",IF(X339="Partially accepted","Partially maintained",IF(X339="Accepted","Reversed",IF(X339="Withdrawn by hospital","Withdrawn by hospital",""))))</f>
        <v/>
      </c>
      <c r="AJ339" s="28" t="str">
        <f aca="false">IF(AI339="","",W339)</f>
        <v/>
      </c>
      <c r="AK339" s="29" t="str">
        <f aca="false">IF(AND(ISNUMBER(T339),ISNUMBER(W339)),W339-T339,"")</f>
        <v/>
      </c>
      <c r="AL339" s="29" t="str">
        <f aca="false">IF(A339="","",SUMIF(Actions!$C$5:$C$1004,A339,Actions!$F$5:$F$1004))</f>
        <v/>
      </c>
      <c r="AM339" s="25"/>
    </row>
    <row r="340" customFormat="false" ht="15" hidden="false" customHeight="false" outlineLevel="0" collapsed="false">
      <c r="A340" s="23"/>
      <c r="B340" s="23"/>
      <c r="C340" s="23"/>
      <c r="D340" s="23"/>
      <c r="E340" s="23"/>
      <c r="F340" s="23"/>
      <c r="G340" s="23"/>
      <c r="H340" s="23"/>
      <c r="I340" s="23"/>
      <c r="J340" s="23"/>
      <c r="K340" s="24"/>
      <c r="L340" s="23"/>
      <c r="M340" s="25"/>
      <c r="N340" s="25"/>
      <c r="O340" s="23"/>
      <c r="P340" s="26"/>
      <c r="Q340" s="26"/>
      <c r="R340" s="27" t="str">
        <f aca="false">IF(AND(ISNUMBER(P340),ISNUMBER(Q340)),P340-Q340,"")</f>
        <v/>
      </c>
      <c r="S340" s="24"/>
      <c r="T340" s="28" t="str">
        <f aca="false">IF(S340&lt;&gt;"",S340,IF(B340="","",IFERROR(IF(INDEX(Batches!$G$5:$G$64,MATCH(B340,Batches!$A$5:$A$64,0))="","",INDEX(Batches!$G$5:$G$64,MATCH(B340,Batches!$A$5:$A$64,0))),"")))</f>
        <v/>
      </c>
      <c r="U340" s="23"/>
      <c r="V340" s="24"/>
      <c r="W340" s="28" t="str">
        <f aca="false">IF(OR(X340="",X340="Pending"),"",IF(V340&lt;&gt;"",V340,IFERROR(IF(INDEX(Batches!$H$5:$H$64,MATCH(B340,Batches!$A$5:$A$64,0))="","",INDEX(Batches!$H$5:$H$64,MATCH(B340,Batches!$A$5:$A$64,0))),"")))</f>
        <v/>
      </c>
      <c r="X340" s="23"/>
      <c r="Y340" s="23"/>
      <c r="Z340" s="26"/>
      <c r="AA340" s="27" t="str">
        <f aca="false">IF(R340="","",IF(X340="Not accepted",R340,IF(OR(X340="Accepted",X340="Withdrawn by hospital"),IF(X340="Accepted",0,R340),IF(ISNUMBER(Z340),R340-Z340,""))))</f>
        <v/>
      </c>
      <c r="AB340" s="23"/>
      <c r="AC340" s="25"/>
      <c r="AD340" s="23"/>
      <c r="AE340" s="23"/>
      <c r="AF340" s="24"/>
      <c r="AG340" s="23"/>
      <c r="AH340" s="24"/>
      <c r="AI340" s="29" t="str">
        <f aca="false">IF(X340="Not accepted","Maintained",IF(X340="Partially accepted","Partially maintained",IF(X340="Accepted","Reversed",IF(X340="Withdrawn by hospital","Withdrawn by hospital",""))))</f>
        <v/>
      </c>
      <c r="AJ340" s="28" t="str">
        <f aca="false">IF(AI340="","",W340)</f>
        <v/>
      </c>
      <c r="AK340" s="29" t="str">
        <f aca="false">IF(AND(ISNUMBER(T340),ISNUMBER(W340)),W340-T340,"")</f>
        <v/>
      </c>
      <c r="AL340" s="29" t="str">
        <f aca="false">IF(A340="","",SUMIF(Actions!$C$5:$C$1004,A340,Actions!$F$5:$F$1004))</f>
        <v/>
      </c>
      <c r="AM340" s="25"/>
    </row>
    <row r="341" customFormat="false" ht="15" hidden="false" customHeight="false" outlineLevel="0" collapsed="false">
      <c r="A341" s="23"/>
      <c r="B341" s="23"/>
      <c r="C341" s="23"/>
      <c r="D341" s="23"/>
      <c r="E341" s="23"/>
      <c r="F341" s="23"/>
      <c r="G341" s="23"/>
      <c r="H341" s="23"/>
      <c r="I341" s="23"/>
      <c r="J341" s="23"/>
      <c r="K341" s="24"/>
      <c r="L341" s="23"/>
      <c r="M341" s="25"/>
      <c r="N341" s="25"/>
      <c r="O341" s="23"/>
      <c r="P341" s="26"/>
      <c r="Q341" s="26"/>
      <c r="R341" s="27" t="str">
        <f aca="false">IF(AND(ISNUMBER(P341),ISNUMBER(Q341)),P341-Q341,"")</f>
        <v/>
      </c>
      <c r="S341" s="24"/>
      <c r="T341" s="28" t="str">
        <f aca="false">IF(S341&lt;&gt;"",S341,IF(B341="","",IFERROR(IF(INDEX(Batches!$G$5:$G$64,MATCH(B341,Batches!$A$5:$A$64,0))="","",INDEX(Batches!$G$5:$G$64,MATCH(B341,Batches!$A$5:$A$64,0))),"")))</f>
        <v/>
      </c>
      <c r="U341" s="23"/>
      <c r="V341" s="24"/>
      <c r="W341" s="28" t="str">
        <f aca="false">IF(OR(X341="",X341="Pending"),"",IF(V341&lt;&gt;"",V341,IFERROR(IF(INDEX(Batches!$H$5:$H$64,MATCH(B341,Batches!$A$5:$A$64,0))="","",INDEX(Batches!$H$5:$H$64,MATCH(B341,Batches!$A$5:$A$64,0))),"")))</f>
        <v/>
      </c>
      <c r="X341" s="23"/>
      <c r="Y341" s="23"/>
      <c r="Z341" s="26"/>
      <c r="AA341" s="27" t="str">
        <f aca="false">IF(R341="","",IF(X341="Not accepted",R341,IF(OR(X341="Accepted",X341="Withdrawn by hospital"),IF(X341="Accepted",0,R341),IF(ISNUMBER(Z341),R341-Z341,""))))</f>
        <v/>
      </c>
      <c r="AB341" s="23"/>
      <c r="AC341" s="25"/>
      <c r="AD341" s="23"/>
      <c r="AE341" s="23"/>
      <c r="AF341" s="24"/>
      <c r="AG341" s="23"/>
      <c r="AH341" s="24"/>
      <c r="AI341" s="29" t="str">
        <f aca="false">IF(X341="Not accepted","Maintained",IF(X341="Partially accepted","Partially maintained",IF(X341="Accepted","Reversed",IF(X341="Withdrawn by hospital","Withdrawn by hospital",""))))</f>
        <v/>
      </c>
      <c r="AJ341" s="28" t="str">
        <f aca="false">IF(AI341="","",W341)</f>
        <v/>
      </c>
      <c r="AK341" s="29" t="str">
        <f aca="false">IF(AND(ISNUMBER(T341),ISNUMBER(W341)),W341-T341,"")</f>
        <v/>
      </c>
      <c r="AL341" s="29" t="str">
        <f aca="false">IF(A341="","",SUMIF(Actions!$C$5:$C$1004,A341,Actions!$F$5:$F$1004))</f>
        <v/>
      </c>
      <c r="AM341" s="25"/>
    </row>
    <row r="342" customFormat="false" ht="15" hidden="false" customHeight="false" outlineLevel="0" collapsed="false">
      <c r="A342" s="23"/>
      <c r="B342" s="23"/>
      <c r="C342" s="23"/>
      <c r="D342" s="23"/>
      <c r="E342" s="23"/>
      <c r="F342" s="23"/>
      <c r="G342" s="23"/>
      <c r="H342" s="23"/>
      <c r="I342" s="23"/>
      <c r="J342" s="23"/>
      <c r="K342" s="24"/>
      <c r="L342" s="23"/>
      <c r="M342" s="25"/>
      <c r="N342" s="25"/>
      <c r="O342" s="23"/>
      <c r="P342" s="26"/>
      <c r="Q342" s="26"/>
      <c r="R342" s="27" t="str">
        <f aca="false">IF(AND(ISNUMBER(P342),ISNUMBER(Q342)),P342-Q342,"")</f>
        <v/>
      </c>
      <c r="S342" s="24"/>
      <c r="T342" s="28" t="str">
        <f aca="false">IF(S342&lt;&gt;"",S342,IF(B342="","",IFERROR(IF(INDEX(Batches!$G$5:$G$64,MATCH(B342,Batches!$A$5:$A$64,0))="","",INDEX(Batches!$G$5:$G$64,MATCH(B342,Batches!$A$5:$A$64,0))),"")))</f>
        <v/>
      </c>
      <c r="U342" s="23"/>
      <c r="V342" s="24"/>
      <c r="W342" s="28" t="str">
        <f aca="false">IF(OR(X342="",X342="Pending"),"",IF(V342&lt;&gt;"",V342,IFERROR(IF(INDEX(Batches!$H$5:$H$64,MATCH(B342,Batches!$A$5:$A$64,0))="","",INDEX(Batches!$H$5:$H$64,MATCH(B342,Batches!$A$5:$A$64,0))),"")))</f>
        <v/>
      </c>
      <c r="X342" s="23"/>
      <c r="Y342" s="23"/>
      <c r="Z342" s="26"/>
      <c r="AA342" s="27" t="str">
        <f aca="false">IF(R342="","",IF(X342="Not accepted",R342,IF(OR(X342="Accepted",X342="Withdrawn by hospital"),IF(X342="Accepted",0,R342),IF(ISNUMBER(Z342),R342-Z342,""))))</f>
        <v/>
      </c>
      <c r="AB342" s="23"/>
      <c r="AC342" s="25"/>
      <c r="AD342" s="23"/>
      <c r="AE342" s="23"/>
      <c r="AF342" s="24"/>
      <c r="AG342" s="23"/>
      <c r="AH342" s="24"/>
      <c r="AI342" s="29" t="str">
        <f aca="false">IF(X342="Not accepted","Maintained",IF(X342="Partially accepted","Partially maintained",IF(X342="Accepted","Reversed",IF(X342="Withdrawn by hospital","Withdrawn by hospital",""))))</f>
        <v/>
      </c>
      <c r="AJ342" s="28" t="str">
        <f aca="false">IF(AI342="","",W342)</f>
        <v/>
      </c>
      <c r="AK342" s="29" t="str">
        <f aca="false">IF(AND(ISNUMBER(T342),ISNUMBER(W342)),W342-T342,"")</f>
        <v/>
      </c>
      <c r="AL342" s="29" t="str">
        <f aca="false">IF(A342="","",SUMIF(Actions!$C$5:$C$1004,A342,Actions!$F$5:$F$1004))</f>
        <v/>
      </c>
      <c r="AM342" s="25"/>
    </row>
    <row r="343" customFormat="false" ht="15" hidden="false" customHeight="false" outlineLevel="0" collapsed="false">
      <c r="A343" s="23"/>
      <c r="B343" s="23"/>
      <c r="C343" s="23"/>
      <c r="D343" s="23"/>
      <c r="E343" s="23"/>
      <c r="F343" s="23"/>
      <c r="G343" s="23"/>
      <c r="H343" s="23"/>
      <c r="I343" s="23"/>
      <c r="J343" s="23"/>
      <c r="K343" s="24"/>
      <c r="L343" s="23"/>
      <c r="M343" s="25"/>
      <c r="N343" s="25"/>
      <c r="O343" s="23"/>
      <c r="P343" s="26"/>
      <c r="Q343" s="26"/>
      <c r="R343" s="27" t="str">
        <f aca="false">IF(AND(ISNUMBER(P343),ISNUMBER(Q343)),P343-Q343,"")</f>
        <v/>
      </c>
      <c r="S343" s="24"/>
      <c r="T343" s="28" t="str">
        <f aca="false">IF(S343&lt;&gt;"",S343,IF(B343="","",IFERROR(IF(INDEX(Batches!$G$5:$G$64,MATCH(B343,Batches!$A$5:$A$64,0))="","",INDEX(Batches!$G$5:$G$64,MATCH(B343,Batches!$A$5:$A$64,0))),"")))</f>
        <v/>
      </c>
      <c r="U343" s="23"/>
      <c r="V343" s="24"/>
      <c r="W343" s="28" t="str">
        <f aca="false">IF(OR(X343="",X343="Pending"),"",IF(V343&lt;&gt;"",V343,IFERROR(IF(INDEX(Batches!$H$5:$H$64,MATCH(B343,Batches!$A$5:$A$64,0))="","",INDEX(Batches!$H$5:$H$64,MATCH(B343,Batches!$A$5:$A$64,0))),"")))</f>
        <v/>
      </c>
      <c r="X343" s="23"/>
      <c r="Y343" s="23"/>
      <c r="Z343" s="26"/>
      <c r="AA343" s="27" t="str">
        <f aca="false">IF(R343="","",IF(X343="Not accepted",R343,IF(OR(X343="Accepted",X343="Withdrawn by hospital"),IF(X343="Accepted",0,R343),IF(ISNUMBER(Z343),R343-Z343,""))))</f>
        <v/>
      </c>
      <c r="AB343" s="23"/>
      <c r="AC343" s="25"/>
      <c r="AD343" s="23"/>
      <c r="AE343" s="23"/>
      <c r="AF343" s="24"/>
      <c r="AG343" s="23"/>
      <c r="AH343" s="24"/>
      <c r="AI343" s="29" t="str">
        <f aca="false">IF(X343="Not accepted","Maintained",IF(X343="Partially accepted","Partially maintained",IF(X343="Accepted","Reversed",IF(X343="Withdrawn by hospital","Withdrawn by hospital",""))))</f>
        <v/>
      </c>
      <c r="AJ343" s="28" t="str">
        <f aca="false">IF(AI343="","",W343)</f>
        <v/>
      </c>
      <c r="AK343" s="29" t="str">
        <f aca="false">IF(AND(ISNUMBER(T343),ISNUMBER(W343)),W343-T343,"")</f>
        <v/>
      </c>
      <c r="AL343" s="29" t="str">
        <f aca="false">IF(A343="","",SUMIF(Actions!$C$5:$C$1004,A343,Actions!$F$5:$F$1004))</f>
        <v/>
      </c>
      <c r="AM343" s="25"/>
    </row>
    <row r="344" customFormat="false" ht="15" hidden="false" customHeight="false" outlineLevel="0" collapsed="false">
      <c r="A344" s="23"/>
      <c r="B344" s="23"/>
      <c r="C344" s="23"/>
      <c r="D344" s="23"/>
      <c r="E344" s="23"/>
      <c r="F344" s="23"/>
      <c r="G344" s="23"/>
      <c r="H344" s="23"/>
      <c r="I344" s="23"/>
      <c r="J344" s="23"/>
      <c r="K344" s="24"/>
      <c r="L344" s="23"/>
      <c r="M344" s="25"/>
      <c r="N344" s="25"/>
      <c r="O344" s="23"/>
      <c r="P344" s="26"/>
      <c r="Q344" s="26"/>
      <c r="R344" s="27" t="str">
        <f aca="false">IF(AND(ISNUMBER(P344),ISNUMBER(Q344)),P344-Q344,"")</f>
        <v/>
      </c>
      <c r="S344" s="24"/>
      <c r="T344" s="28" t="str">
        <f aca="false">IF(S344&lt;&gt;"",S344,IF(B344="","",IFERROR(IF(INDEX(Batches!$G$5:$G$64,MATCH(B344,Batches!$A$5:$A$64,0))="","",INDEX(Batches!$G$5:$G$64,MATCH(B344,Batches!$A$5:$A$64,0))),"")))</f>
        <v/>
      </c>
      <c r="U344" s="23"/>
      <c r="V344" s="24"/>
      <c r="W344" s="28" t="str">
        <f aca="false">IF(OR(X344="",X344="Pending"),"",IF(V344&lt;&gt;"",V344,IFERROR(IF(INDEX(Batches!$H$5:$H$64,MATCH(B344,Batches!$A$5:$A$64,0))="","",INDEX(Batches!$H$5:$H$64,MATCH(B344,Batches!$A$5:$A$64,0))),"")))</f>
        <v/>
      </c>
      <c r="X344" s="23"/>
      <c r="Y344" s="23"/>
      <c r="Z344" s="26"/>
      <c r="AA344" s="27" t="str">
        <f aca="false">IF(R344="","",IF(X344="Not accepted",R344,IF(OR(X344="Accepted",X344="Withdrawn by hospital"),IF(X344="Accepted",0,R344),IF(ISNUMBER(Z344),R344-Z344,""))))</f>
        <v/>
      </c>
      <c r="AB344" s="23"/>
      <c r="AC344" s="25"/>
      <c r="AD344" s="23"/>
      <c r="AE344" s="23"/>
      <c r="AF344" s="24"/>
      <c r="AG344" s="23"/>
      <c r="AH344" s="24"/>
      <c r="AI344" s="29" t="str">
        <f aca="false">IF(X344="Not accepted","Maintained",IF(X344="Partially accepted","Partially maintained",IF(X344="Accepted","Reversed",IF(X344="Withdrawn by hospital","Withdrawn by hospital",""))))</f>
        <v/>
      </c>
      <c r="AJ344" s="28" t="str">
        <f aca="false">IF(AI344="","",W344)</f>
        <v/>
      </c>
      <c r="AK344" s="29" t="str">
        <f aca="false">IF(AND(ISNUMBER(T344),ISNUMBER(W344)),W344-T344,"")</f>
        <v/>
      </c>
      <c r="AL344" s="29" t="str">
        <f aca="false">IF(A344="","",SUMIF(Actions!$C$5:$C$1004,A344,Actions!$F$5:$F$1004))</f>
        <v/>
      </c>
      <c r="AM344" s="25"/>
    </row>
    <row r="345" customFormat="false" ht="15" hidden="false" customHeight="false" outlineLevel="0" collapsed="false">
      <c r="A345" s="23"/>
      <c r="B345" s="23"/>
      <c r="C345" s="23"/>
      <c r="D345" s="23"/>
      <c r="E345" s="23"/>
      <c r="F345" s="23"/>
      <c r="G345" s="23"/>
      <c r="H345" s="23"/>
      <c r="I345" s="23"/>
      <c r="J345" s="23"/>
      <c r="K345" s="24"/>
      <c r="L345" s="23"/>
      <c r="M345" s="25"/>
      <c r="N345" s="25"/>
      <c r="O345" s="23"/>
      <c r="P345" s="26"/>
      <c r="Q345" s="26"/>
      <c r="R345" s="27" t="str">
        <f aca="false">IF(AND(ISNUMBER(P345),ISNUMBER(Q345)),P345-Q345,"")</f>
        <v/>
      </c>
      <c r="S345" s="24"/>
      <c r="T345" s="28" t="str">
        <f aca="false">IF(S345&lt;&gt;"",S345,IF(B345="","",IFERROR(IF(INDEX(Batches!$G$5:$G$64,MATCH(B345,Batches!$A$5:$A$64,0))="","",INDEX(Batches!$G$5:$G$64,MATCH(B345,Batches!$A$5:$A$64,0))),"")))</f>
        <v/>
      </c>
      <c r="U345" s="23"/>
      <c r="V345" s="24"/>
      <c r="W345" s="28" t="str">
        <f aca="false">IF(OR(X345="",X345="Pending"),"",IF(V345&lt;&gt;"",V345,IFERROR(IF(INDEX(Batches!$H$5:$H$64,MATCH(B345,Batches!$A$5:$A$64,0))="","",INDEX(Batches!$H$5:$H$64,MATCH(B345,Batches!$A$5:$A$64,0))),"")))</f>
        <v/>
      </c>
      <c r="X345" s="23"/>
      <c r="Y345" s="23"/>
      <c r="Z345" s="26"/>
      <c r="AA345" s="27" t="str">
        <f aca="false">IF(R345="","",IF(X345="Not accepted",R345,IF(OR(X345="Accepted",X345="Withdrawn by hospital"),IF(X345="Accepted",0,R345),IF(ISNUMBER(Z345),R345-Z345,""))))</f>
        <v/>
      </c>
      <c r="AB345" s="23"/>
      <c r="AC345" s="25"/>
      <c r="AD345" s="23"/>
      <c r="AE345" s="23"/>
      <c r="AF345" s="24"/>
      <c r="AG345" s="23"/>
      <c r="AH345" s="24"/>
      <c r="AI345" s="29" t="str">
        <f aca="false">IF(X345="Not accepted","Maintained",IF(X345="Partially accepted","Partially maintained",IF(X345="Accepted","Reversed",IF(X345="Withdrawn by hospital","Withdrawn by hospital",""))))</f>
        <v/>
      </c>
      <c r="AJ345" s="28" t="str">
        <f aca="false">IF(AI345="","",W345)</f>
        <v/>
      </c>
      <c r="AK345" s="29" t="str">
        <f aca="false">IF(AND(ISNUMBER(T345),ISNUMBER(W345)),W345-T345,"")</f>
        <v/>
      </c>
      <c r="AL345" s="29" t="str">
        <f aca="false">IF(A345="","",SUMIF(Actions!$C$5:$C$1004,A345,Actions!$F$5:$F$1004))</f>
        <v/>
      </c>
      <c r="AM345" s="25"/>
    </row>
    <row r="346" customFormat="false" ht="15" hidden="false" customHeight="false" outlineLevel="0" collapsed="false">
      <c r="A346" s="23"/>
      <c r="B346" s="23"/>
      <c r="C346" s="23"/>
      <c r="D346" s="23"/>
      <c r="E346" s="23"/>
      <c r="F346" s="23"/>
      <c r="G346" s="23"/>
      <c r="H346" s="23"/>
      <c r="I346" s="23"/>
      <c r="J346" s="23"/>
      <c r="K346" s="24"/>
      <c r="L346" s="23"/>
      <c r="M346" s="25"/>
      <c r="N346" s="25"/>
      <c r="O346" s="23"/>
      <c r="P346" s="26"/>
      <c r="Q346" s="26"/>
      <c r="R346" s="27" t="str">
        <f aca="false">IF(AND(ISNUMBER(P346),ISNUMBER(Q346)),P346-Q346,"")</f>
        <v/>
      </c>
      <c r="S346" s="24"/>
      <c r="T346" s="28" t="str">
        <f aca="false">IF(S346&lt;&gt;"",S346,IF(B346="","",IFERROR(IF(INDEX(Batches!$G$5:$G$64,MATCH(B346,Batches!$A$5:$A$64,0))="","",INDEX(Batches!$G$5:$G$64,MATCH(B346,Batches!$A$5:$A$64,0))),"")))</f>
        <v/>
      </c>
      <c r="U346" s="23"/>
      <c r="V346" s="24"/>
      <c r="W346" s="28" t="str">
        <f aca="false">IF(OR(X346="",X346="Pending"),"",IF(V346&lt;&gt;"",V346,IFERROR(IF(INDEX(Batches!$H$5:$H$64,MATCH(B346,Batches!$A$5:$A$64,0))="","",INDEX(Batches!$H$5:$H$64,MATCH(B346,Batches!$A$5:$A$64,0))),"")))</f>
        <v/>
      </c>
      <c r="X346" s="23"/>
      <c r="Y346" s="23"/>
      <c r="Z346" s="26"/>
      <c r="AA346" s="27" t="str">
        <f aca="false">IF(R346="","",IF(X346="Not accepted",R346,IF(OR(X346="Accepted",X346="Withdrawn by hospital"),IF(X346="Accepted",0,R346),IF(ISNUMBER(Z346),R346-Z346,""))))</f>
        <v/>
      </c>
      <c r="AB346" s="23"/>
      <c r="AC346" s="25"/>
      <c r="AD346" s="23"/>
      <c r="AE346" s="23"/>
      <c r="AF346" s="24"/>
      <c r="AG346" s="23"/>
      <c r="AH346" s="24"/>
      <c r="AI346" s="29" t="str">
        <f aca="false">IF(X346="Not accepted","Maintained",IF(X346="Partially accepted","Partially maintained",IF(X346="Accepted","Reversed",IF(X346="Withdrawn by hospital","Withdrawn by hospital",""))))</f>
        <v/>
      </c>
      <c r="AJ346" s="28" t="str">
        <f aca="false">IF(AI346="","",W346)</f>
        <v/>
      </c>
      <c r="AK346" s="29" t="str">
        <f aca="false">IF(AND(ISNUMBER(T346),ISNUMBER(W346)),W346-T346,"")</f>
        <v/>
      </c>
      <c r="AL346" s="29" t="str">
        <f aca="false">IF(A346="","",SUMIF(Actions!$C$5:$C$1004,A346,Actions!$F$5:$F$1004))</f>
        <v/>
      </c>
      <c r="AM346" s="25"/>
    </row>
    <row r="347" customFormat="false" ht="15" hidden="false" customHeight="false" outlineLevel="0" collapsed="false">
      <c r="A347" s="23"/>
      <c r="B347" s="23"/>
      <c r="C347" s="23"/>
      <c r="D347" s="23"/>
      <c r="E347" s="23"/>
      <c r="F347" s="23"/>
      <c r="G347" s="23"/>
      <c r="H347" s="23"/>
      <c r="I347" s="23"/>
      <c r="J347" s="23"/>
      <c r="K347" s="24"/>
      <c r="L347" s="23"/>
      <c r="M347" s="25"/>
      <c r="N347" s="25"/>
      <c r="O347" s="23"/>
      <c r="P347" s="26"/>
      <c r="Q347" s="26"/>
      <c r="R347" s="27" t="str">
        <f aca="false">IF(AND(ISNUMBER(P347),ISNUMBER(Q347)),P347-Q347,"")</f>
        <v/>
      </c>
      <c r="S347" s="24"/>
      <c r="T347" s="28" t="str">
        <f aca="false">IF(S347&lt;&gt;"",S347,IF(B347="","",IFERROR(IF(INDEX(Batches!$G$5:$G$64,MATCH(B347,Batches!$A$5:$A$64,0))="","",INDEX(Batches!$G$5:$G$64,MATCH(B347,Batches!$A$5:$A$64,0))),"")))</f>
        <v/>
      </c>
      <c r="U347" s="23"/>
      <c r="V347" s="24"/>
      <c r="W347" s="28" t="str">
        <f aca="false">IF(OR(X347="",X347="Pending"),"",IF(V347&lt;&gt;"",V347,IFERROR(IF(INDEX(Batches!$H$5:$H$64,MATCH(B347,Batches!$A$5:$A$64,0))="","",INDEX(Batches!$H$5:$H$64,MATCH(B347,Batches!$A$5:$A$64,0))),"")))</f>
        <v/>
      </c>
      <c r="X347" s="23"/>
      <c r="Y347" s="23"/>
      <c r="Z347" s="26"/>
      <c r="AA347" s="27" t="str">
        <f aca="false">IF(R347="","",IF(X347="Not accepted",R347,IF(OR(X347="Accepted",X347="Withdrawn by hospital"),IF(X347="Accepted",0,R347),IF(ISNUMBER(Z347),R347-Z347,""))))</f>
        <v/>
      </c>
      <c r="AB347" s="23"/>
      <c r="AC347" s="25"/>
      <c r="AD347" s="23"/>
      <c r="AE347" s="23"/>
      <c r="AF347" s="24"/>
      <c r="AG347" s="23"/>
      <c r="AH347" s="24"/>
      <c r="AI347" s="29" t="str">
        <f aca="false">IF(X347="Not accepted","Maintained",IF(X347="Partially accepted","Partially maintained",IF(X347="Accepted","Reversed",IF(X347="Withdrawn by hospital","Withdrawn by hospital",""))))</f>
        <v/>
      </c>
      <c r="AJ347" s="28" t="str">
        <f aca="false">IF(AI347="","",W347)</f>
        <v/>
      </c>
      <c r="AK347" s="29" t="str">
        <f aca="false">IF(AND(ISNUMBER(T347),ISNUMBER(W347)),W347-T347,"")</f>
        <v/>
      </c>
      <c r="AL347" s="29" t="str">
        <f aca="false">IF(A347="","",SUMIF(Actions!$C$5:$C$1004,A347,Actions!$F$5:$F$1004))</f>
        <v/>
      </c>
      <c r="AM347" s="25"/>
    </row>
    <row r="348" customFormat="false" ht="15" hidden="false" customHeight="false" outlineLevel="0" collapsed="false">
      <c r="A348" s="23"/>
      <c r="B348" s="23"/>
      <c r="C348" s="23"/>
      <c r="D348" s="23"/>
      <c r="E348" s="23"/>
      <c r="F348" s="23"/>
      <c r="G348" s="23"/>
      <c r="H348" s="23"/>
      <c r="I348" s="23"/>
      <c r="J348" s="23"/>
      <c r="K348" s="24"/>
      <c r="L348" s="23"/>
      <c r="M348" s="25"/>
      <c r="N348" s="25"/>
      <c r="O348" s="23"/>
      <c r="P348" s="26"/>
      <c r="Q348" s="26"/>
      <c r="R348" s="27" t="str">
        <f aca="false">IF(AND(ISNUMBER(P348),ISNUMBER(Q348)),P348-Q348,"")</f>
        <v/>
      </c>
      <c r="S348" s="24"/>
      <c r="T348" s="28" t="str">
        <f aca="false">IF(S348&lt;&gt;"",S348,IF(B348="","",IFERROR(IF(INDEX(Batches!$G$5:$G$64,MATCH(B348,Batches!$A$5:$A$64,0))="","",INDEX(Batches!$G$5:$G$64,MATCH(B348,Batches!$A$5:$A$64,0))),"")))</f>
        <v/>
      </c>
      <c r="U348" s="23"/>
      <c r="V348" s="24"/>
      <c r="W348" s="28" t="str">
        <f aca="false">IF(OR(X348="",X348="Pending"),"",IF(V348&lt;&gt;"",V348,IFERROR(IF(INDEX(Batches!$H$5:$H$64,MATCH(B348,Batches!$A$5:$A$64,0))="","",INDEX(Batches!$H$5:$H$64,MATCH(B348,Batches!$A$5:$A$64,0))),"")))</f>
        <v/>
      </c>
      <c r="X348" s="23"/>
      <c r="Y348" s="23"/>
      <c r="Z348" s="26"/>
      <c r="AA348" s="27" t="str">
        <f aca="false">IF(R348="","",IF(X348="Not accepted",R348,IF(OR(X348="Accepted",X348="Withdrawn by hospital"),IF(X348="Accepted",0,R348),IF(ISNUMBER(Z348),R348-Z348,""))))</f>
        <v/>
      </c>
      <c r="AB348" s="23"/>
      <c r="AC348" s="25"/>
      <c r="AD348" s="23"/>
      <c r="AE348" s="23"/>
      <c r="AF348" s="24"/>
      <c r="AG348" s="23"/>
      <c r="AH348" s="24"/>
      <c r="AI348" s="29" t="str">
        <f aca="false">IF(X348="Not accepted","Maintained",IF(X348="Partially accepted","Partially maintained",IF(X348="Accepted","Reversed",IF(X348="Withdrawn by hospital","Withdrawn by hospital",""))))</f>
        <v/>
      </c>
      <c r="AJ348" s="28" t="str">
        <f aca="false">IF(AI348="","",W348)</f>
        <v/>
      </c>
      <c r="AK348" s="29" t="str">
        <f aca="false">IF(AND(ISNUMBER(T348),ISNUMBER(W348)),W348-T348,"")</f>
        <v/>
      </c>
      <c r="AL348" s="29" t="str">
        <f aca="false">IF(A348="","",SUMIF(Actions!$C$5:$C$1004,A348,Actions!$F$5:$F$1004))</f>
        <v/>
      </c>
      <c r="AM348" s="25"/>
    </row>
    <row r="349" customFormat="false" ht="15" hidden="false" customHeight="false" outlineLevel="0" collapsed="false">
      <c r="A349" s="23"/>
      <c r="B349" s="23"/>
      <c r="C349" s="23"/>
      <c r="D349" s="23"/>
      <c r="E349" s="23"/>
      <c r="F349" s="23"/>
      <c r="G349" s="23"/>
      <c r="H349" s="23"/>
      <c r="I349" s="23"/>
      <c r="J349" s="23"/>
      <c r="K349" s="24"/>
      <c r="L349" s="23"/>
      <c r="M349" s="25"/>
      <c r="N349" s="25"/>
      <c r="O349" s="23"/>
      <c r="P349" s="26"/>
      <c r="Q349" s="26"/>
      <c r="R349" s="27" t="str">
        <f aca="false">IF(AND(ISNUMBER(P349),ISNUMBER(Q349)),P349-Q349,"")</f>
        <v/>
      </c>
      <c r="S349" s="24"/>
      <c r="T349" s="28" t="str">
        <f aca="false">IF(S349&lt;&gt;"",S349,IF(B349="","",IFERROR(IF(INDEX(Batches!$G$5:$G$64,MATCH(B349,Batches!$A$5:$A$64,0))="","",INDEX(Batches!$G$5:$G$64,MATCH(B349,Batches!$A$5:$A$64,0))),"")))</f>
        <v/>
      </c>
      <c r="U349" s="23"/>
      <c r="V349" s="24"/>
      <c r="W349" s="28" t="str">
        <f aca="false">IF(OR(X349="",X349="Pending"),"",IF(V349&lt;&gt;"",V349,IFERROR(IF(INDEX(Batches!$H$5:$H$64,MATCH(B349,Batches!$A$5:$A$64,0))="","",INDEX(Batches!$H$5:$H$64,MATCH(B349,Batches!$A$5:$A$64,0))),"")))</f>
        <v/>
      </c>
      <c r="X349" s="23"/>
      <c r="Y349" s="23"/>
      <c r="Z349" s="26"/>
      <c r="AA349" s="27" t="str">
        <f aca="false">IF(R349="","",IF(X349="Not accepted",R349,IF(OR(X349="Accepted",X349="Withdrawn by hospital"),IF(X349="Accepted",0,R349),IF(ISNUMBER(Z349),R349-Z349,""))))</f>
        <v/>
      </c>
      <c r="AB349" s="23"/>
      <c r="AC349" s="25"/>
      <c r="AD349" s="23"/>
      <c r="AE349" s="23"/>
      <c r="AF349" s="24"/>
      <c r="AG349" s="23"/>
      <c r="AH349" s="24"/>
      <c r="AI349" s="29" t="str">
        <f aca="false">IF(X349="Not accepted","Maintained",IF(X349="Partially accepted","Partially maintained",IF(X349="Accepted","Reversed",IF(X349="Withdrawn by hospital","Withdrawn by hospital",""))))</f>
        <v/>
      </c>
      <c r="AJ349" s="28" t="str">
        <f aca="false">IF(AI349="","",W349)</f>
        <v/>
      </c>
      <c r="AK349" s="29" t="str">
        <f aca="false">IF(AND(ISNUMBER(T349),ISNUMBER(W349)),W349-T349,"")</f>
        <v/>
      </c>
      <c r="AL349" s="29" t="str">
        <f aca="false">IF(A349="","",SUMIF(Actions!$C$5:$C$1004,A349,Actions!$F$5:$F$1004))</f>
        <v/>
      </c>
      <c r="AM349" s="25"/>
    </row>
    <row r="350" customFormat="false" ht="15" hidden="false" customHeight="false" outlineLevel="0" collapsed="false">
      <c r="A350" s="23"/>
      <c r="B350" s="23"/>
      <c r="C350" s="23"/>
      <c r="D350" s="23"/>
      <c r="E350" s="23"/>
      <c r="F350" s="23"/>
      <c r="G350" s="23"/>
      <c r="H350" s="23"/>
      <c r="I350" s="23"/>
      <c r="J350" s="23"/>
      <c r="K350" s="24"/>
      <c r="L350" s="23"/>
      <c r="M350" s="25"/>
      <c r="N350" s="25"/>
      <c r="O350" s="23"/>
      <c r="P350" s="26"/>
      <c r="Q350" s="26"/>
      <c r="R350" s="27" t="str">
        <f aca="false">IF(AND(ISNUMBER(P350),ISNUMBER(Q350)),P350-Q350,"")</f>
        <v/>
      </c>
      <c r="S350" s="24"/>
      <c r="T350" s="28" t="str">
        <f aca="false">IF(S350&lt;&gt;"",S350,IF(B350="","",IFERROR(IF(INDEX(Batches!$G$5:$G$64,MATCH(B350,Batches!$A$5:$A$64,0))="","",INDEX(Batches!$G$5:$G$64,MATCH(B350,Batches!$A$5:$A$64,0))),"")))</f>
        <v/>
      </c>
      <c r="U350" s="23"/>
      <c r="V350" s="24"/>
      <c r="W350" s="28" t="str">
        <f aca="false">IF(OR(X350="",X350="Pending"),"",IF(V350&lt;&gt;"",V350,IFERROR(IF(INDEX(Batches!$H$5:$H$64,MATCH(B350,Batches!$A$5:$A$64,0))="","",INDEX(Batches!$H$5:$H$64,MATCH(B350,Batches!$A$5:$A$64,0))),"")))</f>
        <v/>
      </c>
      <c r="X350" s="23"/>
      <c r="Y350" s="23"/>
      <c r="Z350" s="26"/>
      <c r="AA350" s="27" t="str">
        <f aca="false">IF(R350="","",IF(X350="Not accepted",R350,IF(OR(X350="Accepted",X350="Withdrawn by hospital"),IF(X350="Accepted",0,R350),IF(ISNUMBER(Z350),R350-Z350,""))))</f>
        <v/>
      </c>
      <c r="AB350" s="23"/>
      <c r="AC350" s="25"/>
      <c r="AD350" s="23"/>
      <c r="AE350" s="23"/>
      <c r="AF350" s="24"/>
      <c r="AG350" s="23"/>
      <c r="AH350" s="24"/>
      <c r="AI350" s="29" t="str">
        <f aca="false">IF(X350="Not accepted","Maintained",IF(X350="Partially accepted","Partially maintained",IF(X350="Accepted","Reversed",IF(X350="Withdrawn by hospital","Withdrawn by hospital",""))))</f>
        <v/>
      </c>
      <c r="AJ350" s="28" t="str">
        <f aca="false">IF(AI350="","",W350)</f>
        <v/>
      </c>
      <c r="AK350" s="29" t="str">
        <f aca="false">IF(AND(ISNUMBER(T350),ISNUMBER(W350)),W350-T350,"")</f>
        <v/>
      </c>
      <c r="AL350" s="29" t="str">
        <f aca="false">IF(A350="","",SUMIF(Actions!$C$5:$C$1004,A350,Actions!$F$5:$F$1004))</f>
        <v/>
      </c>
      <c r="AM350" s="25"/>
    </row>
    <row r="351" customFormat="false" ht="15" hidden="false" customHeight="false" outlineLevel="0" collapsed="false">
      <c r="A351" s="23"/>
      <c r="B351" s="23"/>
      <c r="C351" s="23"/>
      <c r="D351" s="23"/>
      <c r="E351" s="23"/>
      <c r="F351" s="23"/>
      <c r="G351" s="23"/>
      <c r="H351" s="23"/>
      <c r="I351" s="23"/>
      <c r="J351" s="23"/>
      <c r="K351" s="24"/>
      <c r="L351" s="23"/>
      <c r="M351" s="25"/>
      <c r="N351" s="25"/>
      <c r="O351" s="23"/>
      <c r="P351" s="26"/>
      <c r="Q351" s="26"/>
      <c r="R351" s="27" t="str">
        <f aca="false">IF(AND(ISNUMBER(P351),ISNUMBER(Q351)),P351-Q351,"")</f>
        <v/>
      </c>
      <c r="S351" s="24"/>
      <c r="T351" s="28" t="str">
        <f aca="false">IF(S351&lt;&gt;"",S351,IF(B351="","",IFERROR(IF(INDEX(Batches!$G$5:$G$64,MATCH(B351,Batches!$A$5:$A$64,0))="","",INDEX(Batches!$G$5:$G$64,MATCH(B351,Batches!$A$5:$A$64,0))),"")))</f>
        <v/>
      </c>
      <c r="U351" s="23"/>
      <c r="V351" s="24"/>
      <c r="W351" s="28" t="str">
        <f aca="false">IF(OR(X351="",X351="Pending"),"",IF(V351&lt;&gt;"",V351,IFERROR(IF(INDEX(Batches!$H$5:$H$64,MATCH(B351,Batches!$A$5:$A$64,0))="","",INDEX(Batches!$H$5:$H$64,MATCH(B351,Batches!$A$5:$A$64,0))),"")))</f>
        <v/>
      </c>
      <c r="X351" s="23"/>
      <c r="Y351" s="23"/>
      <c r="Z351" s="26"/>
      <c r="AA351" s="27" t="str">
        <f aca="false">IF(R351="","",IF(X351="Not accepted",R351,IF(OR(X351="Accepted",X351="Withdrawn by hospital"),IF(X351="Accepted",0,R351),IF(ISNUMBER(Z351),R351-Z351,""))))</f>
        <v/>
      </c>
      <c r="AB351" s="23"/>
      <c r="AC351" s="25"/>
      <c r="AD351" s="23"/>
      <c r="AE351" s="23"/>
      <c r="AF351" s="24"/>
      <c r="AG351" s="23"/>
      <c r="AH351" s="24"/>
      <c r="AI351" s="29" t="str">
        <f aca="false">IF(X351="Not accepted","Maintained",IF(X351="Partially accepted","Partially maintained",IF(X351="Accepted","Reversed",IF(X351="Withdrawn by hospital","Withdrawn by hospital",""))))</f>
        <v/>
      </c>
      <c r="AJ351" s="28" t="str">
        <f aca="false">IF(AI351="","",W351)</f>
        <v/>
      </c>
      <c r="AK351" s="29" t="str">
        <f aca="false">IF(AND(ISNUMBER(T351),ISNUMBER(W351)),W351-T351,"")</f>
        <v/>
      </c>
      <c r="AL351" s="29" t="str">
        <f aca="false">IF(A351="","",SUMIF(Actions!$C$5:$C$1004,A351,Actions!$F$5:$F$1004))</f>
        <v/>
      </c>
      <c r="AM351" s="25"/>
    </row>
    <row r="352" customFormat="false" ht="15" hidden="false" customHeight="false" outlineLevel="0" collapsed="false">
      <c r="A352" s="23"/>
      <c r="B352" s="23"/>
      <c r="C352" s="23"/>
      <c r="D352" s="23"/>
      <c r="E352" s="23"/>
      <c r="F352" s="23"/>
      <c r="G352" s="23"/>
      <c r="H352" s="23"/>
      <c r="I352" s="23"/>
      <c r="J352" s="23"/>
      <c r="K352" s="24"/>
      <c r="L352" s="23"/>
      <c r="M352" s="25"/>
      <c r="N352" s="25"/>
      <c r="O352" s="23"/>
      <c r="P352" s="26"/>
      <c r="Q352" s="26"/>
      <c r="R352" s="27" t="str">
        <f aca="false">IF(AND(ISNUMBER(P352),ISNUMBER(Q352)),P352-Q352,"")</f>
        <v/>
      </c>
      <c r="S352" s="24"/>
      <c r="T352" s="28" t="str">
        <f aca="false">IF(S352&lt;&gt;"",S352,IF(B352="","",IFERROR(IF(INDEX(Batches!$G$5:$G$64,MATCH(B352,Batches!$A$5:$A$64,0))="","",INDEX(Batches!$G$5:$G$64,MATCH(B352,Batches!$A$5:$A$64,0))),"")))</f>
        <v/>
      </c>
      <c r="U352" s="23"/>
      <c r="V352" s="24"/>
      <c r="W352" s="28" t="str">
        <f aca="false">IF(OR(X352="",X352="Pending"),"",IF(V352&lt;&gt;"",V352,IFERROR(IF(INDEX(Batches!$H$5:$H$64,MATCH(B352,Batches!$A$5:$A$64,0))="","",INDEX(Batches!$H$5:$H$64,MATCH(B352,Batches!$A$5:$A$64,0))),"")))</f>
        <v/>
      </c>
      <c r="X352" s="23"/>
      <c r="Y352" s="23"/>
      <c r="Z352" s="26"/>
      <c r="AA352" s="27" t="str">
        <f aca="false">IF(R352="","",IF(X352="Not accepted",R352,IF(OR(X352="Accepted",X352="Withdrawn by hospital"),IF(X352="Accepted",0,R352),IF(ISNUMBER(Z352),R352-Z352,""))))</f>
        <v/>
      </c>
      <c r="AB352" s="23"/>
      <c r="AC352" s="25"/>
      <c r="AD352" s="23"/>
      <c r="AE352" s="23"/>
      <c r="AF352" s="24"/>
      <c r="AG352" s="23"/>
      <c r="AH352" s="24"/>
      <c r="AI352" s="29" t="str">
        <f aca="false">IF(X352="Not accepted","Maintained",IF(X352="Partially accepted","Partially maintained",IF(X352="Accepted","Reversed",IF(X352="Withdrawn by hospital","Withdrawn by hospital",""))))</f>
        <v/>
      </c>
      <c r="AJ352" s="28" t="str">
        <f aca="false">IF(AI352="","",W352)</f>
        <v/>
      </c>
      <c r="AK352" s="29" t="str">
        <f aca="false">IF(AND(ISNUMBER(T352),ISNUMBER(W352)),W352-T352,"")</f>
        <v/>
      </c>
      <c r="AL352" s="29" t="str">
        <f aca="false">IF(A352="","",SUMIF(Actions!$C$5:$C$1004,A352,Actions!$F$5:$F$1004))</f>
        <v/>
      </c>
      <c r="AM352" s="25"/>
    </row>
    <row r="353" customFormat="false" ht="15" hidden="false" customHeight="false" outlineLevel="0" collapsed="false">
      <c r="A353" s="23"/>
      <c r="B353" s="23"/>
      <c r="C353" s="23"/>
      <c r="D353" s="23"/>
      <c r="E353" s="23"/>
      <c r="F353" s="23"/>
      <c r="G353" s="23"/>
      <c r="H353" s="23"/>
      <c r="I353" s="23"/>
      <c r="J353" s="23"/>
      <c r="K353" s="24"/>
      <c r="L353" s="23"/>
      <c r="M353" s="25"/>
      <c r="N353" s="25"/>
      <c r="O353" s="23"/>
      <c r="P353" s="26"/>
      <c r="Q353" s="26"/>
      <c r="R353" s="27" t="str">
        <f aca="false">IF(AND(ISNUMBER(P353),ISNUMBER(Q353)),P353-Q353,"")</f>
        <v/>
      </c>
      <c r="S353" s="24"/>
      <c r="T353" s="28" t="str">
        <f aca="false">IF(S353&lt;&gt;"",S353,IF(B353="","",IFERROR(IF(INDEX(Batches!$G$5:$G$64,MATCH(B353,Batches!$A$5:$A$64,0))="","",INDEX(Batches!$G$5:$G$64,MATCH(B353,Batches!$A$5:$A$64,0))),"")))</f>
        <v/>
      </c>
      <c r="U353" s="23"/>
      <c r="V353" s="24"/>
      <c r="W353" s="28" t="str">
        <f aca="false">IF(OR(X353="",X353="Pending"),"",IF(V353&lt;&gt;"",V353,IFERROR(IF(INDEX(Batches!$H$5:$H$64,MATCH(B353,Batches!$A$5:$A$64,0))="","",INDEX(Batches!$H$5:$H$64,MATCH(B353,Batches!$A$5:$A$64,0))),"")))</f>
        <v/>
      </c>
      <c r="X353" s="23"/>
      <c r="Y353" s="23"/>
      <c r="Z353" s="26"/>
      <c r="AA353" s="27" t="str">
        <f aca="false">IF(R353="","",IF(X353="Not accepted",R353,IF(OR(X353="Accepted",X353="Withdrawn by hospital"),IF(X353="Accepted",0,R353),IF(ISNUMBER(Z353),R353-Z353,""))))</f>
        <v/>
      </c>
      <c r="AB353" s="23"/>
      <c r="AC353" s="25"/>
      <c r="AD353" s="23"/>
      <c r="AE353" s="23"/>
      <c r="AF353" s="24"/>
      <c r="AG353" s="23"/>
      <c r="AH353" s="24"/>
      <c r="AI353" s="29" t="str">
        <f aca="false">IF(X353="Not accepted","Maintained",IF(X353="Partially accepted","Partially maintained",IF(X353="Accepted","Reversed",IF(X353="Withdrawn by hospital","Withdrawn by hospital",""))))</f>
        <v/>
      </c>
      <c r="AJ353" s="28" t="str">
        <f aca="false">IF(AI353="","",W353)</f>
        <v/>
      </c>
      <c r="AK353" s="29" t="str">
        <f aca="false">IF(AND(ISNUMBER(T353),ISNUMBER(W353)),W353-T353,"")</f>
        <v/>
      </c>
      <c r="AL353" s="29" t="str">
        <f aca="false">IF(A353="","",SUMIF(Actions!$C$5:$C$1004,A353,Actions!$F$5:$F$1004))</f>
        <v/>
      </c>
      <c r="AM353" s="25"/>
    </row>
    <row r="354" customFormat="false" ht="15" hidden="false" customHeight="false" outlineLevel="0" collapsed="false">
      <c r="A354" s="23"/>
      <c r="B354" s="23"/>
      <c r="C354" s="23"/>
      <c r="D354" s="23"/>
      <c r="E354" s="23"/>
      <c r="F354" s="23"/>
      <c r="G354" s="23"/>
      <c r="H354" s="23"/>
      <c r="I354" s="23"/>
      <c r="J354" s="23"/>
      <c r="K354" s="24"/>
      <c r="L354" s="23"/>
      <c r="M354" s="25"/>
      <c r="N354" s="25"/>
      <c r="O354" s="23"/>
      <c r="P354" s="26"/>
      <c r="Q354" s="26"/>
      <c r="R354" s="27" t="str">
        <f aca="false">IF(AND(ISNUMBER(P354),ISNUMBER(Q354)),P354-Q354,"")</f>
        <v/>
      </c>
      <c r="S354" s="24"/>
      <c r="T354" s="28" t="str">
        <f aca="false">IF(S354&lt;&gt;"",S354,IF(B354="","",IFERROR(IF(INDEX(Batches!$G$5:$G$64,MATCH(B354,Batches!$A$5:$A$64,0))="","",INDEX(Batches!$G$5:$G$64,MATCH(B354,Batches!$A$5:$A$64,0))),"")))</f>
        <v/>
      </c>
      <c r="U354" s="23"/>
      <c r="V354" s="24"/>
      <c r="W354" s="28" t="str">
        <f aca="false">IF(OR(X354="",X354="Pending"),"",IF(V354&lt;&gt;"",V354,IFERROR(IF(INDEX(Batches!$H$5:$H$64,MATCH(B354,Batches!$A$5:$A$64,0))="","",INDEX(Batches!$H$5:$H$64,MATCH(B354,Batches!$A$5:$A$64,0))),"")))</f>
        <v/>
      </c>
      <c r="X354" s="23"/>
      <c r="Y354" s="23"/>
      <c r="Z354" s="26"/>
      <c r="AA354" s="27" t="str">
        <f aca="false">IF(R354="","",IF(X354="Not accepted",R354,IF(OR(X354="Accepted",X354="Withdrawn by hospital"),IF(X354="Accepted",0,R354),IF(ISNUMBER(Z354),R354-Z354,""))))</f>
        <v/>
      </c>
      <c r="AB354" s="23"/>
      <c r="AC354" s="25"/>
      <c r="AD354" s="23"/>
      <c r="AE354" s="23"/>
      <c r="AF354" s="24"/>
      <c r="AG354" s="23"/>
      <c r="AH354" s="24"/>
      <c r="AI354" s="29" t="str">
        <f aca="false">IF(X354="Not accepted","Maintained",IF(X354="Partially accepted","Partially maintained",IF(X354="Accepted","Reversed",IF(X354="Withdrawn by hospital","Withdrawn by hospital",""))))</f>
        <v/>
      </c>
      <c r="AJ354" s="28" t="str">
        <f aca="false">IF(AI354="","",W354)</f>
        <v/>
      </c>
      <c r="AK354" s="29" t="str">
        <f aca="false">IF(AND(ISNUMBER(T354),ISNUMBER(W354)),W354-T354,"")</f>
        <v/>
      </c>
      <c r="AL354" s="29" t="str">
        <f aca="false">IF(A354="","",SUMIF(Actions!$C$5:$C$1004,A354,Actions!$F$5:$F$1004))</f>
        <v/>
      </c>
      <c r="AM354" s="25"/>
    </row>
    <row r="355" customFormat="false" ht="15" hidden="false" customHeight="false" outlineLevel="0" collapsed="false">
      <c r="A355" s="23"/>
      <c r="B355" s="23"/>
      <c r="C355" s="23"/>
      <c r="D355" s="23"/>
      <c r="E355" s="23"/>
      <c r="F355" s="23"/>
      <c r="G355" s="23"/>
      <c r="H355" s="23"/>
      <c r="I355" s="23"/>
      <c r="J355" s="23"/>
      <c r="K355" s="24"/>
      <c r="L355" s="23"/>
      <c r="M355" s="25"/>
      <c r="N355" s="25"/>
      <c r="O355" s="23"/>
      <c r="P355" s="26"/>
      <c r="Q355" s="26"/>
      <c r="R355" s="27" t="str">
        <f aca="false">IF(AND(ISNUMBER(P355),ISNUMBER(Q355)),P355-Q355,"")</f>
        <v/>
      </c>
      <c r="S355" s="24"/>
      <c r="T355" s="28" t="str">
        <f aca="false">IF(S355&lt;&gt;"",S355,IF(B355="","",IFERROR(IF(INDEX(Batches!$G$5:$G$64,MATCH(B355,Batches!$A$5:$A$64,0))="","",INDEX(Batches!$G$5:$G$64,MATCH(B355,Batches!$A$5:$A$64,0))),"")))</f>
        <v/>
      </c>
      <c r="U355" s="23"/>
      <c r="V355" s="24"/>
      <c r="W355" s="28" t="str">
        <f aca="false">IF(OR(X355="",X355="Pending"),"",IF(V355&lt;&gt;"",V355,IFERROR(IF(INDEX(Batches!$H$5:$H$64,MATCH(B355,Batches!$A$5:$A$64,0))="","",INDEX(Batches!$H$5:$H$64,MATCH(B355,Batches!$A$5:$A$64,0))),"")))</f>
        <v/>
      </c>
      <c r="X355" s="23"/>
      <c r="Y355" s="23"/>
      <c r="Z355" s="26"/>
      <c r="AA355" s="27" t="str">
        <f aca="false">IF(R355="","",IF(X355="Not accepted",R355,IF(OR(X355="Accepted",X355="Withdrawn by hospital"),IF(X355="Accepted",0,R355),IF(ISNUMBER(Z355),R355-Z355,""))))</f>
        <v/>
      </c>
      <c r="AB355" s="23"/>
      <c r="AC355" s="25"/>
      <c r="AD355" s="23"/>
      <c r="AE355" s="23"/>
      <c r="AF355" s="24"/>
      <c r="AG355" s="23"/>
      <c r="AH355" s="24"/>
      <c r="AI355" s="29" t="str">
        <f aca="false">IF(X355="Not accepted","Maintained",IF(X355="Partially accepted","Partially maintained",IF(X355="Accepted","Reversed",IF(X355="Withdrawn by hospital","Withdrawn by hospital",""))))</f>
        <v/>
      </c>
      <c r="AJ355" s="28" t="str">
        <f aca="false">IF(AI355="","",W355)</f>
        <v/>
      </c>
      <c r="AK355" s="29" t="str">
        <f aca="false">IF(AND(ISNUMBER(T355),ISNUMBER(W355)),W355-T355,"")</f>
        <v/>
      </c>
      <c r="AL355" s="29" t="str">
        <f aca="false">IF(A355="","",SUMIF(Actions!$C$5:$C$1004,A355,Actions!$F$5:$F$1004))</f>
        <v/>
      </c>
      <c r="AM355" s="25"/>
    </row>
    <row r="356" customFormat="false" ht="15" hidden="false" customHeight="false" outlineLevel="0" collapsed="false">
      <c r="A356" s="23"/>
      <c r="B356" s="23"/>
      <c r="C356" s="23"/>
      <c r="D356" s="23"/>
      <c r="E356" s="23"/>
      <c r="F356" s="23"/>
      <c r="G356" s="23"/>
      <c r="H356" s="23"/>
      <c r="I356" s="23"/>
      <c r="J356" s="23"/>
      <c r="K356" s="24"/>
      <c r="L356" s="23"/>
      <c r="M356" s="25"/>
      <c r="N356" s="25"/>
      <c r="O356" s="23"/>
      <c r="P356" s="26"/>
      <c r="Q356" s="26"/>
      <c r="R356" s="27" t="str">
        <f aca="false">IF(AND(ISNUMBER(P356),ISNUMBER(Q356)),P356-Q356,"")</f>
        <v/>
      </c>
      <c r="S356" s="24"/>
      <c r="T356" s="28" t="str">
        <f aca="false">IF(S356&lt;&gt;"",S356,IF(B356="","",IFERROR(IF(INDEX(Batches!$G$5:$G$64,MATCH(B356,Batches!$A$5:$A$64,0))="","",INDEX(Batches!$G$5:$G$64,MATCH(B356,Batches!$A$5:$A$64,0))),"")))</f>
        <v/>
      </c>
      <c r="U356" s="23"/>
      <c r="V356" s="24"/>
      <c r="W356" s="28" t="str">
        <f aca="false">IF(OR(X356="",X356="Pending"),"",IF(V356&lt;&gt;"",V356,IFERROR(IF(INDEX(Batches!$H$5:$H$64,MATCH(B356,Batches!$A$5:$A$64,0))="","",INDEX(Batches!$H$5:$H$64,MATCH(B356,Batches!$A$5:$A$64,0))),"")))</f>
        <v/>
      </c>
      <c r="X356" s="23"/>
      <c r="Y356" s="23"/>
      <c r="Z356" s="26"/>
      <c r="AA356" s="27" t="str">
        <f aca="false">IF(R356="","",IF(X356="Not accepted",R356,IF(OR(X356="Accepted",X356="Withdrawn by hospital"),IF(X356="Accepted",0,R356),IF(ISNUMBER(Z356),R356-Z356,""))))</f>
        <v/>
      </c>
      <c r="AB356" s="23"/>
      <c r="AC356" s="25"/>
      <c r="AD356" s="23"/>
      <c r="AE356" s="23"/>
      <c r="AF356" s="24"/>
      <c r="AG356" s="23"/>
      <c r="AH356" s="24"/>
      <c r="AI356" s="29" t="str">
        <f aca="false">IF(X356="Not accepted","Maintained",IF(X356="Partially accepted","Partially maintained",IF(X356="Accepted","Reversed",IF(X356="Withdrawn by hospital","Withdrawn by hospital",""))))</f>
        <v/>
      </c>
      <c r="AJ356" s="28" t="str">
        <f aca="false">IF(AI356="","",W356)</f>
        <v/>
      </c>
      <c r="AK356" s="29" t="str">
        <f aca="false">IF(AND(ISNUMBER(T356),ISNUMBER(W356)),W356-T356,"")</f>
        <v/>
      </c>
      <c r="AL356" s="29" t="str">
        <f aca="false">IF(A356="","",SUMIF(Actions!$C$5:$C$1004,A356,Actions!$F$5:$F$1004))</f>
        <v/>
      </c>
      <c r="AM356" s="25"/>
    </row>
    <row r="357" customFormat="false" ht="15" hidden="false" customHeight="false" outlineLevel="0" collapsed="false">
      <c r="A357" s="23"/>
      <c r="B357" s="23"/>
      <c r="C357" s="23"/>
      <c r="D357" s="23"/>
      <c r="E357" s="23"/>
      <c r="F357" s="23"/>
      <c r="G357" s="23"/>
      <c r="H357" s="23"/>
      <c r="I357" s="23"/>
      <c r="J357" s="23"/>
      <c r="K357" s="24"/>
      <c r="L357" s="23"/>
      <c r="M357" s="25"/>
      <c r="N357" s="25"/>
      <c r="O357" s="23"/>
      <c r="P357" s="26"/>
      <c r="Q357" s="26"/>
      <c r="R357" s="27" t="str">
        <f aca="false">IF(AND(ISNUMBER(P357),ISNUMBER(Q357)),P357-Q357,"")</f>
        <v/>
      </c>
      <c r="S357" s="24"/>
      <c r="T357" s="28" t="str">
        <f aca="false">IF(S357&lt;&gt;"",S357,IF(B357="","",IFERROR(IF(INDEX(Batches!$G$5:$G$64,MATCH(B357,Batches!$A$5:$A$64,0))="","",INDEX(Batches!$G$5:$G$64,MATCH(B357,Batches!$A$5:$A$64,0))),"")))</f>
        <v/>
      </c>
      <c r="U357" s="23"/>
      <c r="V357" s="24"/>
      <c r="W357" s="28" t="str">
        <f aca="false">IF(OR(X357="",X357="Pending"),"",IF(V357&lt;&gt;"",V357,IFERROR(IF(INDEX(Batches!$H$5:$H$64,MATCH(B357,Batches!$A$5:$A$64,0))="","",INDEX(Batches!$H$5:$H$64,MATCH(B357,Batches!$A$5:$A$64,0))),"")))</f>
        <v/>
      </c>
      <c r="X357" s="23"/>
      <c r="Y357" s="23"/>
      <c r="Z357" s="26"/>
      <c r="AA357" s="27" t="str">
        <f aca="false">IF(R357="","",IF(X357="Not accepted",R357,IF(OR(X357="Accepted",X357="Withdrawn by hospital"),IF(X357="Accepted",0,R357),IF(ISNUMBER(Z357),R357-Z357,""))))</f>
        <v/>
      </c>
      <c r="AB357" s="23"/>
      <c r="AC357" s="25"/>
      <c r="AD357" s="23"/>
      <c r="AE357" s="23"/>
      <c r="AF357" s="24"/>
      <c r="AG357" s="23"/>
      <c r="AH357" s="24"/>
      <c r="AI357" s="29" t="str">
        <f aca="false">IF(X357="Not accepted","Maintained",IF(X357="Partially accepted","Partially maintained",IF(X357="Accepted","Reversed",IF(X357="Withdrawn by hospital","Withdrawn by hospital",""))))</f>
        <v/>
      </c>
      <c r="AJ357" s="28" t="str">
        <f aca="false">IF(AI357="","",W357)</f>
        <v/>
      </c>
      <c r="AK357" s="29" t="str">
        <f aca="false">IF(AND(ISNUMBER(T357),ISNUMBER(W357)),W357-T357,"")</f>
        <v/>
      </c>
      <c r="AL357" s="29" t="str">
        <f aca="false">IF(A357="","",SUMIF(Actions!$C$5:$C$1004,A357,Actions!$F$5:$F$1004))</f>
        <v/>
      </c>
      <c r="AM357" s="25"/>
    </row>
    <row r="358" customFormat="false" ht="15" hidden="false" customHeight="false" outlineLevel="0" collapsed="false">
      <c r="A358" s="23"/>
      <c r="B358" s="23"/>
      <c r="C358" s="23"/>
      <c r="D358" s="23"/>
      <c r="E358" s="23"/>
      <c r="F358" s="23"/>
      <c r="G358" s="23"/>
      <c r="H358" s="23"/>
      <c r="I358" s="23"/>
      <c r="J358" s="23"/>
      <c r="K358" s="24"/>
      <c r="L358" s="23"/>
      <c r="M358" s="25"/>
      <c r="N358" s="25"/>
      <c r="O358" s="23"/>
      <c r="P358" s="26"/>
      <c r="Q358" s="26"/>
      <c r="R358" s="27" t="str">
        <f aca="false">IF(AND(ISNUMBER(P358),ISNUMBER(Q358)),P358-Q358,"")</f>
        <v/>
      </c>
      <c r="S358" s="24"/>
      <c r="T358" s="28" t="str">
        <f aca="false">IF(S358&lt;&gt;"",S358,IF(B358="","",IFERROR(IF(INDEX(Batches!$G$5:$G$64,MATCH(B358,Batches!$A$5:$A$64,0))="","",INDEX(Batches!$G$5:$G$64,MATCH(B358,Batches!$A$5:$A$64,0))),"")))</f>
        <v/>
      </c>
      <c r="U358" s="23"/>
      <c r="V358" s="24"/>
      <c r="W358" s="28" t="str">
        <f aca="false">IF(OR(X358="",X358="Pending"),"",IF(V358&lt;&gt;"",V358,IFERROR(IF(INDEX(Batches!$H$5:$H$64,MATCH(B358,Batches!$A$5:$A$64,0))="","",INDEX(Batches!$H$5:$H$64,MATCH(B358,Batches!$A$5:$A$64,0))),"")))</f>
        <v/>
      </c>
      <c r="X358" s="23"/>
      <c r="Y358" s="23"/>
      <c r="Z358" s="26"/>
      <c r="AA358" s="27" t="str">
        <f aca="false">IF(R358="","",IF(X358="Not accepted",R358,IF(OR(X358="Accepted",X358="Withdrawn by hospital"),IF(X358="Accepted",0,R358),IF(ISNUMBER(Z358),R358-Z358,""))))</f>
        <v/>
      </c>
      <c r="AB358" s="23"/>
      <c r="AC358" s="25"/>
      <c r="AD358" s="23"/>
      <c r="AE358" s="23"/>
      <c r="AF358" s="24"/>
      <c r="AG358" s="23"/>
      <c r="AH358" s="24"/>
      <c r="AI358" s="29" t="str">
        <f aca="false">IF(X358="Not accepted","Maintained",IF(X358="Partially accepted","Partially maintained",IF(X358="Accepted","Reversed",IF(X358="Withdrawn by hospital","Withdrawn by hospital",""))))</f>
        <v/>
      </c>
      <c r="AJ358" s="28" t="str">
        <f aca="false">IF(AI358="","",W358)</f>
        <v/>
      </c>
      <c r="AK358" s="29" t="str">
        <f aca="false">IF(AND(ISNUMBER(T358),ISNUMBER(W358)),W358-T358,"")</f>
        <v/>
      </c>
      <c r="AL358" s="29" t="str">
        <f aca="false">IF(A358="","",SUMIF(Actions!$C$5:$C$1004,A358,Actions!$F$5:$F$1004))</f>
        <v/>
      </c>
      <c r="AM358" s="25"/>
    </row>
    <row r="359" customFormat="false" ht="15" hidden="false" customHeight="false" outlineLevel="0" collapsed="false">
      <c r="A359" s="23"/>
      <c r="B359" s="23"/>
      <c r="C359" s="23"/>
      <c r="D359" s="23"/>
      <c r="E359" s="23"/>
      <c r="F359" s="23"/>
      <c r="G359" s="23"/>
      <c r="H359" s="23"/>
      <c r="I359" s="23"/>
      <c r="J359" s="23"/>
      <c r="K359" s="24"/>
      <c r="L359" s="23"/>
      <c r="M359" s="25"/>
      <c r="N359" s="25"/>
      <c r="O359" s="23"/>
      <c r="P359" s="26"/>
      <c r="Q359" s="26"/>
      <c r="R359" s="27" t="str">
        <f aca="false">IF(AND(ISNUMBER(P359),ISNUMBER(Q359)),P359-Q359,"")</f>
        <v/>
      </c>
      <c r="S359" s="24"/>
      <c r="T359" s="28" t="str">
        <f aca="false">IF(S359&lt;&gt;"",S359,IF(B359="","",IFERROR(IF(INDEX(Batches!$G$5:$G$64,MATCH(B359,Batches!$A$5:$A$64,0))="","",INDEX(Batches!$G$5:$G$64,MATCH(B359,Batches!$A$5:$A$64,0))),"")))</f>
        <v/>
      </c>
      <c r="U359" s="23"/>
      <c r="V359" s="24"/>
      <c r="W359" s="28" t="str">
        <f aca="false">IF(OR(X359="",X359="Pending"),"",IF(V359&lt;&gt;"",V359,IFERROR(IF(INDEX(Batches!$H$5:$H$64,MATCH(B359,Batches!$A$5:$A$64,0))="","",INDEX(Batches!$H$5:$H$64,MATCH(B359,Batches!$A$5:$A$64,0))),"")))</f>
        <v/>
      </c>
      <c r="X359" s="23"/>
      <c r="Y359" s="23"/>
      <c r="Z359" s="26"/>
      <c r="AA359" s="27" t="str">
        <f aca="false">IF(R359="","",IF(X359="Not accepted",R359,IF(OR(X359="Accepted",X359="Withdrawn by hospital"),IF(X359="Accepted",0,R359),IF(ISNUMBER(Z359),R359-Z359,""))))</f>
        <v/>
      </c>
      <c r="AB359" s="23"/>
      <c r="AC359" s="25"/>
      <c r="AD359" s="23"/>
      <c r="AE359" s="23"/>
      <c r="AF359" s="24"/>
      <c r="AG359" s="23"/>
      <c r="AH359" s="24"/>
      <c r="AI359" s="29" t="str">
        <f aca="false">IF(X359="Not accepted","Maintained",IF(X359="Partially accepted","Partially maintained",IF(X359="Accepted","Reversed",IF(X359="Withdrawn by hospital","Withdrawn by hospital",""))))</f>
        <v/>
      </c>
      <c r="AJ359" s="28" t="str">
        <f aca="false">IF(AI359="","",W359)</f>
        <v/>
      </c>
      <c r="AK359" s="29" t="str">
        <f aca="false">IF(AND(ISNUMBER(T359),ISNUMBER(W359)),W359-T359,"")</f>
        <v/>
      </c>
      <c r="AL359" s="29" t="str">
        <f aca="false">IF(A359="","",SUMIF(Actions!$C$5:$C$1004,A359,Actions!$F$5:$F$1004))</f>
        <v/>
      </c>
      <c r="AM359" s="25"/>
    </row>
    <row r="360" customFormat="false" ht="15" hidden="false" customHeight="false" outlineLevel="0" collapsed="false">
      <c r="A360" s="23"/>
      <c r="B360" s="23"/>
      <c r="C360" s="23"/>
      <c r="D360" s="23"/>
      <c r="E360" s="23"/>
      <c r="F360" s="23"/>
      <c r="G360" s="23"/>
      <c r="H360" s="23"/>
      <c r="I360" s="23"/>
      <c r="J360" s="23"/>
      <c r="K360" s="24"/>
      <c r="L360" s="23"/>
      <c r="M360" s="25"/>
      <c r="N360" s="25"/>
      <c r="O360" s="23"/>
      <c r="P360" s="26"/>
      <c r="Q360" s="26"/>
      <c r="R360" s="27" t="str">
        <f aca="false">IF(AND(ISNUMBER(P360),ISNUMBER(Q360)),P360-Q360,"")</f>
        <v/>
      </c>
      <c r="S360" s="24"/>
      <c r="T360" s="28" t="str">
        <f aca="false">IF(S360&lt;&gt;"",S360,IF(B360="","",IFERROR(IF(INDEX(Batches!$G$5:$G$64,MATCH(B360,Batches!$A$5:$A$64,0))="","",INDEX(Batches!$G$5:$G$64,MATCH(B360,Batches!$A$5:$A$64,0))),"")))</f>
        <v/>
      </c>
      <c r="U360" s="23"/>
      <c r="V360" s="24"/>
      <c r="W360" s="28" t="str">
        <f aca="false">IF(OR(X360="",X360="Pending"),"",IF(V360&lt;&gt;"",V360,IFERROR(IF(INDEX(Batches!$H$5:$H$64,MATCH(B360,Batches!$A$5:$A$64,0))="","",INDEX(Batches!$H$5:$H$64,MATCH(B360,Batches!$A$5:$A$64,0))),"")))</f>
        <v/>
      </c>
      <c r="X360" s="23"/>
      <c r="Y360" s="23"/>
      <c r="Z360" s="26"/>
      <c r="AA360" s="27" t="str">
        <f aca="false">IF(R360="","",IF(X360="Not accepted",R360,IF(OR(X360="Accepted",X360="Withdrawn by hospital"),IF(X360="Accepted",0,R360),IF(ISNUMBER(Z360),R360-Z360,""))))</f>
        <v/>
      </c>
      <c r="AB360" s="23"/>
      <c r="AC360" s="25"/>
      <c r="AD360" s="23"/>
      <c r="AE360" s="23"/>
      <c r="AF360" s="24"/>
      <c r="AG360" s="23"/>
      <c r="AH360" s="24"/>
      <c r="AI360" s="29" t="str">
        <f aca="false">IF(X360="Not accepted","Maintained",IF(X360="Partially accepted","Partially maintained",IF(X360="Accepted","Reversed",IF(X360="Withdrawn by hospital","Withdrawn by hospital",""))))</f>
        <v/>
      </c>
      <c r="AJ360" s="28" t="str">
        <f aca="false">IF(AI360="","",W360)</f>
        <v/>
      </c>
      <c r="AK360" s="29" t="str">
        <f aca="false">IF(AND(ISNUMBER(T360),ISNUMBER(W360)),W360-T360,"")</f>
        <v/>
      </c>
      <c r="AL360" s="29" t="str">
        <f aca="false">IF(A360="","",SUMIF(Actions!$C$5:$C$1004,A360,Actions!$F$5:$F$1004))</f>
        <v/>
      </c>
      <c r="AM360" s="25"/>
    </row>
    <row r="361" customFormat="false" ht="15" hidden="false" customHeight="false" outlineLevel="0" collapsed="false">
      <c r="A361" s="23"/>
      <c r="B361" s="23"/>
      <c r="C361" s="23"/>
      <c r="D361" s="23"/>
      <c r="E361" s="23"/>
      <c r="F361" s="23"/>
      <c r="G361" s="23"/>
      <c r="H361" s="23"/>
      <c r="I361" s="23"/>
      <c r="J361" s="23"/>
      <c r="K361" s="24"/>
      <c r="L361" s="23"/>
      <c r="M361" s="25"/>
      <c r="N361" s="25"/>
      <c r="O361" s="23"/>
      <c r="P361" s="26"/>
      <c r="Q361" s="26"/>
      <c r="R361" s="27" t="str">
        <f aca="false">IF(AND(ISNUMBER(P361),ISNUMBER(Q361)),P361-Q361,"")</f>
        <v/>
      </c>
      <c r="S361" s="24"/>
      <c r="T361" s="28" t="str">
        <f aca="false">IF(S361&lt;&gt;"",S361,IF(B361="","",IFERROR(IF(INDEX(Batches!$G$5:$G$64,MATCH(B361,Batches!$A$5:$A$64,0))="","",INDEX(Batches!$G$5:$G$64,MATCH(B361,Batches!$A$5:$A$64,0))),"")))</f>
        <v/>
      </c>
      <c r="U361" s="23"/>
      <c r="V361" s="24"/>
      <c r="W361" s="28" t="str">
        <f aca="false">IF(OR(X361="",X361="Pending"),"",IF(V361&lt;&gt;"",V361,IFERROR(IF(INDEX(Batches!$H$5:$H$64,MATCH(B361,Batches!$A$5:$A$64,0))="","",INDEX(Batches!$H$5:$H$64,MATCH(B361,Batches!$A$5:$A$64,0))),"")))</f>
        <v/>
      </c>
      <c r="X361" s="23"/>
      <c r="Y361" s="23"/>
      <c r="Z361" s="26"/>
      <c r="AA361" s="27" t="str">
        <f aca="false">IF(R361="","",IF(X361="Not accepted",R361,IF(OR(X361="Accepted",X361="Withdrawn by hospital"),IF(X361="Accepted",0,R361),IF(ISNUMBER(Z361),R361-Z361,""))))</f>
        <v/>
      </c>
      <c r="AB361" s="23"/>
      <c r="AC361" s="25"/>
      <c r="AD361" s="23"/>
      <c r="AE361" s="23"/>
      <c r="AF361" s="24"/>
      <c r="AG361" s="23"/>
      <c r="AH361" s="24"/>
      <c r="AI361" s="29" t="str">
        <f aca="false">IF(X361="Not accepted","Maintained",IF(X361="Partially accepted","Partially maintained",IF(X361="Accepted","Reversed",IF(X361="Withdrawn by hospital","Withdrawn by hospital",""))))</f>
        <v/>
      </c>
      <c r="AJ361" s="28" t="str">
        <f aca="false">IF(AI361="","",W361)</f>
        <v/>
      </c>
      <c r="AK361" s="29" t="str">
        <f aca="false">IF(AND(ISNUMBER(T361),ISNUMBER(W361)),W361-T361,"")</f>
        <v/>
      </c>
      <c r="AL361" s="29" t="str">
        <f aca="false">IF(A361="","",SUMIF(Actions!$C$5:$C$1004,A361,Actions!$F$5:$F$1004))</f>
        <v/>
      </c>
      <c r="AM361" s="25"/>
    </row>
    <row r="362" customFormat="false" ht="15" hidden="false" customHeight="false" outlineLevel="0" collapsed="false">
      <c r="A362" s="23"/>
      <c r="B362" s="23"/>
      <c r="C362" s="23"/>
      <c r="D362" s="23"/>
      <c r="E362" s="23"/>
      <c r="F362" s="23"/>
      <c r="G362" s="23"/>
      <c r="H362" s="23"/>
      <c r="I362" s="23"/>
      <c r="J362" s="23"/>
      <c r="K362" s="24"/>
      <c r="L362" s="23"/>
      <c r="M362" s="25"/>
      <c r="N362" s="25"/>
      <c r="O362" s="23"/>
      <c r="P362" s="26"/>
      <c r="Q362" s="26"/>
      <c r="R362" s="27" t="str">
        <f aca="false">IF(AND(ISNUMBER(P362),ISNUMBER(Q362)),P362-Q362,"")</f>
        <v/>
      </c>
      <c r="S362" s="24"/>
      <c r="T362" s="28" t="str">
        <f aca="false">IF(S362&lt;&gt;"",S362,IF(B362="","",IFERROR(IF(INDEX(Batches!$G$5:$G$64,MATCH(B362,Batches!$A$5:$A$64,0))="","",INDEX(Batches!$G$5:$G$64,MATCH(B362,Batches!$A$5:$A$64,0))),"")))</f>
        <v/>
      </c>
      <c r="U362" s="23"/>
      <c r="V362" s="24"/>
      <c r="W362" s="28" t="str">
        <f aca="false">IF(OR(X362="",X362="Pending"),"",IF(V362&lt;&gt;"",V362,IFERROR(IF(INDEX(Batches!$H$5:$H$64,MATCH(B362,Batches!$A$5:$A$64,0))="","",INDEX(Batches!$H$5:$H$64,MATCH(B362,Batches!$A$5:$A$64,0))),"")))</f>
        <v/>
      </c>
      <c r="X362" s="23"/>
      <c r="Y362" s="23"/>
      <c r="Z362" s="26"/>
      <c r="AA362" s="27" t="str">
        <f aca="false">IF(R362="","",IF(X362="Not accepted",R362,IF(OR(X362="Accepted",X362="Withdrawn by hospital"),IF(X362="Accepted",0,R362),IF(ISNUMBER(Z362),R362-Z362,""))))</f>
        <v/>
      </c>
      <c r="AB362" s="23"/>
      <c r="AC362" s="25"/>
      <c r="AD362" s="23"/>
      <c r="AE362" s="23"/>
      <c r="AF362" s="24"/>
      <c r="AG362" s="23"/>
      <c r="AH362" s="24"/>
      <c r="AI362" s="29" t="str">
        <f aca="false">IF(X362="Not accepted","Maintained",IF(X362="Partially accepted","Partially maintained",IF(X362="Accepted","Reversed",IF(X362="Withdrawn by hospital","Withdrawn by hospital",""))))</f>
        <v/>
      </c>
      <c r="AJ362" s="28" t="str">
        <f aca="false">IF(AI362="","",W362)</f>
        <v/>
      </c>
      <c r="AK362" s="29" t="str">
        <f aca="false">IF(AND(ISNUMBER(T362),ISNUMBER(W362)),W362-T362,"")</f>
        <v/>
      </c>
      <c r="AL362" s="29" t="str">
        <f aca="false">IF(A362="","",SUMIF(Actions!$C$5:$C$1004,A362,Actions!$F$5:$F$1004))</f>
        <v/>
      </c>
      <c r="AM362" s="25"/>
    </row>
    <row r="363" customFormat="false" ht="15" hidden="false" customHeight="false" outlineLevel="0" collapsed="false">
      <c r="A363" s="23"/>
      <c r="B363" s="23"/>
      <c r="C363" s="23"/>
      <c r="D363" s="23"/>
      <c r="E363" s="23"/>
      <c r="F363" s="23"/>
      <c r="G363" s="23"/>
      <c r="H363" s="23"/>
      <c r="I363" s="23"/>
      <c r="J363" s="23"/>
      <c r="K363" s="24"/>
      <c r="L363" s="23"/>
      <c r="M363" s="25"/>
      <c r="N363" s="25"/>
      <c r="O363" s="23"/>
      <c r="P363" s="26"/>
      <c r="Q363" s="26"/>
      <c r="R363" s="27" t="str">
        <f aca="false">IF(AND(ISNUMBER(P363),ISNUMBER(Q363)),P363-Q363,"")</f>
        <v/>
      </c>
      <c r="S363" s="24"/>
      <c r="T363" s="28" t="str">
        <f aca="false">IF(S363&lt;&gt;"",S363,IF(B363="","",IFERROR(IF(INDEX(Batches!$G$5:$G$64,MATCH(B363,Batches!$A$5:$A$64,0))="","",INDEX(Batches!$G$5:$G$64,MATCH(B363,Batches!$A$5:$A$64,0))),"")))</f>
        <v/>
      </c>
      <c r="U363" s="23"/>
      <c r="V363" s="24"/>
      <c r="W363" s="28" t="str">
        <f aca="false">IF(OR(X363="",X363="Pending"),"",IF(V363&lt;&gt;"",V363,IFERROR(IF(INDEX(Batches!$H$5:$H$64,MATCH(B363,Batches!$A$5:$A$64,0))="","",INDEX(Batches!$H$5:$H$64,MATCH(B363,Batches!$A$5:$A$64,0))),"")))</f>
        <v/>
      </c>
      <c r="X363" s="23"/>
      <c r="Y363" s="23"/>
      <c r="Z363" s="26"/>
      <c r="AA363" s="27" t="str">
        <f aca="false">IF(R363="","",IF(X363="Not accepted",R363,IF(OR(X363="Accepted",X363="Withdrawn by hospital"),IF(X363="Accepted",0,R363),IF(ISNUMBER(Z363),R363-Z363,""))))</f>
        <v/>
      </c>
      <c r="AB363" s="23"/>
      <c r="AC363" s="25"/>
      <c r="AD363" s="23"/>
      <c r="AE363" s="23"/>
      <c r="AF363" s="24"/>
      <c r="AG363" s="23"/>
      <c r="AH363" s="24"/>
      <c r="AI363" s="29" t="str">
        <f aca="false">IF(X363="Not accepted","Maintained",IF(X363="Partially accepted","Partially maintained",IF(X363="Accepted","Reversed",IF(X363="Withdrawn by hospital","Withdrawn by hospital",""))))</f>
        <v/>
      </c>
      <c r="AJ363" s="28" t="str">
        <f aca="false">IF(AI363="","",W363)</f>
        <v/>
      </c>
      <c r="AK363" s="29" t="str">
        <f aca="false">IF(AND(ISNUMBER(T363),ISNUMBER(W363)),W363-T363,"")</f>
        <v/>
      </c>
      <c r="AL363" s="29" t="str">
        <f aca="false">IF(A363="","",SUMIF(Actions!$C$5:$C$1004,A363,Actions!$F$5:$F$1004))</f>
        <v/>
      </c>
      <c r="AM363" s="25"/>
    </row>
    <row r="364" customFormat="false" ht="15" hidden="false" customHeight="false" outlineLevel="0" collapsed="false">
      <c r="A364" s="23"/>
      <c r="B364" s="23"/>
      <c r="C364" s="23"/>
      <c r="D364" s="23"/>
      <c r="E364" s="23"/>
      <c r="F364" s="23"/>
      <c r="G364" s="23"/>
      <c r="H364" s="23"/>
      <c r="I364" s="23"/>
      <c r="J364" s="23"/>
      <c r="K364" s="24"/>
      <c r="L364" s="23"/>
      <c r="M364" s="25"/>
      <c r="N364" s="25"/>
      <c r="O364" s="23"/>
      <c r="P364" s="26"/>
      <c r="Q364" s="26"/>
      <c r="R364" s="27" t="str">
        <f aca="false">IF(AND(ISNUMBER(P364),ISNUMBER(Q364)),P364-Q364,"")</f>
        <v/>
      </c>
      <c r="S364" s="24"/>
      <c r="T364" s="28" t="str">
        <f aca="false">IF(S364&lt;&gt;"",S364,IF(B364="","",IFERROR(IF(INDEX(Batches!$G$5:$G$64,MATCH(B364,Batches!$A$5:$A$64,0))="","",INDEX(Batches!$G$5:$G$64,MATCH(B364,Batches!$A$5:$A$64,0))),"")))</f>
        <v/>
      </c>
      <c r="U364" s="23"/>
      <c r="V364" s="24"/>
      <c r="W364" s="28" t="str">
        <f aca="false">IF(OR(X364="",X364="Pending"),"",IF(V364&lt;&gt;"",V364,IFERROR(IF(INDEX(Batches!$H$5:$H$64,MATCH(B364,Batches!$A$5:$A$64,0))="","",INDEX(Batches!$H$5:$H$64,MATCH(B364,Batches!$A$5:$A$64,0))),"")))</f>
        <v/>
      </c>
      <c r="X364" s="23"/>
      <c r="Y364" s="23"/>
      <c r="Z364" s="26"/>
      <c r="AA364" s="27" t="str">
        <f aca="false">IF(R364="","",IF(X364="Not accepted",R364,IF(OR(X364="Accepted",X364="Withdrawn by hospital"),IF(X364="Accepted",0,R364),IF(ISNUMBER(Z364),R364-Z364,""))))</f>
        <v/>
      </c>
      <c r="AB364" s="23"/>
      <c r="AC364" s="25"/>
      <c r="AD364" s="23"/>
      <c r="AE364" s="23"/>
      <c r="AF364" s="24"/>
      <c r="AG364" s="23"/>
      <c r="AH364" s="24"/>
      <c r="AI364" s="29" t="str">
        <f aca="false">IF(X364="Not accepted","Maintained",IF(X364="Partially accepted","Partially maintained",IF(X364="Accepted","Reversed",IF(X364="Withdrawn by hospital","Withdrawn by hospital",""))))</f>
        <v/>
      </c>
      <c r="AJ364" s="28" t="str">
        <f aca="false">IF(AI364="","",W364)</f>
        <v/>
      </c>
      <c r="AK364" s="29" t="str">
        <f aca="false">IF(AND(ISNUMBER(T364),ISNUMBER(W364)),W364-T364,"")</f>
        <v/>
      </c>
      <c r="AL364" s="29" t="str">
        <f aca="false">IF(A364="","",SUMIF(Actions!$C$5:$C$1004,A364,Actions!$F$5:$F$1004))</f>
        <v/>
      </c>
      <c r="AM364" s="25"/>
    </row>
    <row r="365" customFormat="false" ht="15" hidden="false" customHeight="false" outlineLevel="0" collapsed="false">
      <c r="A365" s="23"/>
      <c r="B365" s="23"/>
      <c r="C365" s="23"/>
      <c r="D365" s="23"/>
      <c r="E365" s="23"/>
      <c r="F365" s="23"/>
      <c r="G365" s="23"/>
      <c r="H365" s="23"/>
      <c r="I365" s="23"/>
      <c r="J365" s="23"/>
      <c r="K365" s="24"/>
      <c r="L365" s="23"/>
      <c r="M365" s="25"/>
      <c r="N365" s="25"/>
      <c r="O365" s="23"/>
      <c r="P365" s="26"/>
      <c r="Q365" s="26"/>
      <c r="R365" s="27" t="str">
        <f aca="false">IF(AND(ISNUMBER(P365),ISNUMBER(Q365)),P365-Q365,"")</f>
        <v/>
      </c>
      <c r="S365" s="24"/>
      <c r="T365" s="28" t="str">
        <f aca="false">IF(S365&lt;&gt;"",S365,IF(B365="","",IFERROR(IF(INDEX(Batches!$G$5:$G$64,MATCH(B365,Batches!$A$5:$A$64,0))="","",INDEX(Batches!$G$5:$G$64,MATCH(B365,Batches!$A$5:$A$64,0))),"")))</f>
        <v/>
      </c>
      <c r="U365" s="23"/>
      <c r="V365" s="24"/>
      <c r="W365" s="28" t="str">
        <f aca="false">IF(OR(X365="",X365="Pending"),"",IF(V365&lt;&gt;"",V365,IFERROR(IF(INDEX(Batches!$H$5:$H$64,MATCH(B365,Batches!$A$5:$A$64,0))="","",INDEX(Batches!$H$5:$H$64,MATCH(B365,Batches!$A$5:$A$64,0))),"")))</f>
        <v/>
      </c>
      <c r="X365" s="23"/>
      <c r="Y365" s="23"/>
      <c r="Z365" s="26"/>
      <c r="AA365" s="27" t="str">
        <f aca="false">IF(R365="","",IF(X365="Not accepted",R365,IF(OR(X365="Accepted",X365="Withdrawn by hospital"),IF(X365="Accepted",0,R365),IF(ISNUMBER(Z365),R365-Z365,""))))</f>
        <v/>
      </c>
      <c r="AB365" s="23"/>
      <c r="AC365" s="25"/>
      <c r="AD365" s="23"/>
      <c r="AE365" s="23"/>
      <c r="AF365" s="24"/>
      <c r="AG365" s="23"/>
      <c r="AH365" s="24"/>
      <c r="AI365" s="29" t="str">
        <f aca="false">IF(X365="Not accepted","Maintained",IF(X365="Partially accepted","Partially maintained",IF(X365="Accepted","Reversed",IF(X365="Withdrawn by hospital","Withdrawn by hospital",""))))</f>
        <v/>
      </c>
      <c r="AJ365" s="28" t="str">
        <f aca="false">IF(AI365="","",W365)</f>
        <v/>
      </c>
      <c r="AK365" s="29" t="str">
        <f aca="false">IF(AND(ISNUMBER(T365),ISNUMBER(W365)),W365-T365,"")</f>
        <v/>
      </c>
      <c r="AL365" s="29" t="str">
        <f aca="false">IF(A365="","",SUMIF(Actions!$C$5:$C$1004,A365,Actions!$F$5:$F$1004))</f>
        <v/>
      </c>
      <c r="AM365" s="25"/>
    </row>
    <row r="366" customFormat="false" ht="15" hidden="false" customHeight="false" outlineLevel="0" collapsed="false">
      <c r="A366" s="23"/>
      <c r="B366" s="23"/>
      <c r="C366" s="23"/>
      <c r="D366" s="23"/>
      <c r="E366" s="23"/>
      <c r="F366" s="23"/>
      <c r="G366" s="23"/>
      <c r="H366" s="23"/>
      <c r="I366" s="23"/>
      <c r="J366" s="23"/>
      <c r="K366" s="24"/>
      <c r="L366" s="23"/>
      <c r="M366" s="25"/>
      <c r="N366" s="25"/>
      <c r="O366" s="23"/>
      <c r="P366" s="26"/>
      <c r="Q366" s="26"/>
      <c r="R366" s="27" t="str">
        <f aca="false">IF(AND(ISNUMBER(P366),ISNUMBER(Q366)),P366-Q366,"")</f>
        <v/>
      </c>
      <c r="S366" s="24"/>
      <c r="T366" s="28" t="str">
        <f aca="false">IF(S366&lt;&gt;"",S366,IF(B366="","",IFERROR(IF(INDEX(Batches!$G$5:$G$64,MATCH(B366,Batches!$A$5:$A$64,0))="","",INDEX(Batches!$G$5:$G$64,MATCH(B366,Batches!$A$5:$A$64,0))),"")))</f>
        <v/>
      </c>
      <c r="U366" s="23"/>
      <c r="V366" s="24"/>
      <c r="W366" s="28" t="str">
        <f aca="false">IF(OR(X366="",X366="Pending"),"",IF(V366&lt;&gt;"",V366,IFERROR(IF(INDEX(Batches!$H$5:$H$64,MATCH(B366,Batches!$A$5:$A$64,0))="","",INDEX(Batches!$H$5:$H$64,MATCH(B366,Batches!$A$5:$A$64,0))),"")))</f>
        <v/>
      </c>
      <c r="X366" s="23"/>
      <c r="Y366" s="23"/>
      <c r="Z366" s="26"/>
      <c r="AA366" s="27" t="str">
        <f aca="false">IF(R366="","",IF(X366="Not accepted",R366,IF(OR(X366="Accepted",X366="Withdrawn by hospital"),IF(X366="Accepted",0,R366),IF(ISNUMBER(Z366),R366-Z366,""))))</f>
        <v/>
      </c>
      <c r="AB366" s="23"/>
      <c r="AC366" s="25"/>
      <c r="AD366" s="23"/>
      <c r="AE366" s="23"/>
      <c r="AF366" s="24"/>
      <c r="AG366" s="23"/>
      <c r="AH366" s="24"/>
      <c r="AI366" s="29" t="str">
        <f aca="false">IF(X366="Not accepted","Maintained",IF(X366="Partially accepted","Partially maintained",IF(X366="Accepted","Reversed",IF(X366="Withdrawn by hospital","Withdrawn by hospital",""))))</f>
        <v/>
      </c>
      <c r="AJ366" s="28" t="str">
        <f aca="false">IF(AI366="","",W366)</f>
        <v/>
      </c>
      <c r="AK366" s="29" t="str">
        <f aca="false">IF(AND(ISNUMBER(T366),ISNUMBER(W366)),W366-T366,"")</f>
        <v/>
      </c>
      <c r="AL366" s="29" t="str">
        <f aca="false">IF(A366="","",SUMIF(Actions!$C$5:$C$1004,A366,Actions!$F$5:$F$1004))</f>
        <v/>
      </c>
      <c r="AM366" s="25"/>
    </row>
    <row r="367" customFormat="false" ht="15" hidden="false" customHeight="false" outlineLevel="0" collapsed="false">
      <c r="A367" s="23"/>
      <c r="B367" s="23"/>
      <c r="C367" s="23"/>
      <c r="D367" s="23"/>
      <c r="E367" s="23"/>
      <c r="F367" s="23"/>
      <c r="G367" s="23"/>
      <c r="H367" s="23"/>
      <c r="I367" s="23"/>
      <c r="J367" s="23"/>
      <c r="K367" s="24"/>
      <c r="L367" s="23"/>
      <c r="M367" s="25"/>
      <c r="N367" s="25"/>
      <c r="O367" s="23"/>
      <c r="P367" s="26"/>
      <c r="Q367" s="26"/>
      <c r="R367" s="27" t="str">
        <f aca="false">IF(AND(ISNUMBER(P367),ISNUMBER(Q367)),P367-Q367,"")</f>
        <v/>
      </c>
      <c r="S367" s="24"/>
      <c r="T367" s="28" t="str">
        <f aca="false">IF(S367&lt;&gt;"",S367,IF(B367="","",IFERROR(IF(INDEX(Batches!$G$5:$G$64,MATCH(B367,Batches!$A$5:$A$64,0))="","",INDEX(Batches!$G$5:$G$64,MATCH(B367,Batches!$A$5:$A$64,0))),"")))</f>
        <v/>
      </c>
      <c r="U367" s="23"/>
      <c r="V367" s="24"/>
      <c r="W367" s="28" t="str">
        <f aca="false">IF(OR(X367="",X367="Pending"),"",IF(V367&lt;&gt;"",V367,IFERROR(IF(INDEX(Batches!$H$5:$H$64,MATCH(B367,Batches!$A$5:$A$64,0))="","",INDEX(Batches!$H$5:$H$64,MATCH(B367,Batches!$A$5:$A$64,0))),"")))</f>
        <v/>
      </c>
      <c r="X367" s="23"/>
      <c r="Y367" s="23"/>
      <c r="Z367" s="26"/>
      <c r="AA367" s="27" t="str">
        <f aca="false">IF(R367="","",IF(X367="Not accepted",R367,IF(OR(X367="Accepted",X367="Withdrawn by hospital"),IF(X367="Accepted",0,R367),IF(ISNUMBER(Z367),R367-Z367,""))))</f>
        <v/>
      </c>
      <c r="AB367" s="23"/>
      <c r="AC367" s="25"/>
      <c r="AD367" s="23"/>
      <c r="AE367" s="23"/>
      <c r="AF367" s="24"/>
      <c r="AG367" s="23"/>
      <c r="AH367" s="24"/>
      <c r="AI367" s="29" t="str">
        <f aca="false">IF(X367="Not accepted","Maintained",IF(X367="Partially accepted","Partially maintained",IF(X367="Accepted","Reversed",IF(X367="Withdrawn by hospital","Withdrawn by hospital",""))))</f>
        <v/>
      </c>
      <c r="AJ367" s="28" t="str">
        <f aca="false">IF(AI367="","",W367)</f>
        <v/>
      </c>
      <c r="AK367" s="29" t="str">
        <f aca="false">IF(AND(ISNUMBER(T367),ISNUMBER(W367)),W367-T367,"")</f>
        <v/>
      </c>
      <c r="AL367" s="29" t="str">
        <f aca="false">IF(A367="","",SUMIF(Actions!$C$5:$C$1004,A367,Actions!$F$5:$F$1004))</f>
        <v/>
      </c>
      <c r="AM367" s="25"/>
    </row>
    <row r="368" customFormat="false" ht="15" hidden="false" customHeight="false" outlineLevel="0" collapsed="false">
      <c r="A368" s="23"/>
      <c r="B368" s="23"/>
      <c r="C368" s="23"/>
      <c r="D368" s="23"/>
      <c r="E368" s="23"/>
      <c r="F368" s="23"/>
      <c r="G368" s="23"/>
      <c r="H368" s="23"/>
      <c r="I368" s="23"/>
      <c r="J368" s="23"/>
      <c r="K368" s="24"/>
      <c r="L368" s="23"/>
      <c r="M368" s="25"/>
      <c r="N368" s="25"/>
      <c r="O368" s="23"/>
      <c r="P368" s="26"/>
      <c r="Q368" s="26"/>
      <c r="R368" s="27" t="str">
        <f aca="false">IF(AND(ISNUMBER(P368),ISNUMBER(Q368)),P368-Q368,"")</f>
        <v/>
      </c>
      <c r="S368" s="24"/>
      <c r="T368" s="28" t="str">
        <f aca="false">IF(S368&lt;&gt;"",S368,IF(B368="","",IFERROR(IF(INDEX(Batches!$G$5:$G$64,MATCH(B368,Batches!$A$5:$A$64,0))="","",INDEX(Batches!$G$5:$G$64,MATCH(B368,Batches!$A$5:$A$64,0))),"")))</f>
        <v/>
      </c>
      <c r="U368" s="23"/>
      <c r="V368" s="24"/>
      <c r="W368" s="28" t="str">
        <f aca="false">IF(OR(X368="",X368="Pending"),"",IF(V368&lt;&gt;"",V368,IFERROR(IF(INDEX(Batches!$H$5:$H$64,MATCH(B368,Batches!$A$5:$A$64,0))="","",INDEX(Batches!$H$5:$H$64,MATCH(B368,Batches!$A$5:$A$64,0))),"")))</f>
        <v/>
      </c>
      <c r="X368" s="23"/>
      <c r="Y368" s="23"/>
      <c r="Z368" s="26"/>
      <c r="AA368" s="27" t="str">
        <f aca="false">IF(R368="","",IF(X368="Not accepted",R368,IF(OR(X368="Accepted",X368="Withdrawn by hospital"),IF(X368="Accepted",0,R368),IF(ISNUMBER(Z368),R368-Z368,""))))</f>
        <v/>
      </c>
      <c r="AB368" s="23"/>
      <c r="AC368" s="25"/>
      <c r="AD368" s="23"/>
      <c r="AE368" s="23"/>
      <c r="AF368" s="24"/>
      <c r="AG368" s="23"/>
      <c r="AH368" s="24"/>
      <c r="AI368" s="29" t="str">
        <f aca="false">IF(X368="Not accepted","Maintained",IF(X368="Partially accepted","Partially maintained",IF(X368="Accepted","Reversed",IF(X368="Withdrawn by hospital","Withdrawn by hospital",""))))</f>
        <v/>
      </c>
      <c r="AJ368" s="28" t="str">
        <f aca="false">IF(AI368="","",W368)</f>
        <v/>
      </c>
      <c r="AK368" s="29" t="str">
        <f aca="false">IF(AND(ISNUMBER(T368),ISNUMBER(W368)),W368-T368,"")</f>
        <v/>
      </c>
      <c r="AL368" s="29" t="str">
        <f aca="false">IF(A368="","",SUMIF(Actions!$C$5:$C$1004,A368,Actions!$F$5:$F$1004))</f>
        <v/>
      </c>
      <c r="AM368" s="25"/>
    </row>
    <row r="369" customFormat="false" ht="15" hidden="false" customHeight="false" outlineLevel="0" collapsed="false">
      <c r="A369" s="23"/>
      <c r="B369" s="23"/>
      <c r="C369" s="23"/>
      <c r="D369" s="23"/>
      <c r="E369" s="23"/>
      <c r="F369" s="23"/>
      <c r="G369" s="23"/>
      <c r="H369" s="23"/>
      <c r="I369" s="23"/>
      <c r="J369" s="23"/>
      <c r="K369" s="24"/>
      <c r="L369" s="23"/>
      <c r="M369" s="25"/>
      <c r="N369" s="25"/>
      <c r="O369" s="23"/>
      <c r="P369" s="26"/>
      <c r="Q369" s="26"/>
      <c r="R369" s="27" t="str">
        <f aca="false">IF(AND(ISNUMBER(P369),ISNUMBER(Q369)),P369-Q369,"")</f>
        <v/>
      </c>
      <c r="S369" s="24"/>
      <c r="T369" s="28" t="str">
        <f aca="false">IF(S369&lt;&gt;"",S369,IF(B369="","",IFERROR(IF(INDEX(Batches!$G$5:$G$64,MATCH(B369,Batches!$A$5:$A$64,0))="","",INDEX(Batches!$G$5:$G$64,MATCH(B369,Batches!$A$5:$A$64,0))),"")))</f>
        <v/>
      </c>
      <c r="U369" s="23"/>
      <c r="V369" s="24"/>
      <c r="W369" s="28" t="str">
        <f aca="false">IF(OR(X369="",X369="Pending"),"",IF(V369&lt;&gt;"",V369,IFERROR(IF(INDEX(Batches!$H$5:$H$64,MATCH(B369,Batches!$A$5:$A$64,0))="","",INDEX(Batches!$H$5:$H$64,MATCH(B369,Batches!$A$5:$A$64,0))),"")))</f>
        <v/>
      </c>
      <c r="X369" s="23"/>
      <c r="Y369" s="23"/>
      <c r="Z369" s="26"/>
      <c r="AA369" s="27" t="str">
        <f aca="false">IF(R369="","",IF(X369="Not accepted",R369,IF(OR(X369="Accepted",X369="Withdrawn by hospital"),IF(X369="Accepted",0,R369),IF(ISNUMBER(Z369),R369-Z369,""))))</f>
        <v/>
      </c>
      <c r="AB369" s="23"/>
      <c r="AC369" s="25"/>
      <c r="AD369" s="23"/>
      <c r="AE369" s="23"/>
      <c r="AF369" s="24"/>
      <c r="AG369" s="23"/>
      <c r="AH369" s="24"/>
      <c r="AI369" s="29" t="str">
        <f aca="false">IF(X369="Not accepted","Maintained",IF(X369="Partially accepted","Partially maintained",IF(X369="Accepted","Reversed",IF(X369="Withdrawn by hospital","Withdrawn by hospital",""))))</f>
        <v/>
      </c>
      <c r="AJ369" s="28" t="str">
        <f aca="false">IF(AI369="","",W369)</f>
        <v/>
      </c>
      <c r="AK369" s="29" t="str">
        <f aca="false">IF(AND(ISNUMBER(T369),ISNUMBER(W369)),W369-T369,"")</f>
        <v/>
      </c>
      <c r="AL369" s="29" t="str">
        <f aca="false">IF(A369="","",SUMIF(Actions!$C$5:$C$1004,A369,Actions!$F$5:$F$1004))</f>
        <v/>
      </c>
      <c r="AM369" s="25"/>
    </row>
    <row r="370" customFormat="false" ht="15" hidden="false" customHeight="false" outlineLevel="0" collapsed="false">
      <c r="A370" s="23"/>
      <c r="B370" s="23"/>
      <c r="C370" s="23"/>
      <c r="D370" s="23"/>
      <c r="E370" s="23"/>
      <c r="F370" s="23"/>
      <c r="G370" s="23"/>
      <c r="H370" s="23"/>
      <c r="I370" s="23"/>
      <c r="J370" s="23"/>
      <c r="K370" s="24"/>
      <c r="L370" s="23"/>
      <c r="M370" s="25"/>
      <c r="N370" s="25"/>
      <c r="O370" s="23"/>
      <c r="P370" s="26"/>
      <c r="Q370" s="26"/>
      <c r="R370" s="27" t="str">
        <f aca="false">IF(AND(ISNUMBER(P370),ISNUMBER(Q370)),P370-Q370,"")</f>
        <v/>
      </c>
      <c r="S370" s="24"/>
      <c r="T370" s="28" t="str">
        <f aca="false">IF(S370&lt;&gt;"",S370,IF(B370="","",IFERROR(IF(INDEX(Batches!$G$5:$G$64,MATCH(B370,Batches!$A$5:$A$64,0))="","",INDEX(Batches!$G$5:$G$64,MATCH(B370,Batches!$A$5:$A$64,0))),"")))</f>
        <v/>
      </c>
      <c r="U370" s="23"/>
      <c r="V370" s="24"/>
      <c r="W370" s="28" t="str">
        <f aca="false">IF(OR(X370="",X370="Pending"),"",IF(V370&lt;&gt;"",V370,IFERROR(IF(INDEX(Batches!$H$5:$H$64,MATCH(B370,Batches!$A$5:$A$64,0))="","",INDEX(Batches!$H$5:$H$64,MATCH(B370,Batches!$A$5:$A$64,0))),"")))</f>
        <v/>
      </c>
      <c r="X370" s="23"/>
      <c r="Y370" s="23"/>
      <c r="Z370" s="26"/>
      <c r="AA370" s="27" t="str">
        <f aca="false">IF(R370="","",IF(X370="Not accepted",R370,IF(OR(X370="Accepted",X370="Withdrawn by hospital"),IF(X370="Accepted",0,R370),IF(ISNUMBER(Z370),R370-Z370,""))))</f>
        <v/>
      </c>
      <c r="AB370" s="23"/>
      <c r="AC370" s="25"/>
      <c r="AD370" s="23"/>
      <c r="AE370" s="23"/>
      <c r="AF370" s="24"/>
      <c r="AG370" s="23"/>
      <c r="AH370" s="24"/>
      <c r="AI370" s="29" t="str">
        <f aca="false">IF(X370="Not accepted","Maintained",IF(X370="Partially accepted","Partially maintained",IF(X370="Accepted","Reversed",IF(X370="Withdrawn by hospital","Withdrawn by hospital",""))))</f>
        <v/>
      </c>
      <c r="AJ370" s="28" t="str">
        <f aca="false">IF(AI370="","",W370)</f>
        <v/>
      </c>
      <c r="AK370" s="29" t="str">
        <f aca="false">IF(AND(ISNUMBER(T370),ISNUMBER(W370)),W370-T370,"")</f>
        <v/>
      </c>
      <c r="AL370" s="29" t="str">
        <f aca="false">IF(A370="","",SUMIF(Actions!$C$5:$C$1004,A370,Actions!$F$5:$F$1004))</f>
        <v/>
      </c>
      <c r="AM370" s="25"/>
    </row>
    <row r="371" customFormat="false" ht="15" hidden="false" customHeight="false" outlineLevel="0" collapsed="false">
      <c r="A371" s="23"/>
      <c r="B371" s="23"/>
      <c r="C371" s="23"/>
      <c r="D371" s="23"/>
      <c r="E371" s="23"/>
      <c r="F371" s="23"/>
      <c r="G371" s="23"/>
      <c r="H371" s="23"/>
      <c r="I371" s="23"/>
      <c r="J371" s="23"/>
      <c r="K371" s="24"/>
      <c r="L371" s="23"/>
      <c r="M371" s="25"/>
      <c r="N371" s="25"/>
      <c r="O371" s="23"/>
      <c r="P371" s="26"/>
      <c r="Q371" s="26"/>
      <c r="R371" s="27" t="str">
        <f aca="false">IF(AND(ISNUMBER(P371),ISNUMBER(Q371)),P371-Q371,"")</f>
        <v/>
      </c>
      <c r="S371" s="24"/>
      <c r="T371" s="28" t="str">
        <f aca="false">IF(S371&lt;&gt;"",S371,IF(B371="","",IFERROR(IF(INDEX(Batches!$G$5:$G$64,MATCH(B371,Batches!$A$5:$A$64,0))="","",INDEX(Batches!$G$5:$G$64,MATCH(B371,Batches!$A$5:$A$64,0))),"")))</f>
        <v/>
      </c>
      <c r="U371" s="23"/>
      <c r="V371" s="24"/>
      <c r="W371" s="28" t="str">
        <f aca="false">IF(OR(X371="",X371="Pending"),"",IF(V371&lt;&gt;"",V371,IFERROR(IF(INDEX(Batches!$H$5:$H$64,MATCH(B371,Batches!$A$5:$A$64,0))="","",INDEX(Batches!$H$5:$H$64,MATCH(B371,Batches!$A$5:$A$64,0))),"")))</f>
        <v/>
      </c>
      <c r="X371" s="23"/>
      <c r="Y371" s="23"/>
      <c r="Z371" s="26"/>
      <c r="AA371" s="27" t="str">
        <f aca="false">IF(R371="","",IF(X371="Not accepted",R371,IF(OR(X371="Accepted",X371="Withdrawn by hospital"),IF(X371="Accepted",0,R371),IF(ISNUMBER(Z371),R371-Z371,""))))</f>
        <v/>
      </c>
      <c r="AB371" s="23"/>
      <c r="AC371" s="25"/>
      <c r="AD371" s="23"/>
      <c r="AE371" s="23"/>
      <c r="AF371" s="24"/>
      <c r="AG371" s="23"/>
      <c r="AH371" s="24"/>
      <c r="AI371" s="29" t="str">
        <f aca="false">IF(X371="Not accepted","Maintained",IF(X371="Partially accepted","Partially maintained",IF(X371="Accepted","Reversed",IF(X371="Withdrawn by hospital","Withdrawn by hospital",""))))</f>
        <v/>
      </c>
      <c r="AJ371" s="28" t="str">
        <f aca="false">IF(AI371="","",W371)</f>
        <v/>
      </c>
      <c r="AK371" s="29" t="str">
        <f aca="false">IF(AND(ISNUMBER(T371),ISNUMBER(W371)),W371-T371,"")</f>
        <v/>
      </c>
      <c r="AL371" s="29" t="str">
        <f aca="false">IF(A371="","",SUMIF(Actions!$C$5:$C$1004,A371,Actions!$F$5:$F$1004))</f>
        <v/>
      </c>
      <c r="AM371" s="25"/>
    </row>
    <row r="372" customFormat="false" ht="15" hidden="false" customHeight="false" outlineLevel="0" collapsed="false">
      <c r="A372" s="23"/>
      <c r="B372" s="23"/>
      <c r="C372" s="23"/>
      <c r="D372" s="23"/>
      <c r="E372" s="23"/>
      <c r="F372" s="23"/>
      <c r="G372" s="23"/>
      <c r="H372" s="23"/>
      <c r="I372" s="23"/>
      <c r="J372" s="23"/>
      <c r="K372" s="24"/>
      <c r="L372" s="23"/>
      <c r="M372" s="25"/>
      <c r="N372" s="25"/>
      <c r="O372" s="23"/>
      <c r="P372" s="26"/>
      <c r="Q372" s="26"/>
      <c r="R372" s="27" t="str">
        <f aca="false">IF(AND(ISNUMBER(P372),ISNUMBER(Q372)),P372-Q372,"")</f>
        <v/>
      </c>
      <c r="S372" s="24"/>
      <c r="T372" s="28" t="str">
        <f aca="false">IF(S372&lt;&gt;"",S372,IF(B372="","",IFERROR(IF(INDEX(Batches!$G$5:$G$64,MATCH(B372,Batches!$A$5:$A$64,0))="","",INDEX(Batches!$G$5:$G$64,MATCH(B372,Batches!$A$5:$A$64,0))),"")))</f>
        <v/>
      </c>
      <c r="U372" s="23"/>
      <c r="V372" s="24"/>
      <c r="W372" s="28" t="str">
        <f aca="false">IF(OR(X372="",X372="Pending"),"",IF(V372&lt;&gt;"",V372,IFERROR(IF(INDEX(Batches!$H$5:$H$64,MATCH(B372,Batches!$A$5:$A$64,0))="","",INDEX(Batches!$H$5:$H$64,MATCH(B372,Batches!$A$5:$A$64,0))),"")))</f>
        <v/>
      </c>
      <c r="X372" s="23"/>
      <c r="Y372" s="23"/>
      <c r="Z372" s="26"/>
      <c r="AA372" s="27" t="str">
        <f aca="false">IF(R372="","",IF(X372="Not accepted",R372,IF(OR(X372="Accepted",X372="Withdrawn by hospital"),IF(X372="Accepted",0,R372),IF(ISNUMBER(Z372),R372-Z372,""))))</f>
        <v/>
      </c>
      <c r="AB372" s="23"/>
      <c r="AC372" s="25"/>
      <c r="AD372" s="23"/>
      <c r="AE372" s="23"/>
      <c r="AF372" s="24"/>
      <c r="AG372" s="23"/>
      <c r="AH372" s="24"/>
      <c r="AI372" s="29" t="str">
        <f aca="false">IF(X372="Not accepted","Maintained",IF(X372="Partially accepted","Partially maintained",IF(X372="Accepted","Reversed",IF(X372="Withdrawn by hospital","Withdrawn by hospital",""))))</f>
        <v/>
      </c>
      <c r="AJ372" s="28" t="str">
        <f aca="false">IF(AI372="","",W372)</f>
        <v/>
      </c>
      <c r="AK372" s="29" t="str">
        <f aca="false">IF(AND(ISNUMBER(T372),ISNUMBER(W372)),W372-T372,"")</f>
        <v/>
      </c>
      <c r="AL372" s="29" t="str">
        <f aca="false">IF(A372="","",SUMIF(Actions!$C$5:$C$1004,A372,Actions!$F$5:$F$1004))</f>
        <v/>
      </c>
      <c r="AM372" s="25"/>
    </row>
    <row r="373" customFormat="false" ht="15" hidden="false" customHeight="false" outlineLevel="0" collapsed="false">
      <c r="A373" s="23"/>
      <c r="B373" s="23"/>
      <c r="C373" s="23"/>
      <c r="D373" s="23"/>
      <c r="E373" s="23"/>
      <c r="F373" s="23"/>
      <c r="G373" s="23"/>
      <c r="H373" s="23"/>
      <c r="I373" s="23"/>
      <c r="J373" s="23"/>
      <c r="K373" s="24"/>
      <c r="L373" s="23"/>
      <c r="M373" s="25"/>
      <c r="N373" s="25"/>
      <c r="O373" s="23"/>
      <c r="P373" s="26"/>
      <c r="Q373" s="26"/>
      <c r="R373" s="27" t="str">
        <f aca="false">IF(AND(ISNUMBER(P373),ISNUMBER(Q373)),P373-Q373,"")</f>
        <v/>
      </c>
      <c r="S373" s="24"/>
      <c r="T373" s="28" t="str">
        <f aca="false">IF(S373&lt;&gt;"",S373,IF(B373="","",IFERROR(IF(INDEX(Batches!$G$5:$G$64,MATCH(B373,Batches!$A$5:$A$64,0))="","",INDEX(Batches!$G$5:$G$64,MATCH(B373,Batches!$A$5:$A$64,0))),"")))</f>
        <v/>
      </c>
      <c r="U373" s="23"/>
      <c r="V373" s="24"/>
      <c r="W373" s="28" t="str">
        <f aca="false">IF(OR(X373="",X373="Pending"),"",IF(V373&lt;&gt;"",V373,IFERROR(IF(INDEX(Batches!$H$5:$H$64,MATCH(B373,Batches!$A$5:$A$64,0))="","",INDEX(Batches!$H$5:$H$64,MATCH(B373,Batches!$A$5:$A$64,0))),"")))</f>
        <v/>
      </c>
      <c r="X373" s="23"/>
      <c r="Y373" s="23"/>
      <c r="Z373" s="26"/>
      <c r="AA373" s="27" t="str">
        <f aca="false">IF(R373="","",IF(X373="Not accepted",R373,IF(OR(X373="Accepted",X373="Withdrawn by hospital"),IF(X373="Accepted",0,R373),IF(ISNUMBER(Z373),R373-Z373,""))))</f>
        <v/>
      </c>
      <c r="AB373" s="23"/>
      <c r="AC373" s="25"/>
      <c r="AD373" s="23"/>
      <c r="AE373" s="23"/>
      <c r="AF373" s="24"/>
      <c r="AG373" s="23"/>
      <c r="AH373" s="24"/>
      <c r="AI373" s="29" t="str">
        <f aca="false">IF(X373="Not accepted","Maintained",IF(X373="Partially accepted","Partially maintained",IF(X373="Accepted","Reversed",IF(X373="Withdrawn by hospital","Withdrawn by hospital",""))))</f>
        <v/>
      </c>
      <c r="AJ373" s="28" t="str">
        <f aca="false">IF(AI373="","",W373)</f>
        <v/>
      </c>
      <c r="AK373" s="29" t="str">
        <f aca="false">IF(AND(ISNUMBER(T373),ISNUMBER(W373)),W373-T373,"")</f>
        <v/>
      </c>
      <c r="AL373" s="29" t="str">
        <f aca="false">IF(A373="","",SUMIF(Actions!$C$5:$C$1004,A373,Actions!$F$5:$F$1004))</f>
        <v/>
      </c>
      <c r="AM373" s="25"/>
    </row>
    <row r="374" customFormat="false" ht="15" hidden="false" customHeight="false" outlineLevel="0" collapsed="false">
      <c r="A374" s="23"/>
      <c r="B374" s="23"/>
      <c r="C374" s="23"/>
      <c r="D374" s="23"/>
      <c r="E374" s="23"/>
      <c r="F374" s="23"/>
      <c r="G374" s="23"/>
      <c r="H374" s="23"/>
      <c r="I374" s="23"/>
      <c r="J374" s="23"/>
      <c r="K374" s="24"/>
      <c r="L374" s="23"/>
      <c r="M374" s="25"/>
      <c r="N374" s="25"/>
      <c r="O374" s="23"/>
      <c r="P374" s="26"/>
      <c r="Q374" s="26"/>
      <c r="R374" s="27" t="str">
        <f aca="false">IF(AND(ISNUMBER(P374),ISNUMBER(Q374)),P374-Q374,"")</f>
        <v/>
      </c>
      <c r="S374" s="24"/>
      <c r="T374" s="28" t="str">
        <f aca="false">IF(S374&lt;&gt;"",S374,IF(B374="","",IFERROR(IF(INDEX(Batches!$G$5:$G$64,MATCH(B374,Batches!$A$5:$A$64,0))="","",INDEX(Batches!$G$5:$G$64,MATCH(B374,Batches!$A$5:$A$64,0))),"")))</f>
        <v/>
      </c>
      <c r="U374" s="23"/>
      <c r="V374" s="24"/>
      <c r="W374" s="28" t="str">
        <f aca="false">IF(OR(X374="",X374="Pending"),"",IF(V374&lt;&gt;"",V374,IFERROR(IF(INDEX(Batches!$H$5:$H$64,MATCH(B374,Batches!$A$5:$A$64,0))="","",INDEX(Batches!$H$5:$H$64,MATCH(B374,Batches!$A$5:$A$64,0))),"")))</f>
        <v/>
      </c>
      <c r="X374" s="23"/>
      <c r="Y374" s="23"/>
      <c r="Z374" s="26"/>
      <c r="AA374" s="27" t="str">
        <f aca="false">IF(R374="","",IF(X374="Not accepted",R374,IF(OR(X374="Accepted",X374="Withdrawn by hospital"),IF(X374="Accepted",0,R374),IF(ISNUMBER(Z374),R374-Z374,""))))</f>
        <v/>
      </c>
      <c r="AB374" s="23"/>
      <c r="AC374" s="25"/>
      <c r="AD374" s="23"/>
      <c r="AE374" s="23"/>
      <c r="AF374" s="24"/>
      <c r="AG374" s="23"/>
      <c r="AH374" s="24"/>
      <c r="AI374" s="29" t="str">
        <f aca="false">IF(X374="Not accepted","Maintained",IF(X374="Partially accepted","Partially maintained",IF(X374="Accepted","Reversed",IF(X374="Withdrawn by hospital","Withdrawn by hospital",""))))</f>
        <v/>
      </c>
      <c r="AJ374" s="28" t="str">
        <f aca="false">IF(AI374="","",W374)</f>
        <v/>
      </c>
      <c r="AK374" s="29" t="str">
        <f aca="false">IF(AND(ISNUMBER(T374),ISNUMBER(W374)),W374-T374,"")</f>
        <v/>
      </c>
      <c r="AL374" s="29" t="str">
        <f aca="false">IF(A374="","",SUMIF(Actions!$C$5:$C$1004,A374,Actions!$F$5:$F$1004))</f>
        <v/>
      </c>
      <c r="AM374" s="25"/>
    </row>
    <row r="375" customFormat="false" ht="15" hidden="false" customHeight="false" outlineLevel="0" collapsed="false">
      <c r="A375" s="23"/>
      <c r="B375" s="23"/>
      <c r="C375" s="23"/>
      <c r="D375" s="23"/>
      <c r="E375" s="23"/>
      <c r="F375" s="23"/>
      <c r="G375" s="23"/>
      <c r="H375" s="23"/>
      <c r="I375" s="23"/>
      <c r="J375" s="23"/>
      <c r="K375" s="24"/>
      <c r="L375" s="23"/>
      <c r="M375" s="25"/>
      <c r="N375" s="25"/>
      <c r="O375" s="23"/>
      <c r="P375" s="26"/>
      <c r="Q375" s="26"/>
      <c r="R375" s="27" t="str">
        <f aca="false">IF(AND(ISNUMBER(P375),ISNUMBER(Q375)),P375-Q375,"")</f>
        <v/>
      </c>
      <c r="S375" s="24"/>
      <c r="T375" s="28" t="str">
        <f aca="false">IF(S375&lt;&gt;"",S375,IF(B375="","",IFERROR(IF(INDEX(Batches!$G$5:$G$64,MATCH(B375,Batches!$A$5:$A$64,0))="","",INDEX(Batches!$G$5:$G$64,MATCH(B375,Batches!$A$5:$A$64,0))),"")))</f>
        <v/>
      </c>
      <c r="U375" s="23"/>
      <c r="V375" s="24"/>
      <c r="W375" s="28" t="str">
        <f aca="false">IF(OR(X375="",X375="Pending"),"",IF(V375&lt;&gt;"",V375,IFERROR(IF(INDEX(Batches!$H$5:$H$64,MATCH(B375,Batches!$A$5:$A$64,0))="","",INDEX(Batches!$H$5:$H$64,MATCH(B375,Batches!$A$5:$A$64,0))),"")))</f>
        <v/>
      </c>
      <c r="X375" s="23"/>
      <c r="Y375" s="23"/>
      <c r="Z375" s="26"/>
      <c r="AA375" s="27" t="str">
        <f aca="false">IF(R375="","",IF(X375="Not accepted",R375,IF(OR(X375="Accepted",X375="Withdrawn by hospital"),IF(X375="Accepted",0,R375),IF(ISNUMBER(Z375),R375-Z375,""))))</f>
        <v/>
      </c>
      <c r="AB375" s="23"/>
      <c r="AC375" s="25"/>
      <c r="AD375" s="23"/>
      <c r="AE375" s="23"/>
      <c r="AF375" s="24"/>
      <c r="AG375" s="23"/>
      <c r="AH375" s="24"/>
      <c r="AI375" s="29" t="str">
        <f aca="false">IF(X375="Not accepted","Maintained",IF(X375="Partially accepted","Partially maintained",IF(X375="Accepted","Reversed",IF(X375="Withdrawn by hospital","Withdrawn by hospital",""))))</f>
        <v/>
      </c>
      <c r="AJ375" s="28" t="str">
        <f aca="false">IF(AI375="","",W375)</f>
        <v/>
      </c>
      <c r="AK375" s="29" t="str">
        <f aca="false">IF(AND(ISNUMBER(T375),ISNUMBER(W375)),W375-T375,"")</f>
        <v/>
      </c>
      <c r="AL375" s="29" t="str">
        <f aca="false">IF(A375="","",SUMIF(Actions!$C$5:$C$1004,A375,Actions!$F$5:$F$1004))</f>
        <v/>
      </c>
      <c r="AM375" s="25"/>
    </row>
    <row r="376" customFormat="false" ht="15" hidden="false" customHeight="false" outlineLevel="0" collapsed="false">
      <c r="A376" s="23"/>
      <c r="B376" s="23"/>
      <c r="C376" s="23"/>
      <c r="D376" s="23"/>
      <c r="E376" s="23"/>
      <c r="F376" s="23"/>
      <c r="G376" s="23"/>
      <c r="H376" s="23"/>
      <c r="I376" s="23"/>
      <c r="J376" s="23"/>
      <c r="K376" s="24"/>
      <c r="L376" s="23"/>
      <c r="M376" s="25"/>
      <c r="N376" s="25"/>
      <c r="O376" s="23"/>
      <c r="P376" s="26"/>
      <c r="Q376" s="26"/>
      <c r="R376" s="27" t="str">
        <f aca="false">IF(AND(ISNUMBER(P376),ISNUMBER(Q376)),P376-Q376,"")</f>
        <v/>
      </c>
      <c r="S376" s="24"/>
      <c r="T376" s="28" t="str">
        <f aca="false">IF(S376&lt;&gt;"",S376,IF(B376="","",IFERROR(IF(INDEX(Batches!$G$5:$G$64,MATCH(B376,Batches!$A$5:$A$64,0))="","",INDEX(Batches!$G$5:$G$64,MATCH(B376,Batches!$A$5:$A$64,0))),"")))</f>
        <v/>
      </c>
      <c r="U376" s="23"/>
      <c r="V376" s="24"/>
      <c r="W376" s="28" t="str">
        <f aca="false">IF(OR(X376="",X376="Pending"),"",IF(V376&lt;&gt;"",V376,IFERROR(IF(INDEX(Batches!$H$5:$H$64,MATCH(B376,Batches!$A$5:$A$64,0))="","",INDEX(Batches!$H$5:$H$64,MATCH(B376,Batches!$A$5:$A$64,0))),"")))</f>
        <v/>
      </c>
      <c r="X376" s="23"/>
      <c r="Y376" s="23"/>
      <c r="Z376" s="26"/>
      <c r="AA376" s="27" t="str">
        <f aca="false">IF(R376="","",IF(X376="Not accepted",R376,IF(OR(X376="Accepted",X376="Withdrawn by hospital"),IF(X376="Accepted",0,R376),IF(ISNUMBER(Z376),R376-Z376,""))))</f>
        <v/>
      </c>
      <c r="AB376" s="23"/>
      <c r="AC376" s="25"/>
      <c r="AD376" s="23"/>
      <c r="AE376" s="23"/>
      <c r="AF376" s="24"/>
      <c r="AG376" s="23"/>
      <c r="AH376" s="24"/>
      <c r="AI376" s="29" t="str">
        <f aca="false">IF(X376="Not accepted","Maintained",IF(X376="Partially accepted","Partially maintained",IF(X376="Accepted","Reversed",IF(X376="Withdrawn by hospital","Withdrawn by hospital",""))))</f>
        <v/>
      </c>
      <c r="AJ376" s="28" t="str">
        <f aca="false">IF(AI376="","",W376)</f>
        <v/>
      </c>
      <c r="AK376" s="29" t="str">
        <f aca="false">IF(AND(ISNUMBER(T376),ISNUMBER(W376)),W376-T376,"")</f>
        <v/>
      </c>
      <c r="AL376" s="29" t="str">
        <f aca="false">IF(A376="","",SUMIF(Actions!$C$5:$C$1004,A376,Actions!$F$5:$F$1004))</f>
        <v/>
      </c>
      <c r="AM376" s="25"/>
    </row>
    <row r="377" customFormat="false" ht="15" hidden="false" customHeight="false" outlineLevel="0" collapsed="false">
      <c r="A377" s="23"/>
      <c r="B377" s="23"/>
      <c r="C377" s="23"/>
      <c r="D377" s="23"/>
      <c r="E377" s="23"/>
      <c r="F377" s="23"/>
      <c r="G377" s="23"/>
      <c r="H377" s="23"/>
      <c r="I377" s="23"/>
      <c r="J377" s="23"/>
      <c r="K377" s="24"/>
      <c r="L377" s="23"/>
      <c r="M377" s="25"/>
      <c r="N377" s="25"/>
      <c r="O377" s="23"/>
      <c r="P377" s="26"/>
      <c r="Q377" s="26"/>
      <c r="R377" s="27" t="str">
        <f aca="false">IF(AND(ISNUMBER(P377),ISNUMBER(Q377)),P377-Q377,"")</f>
        <v/>
      </c>
      <c r="S377" s="24"/>
      <c r="T377" s="28" t="str">
        <f aca="false">IF(S377&lt;&gt;"",S377,IF(B377="","",IFERROR(IF(INDEX(Batches!$G$5:$G$64,MATCH(B377,Batches!$A$5:$A$64,0))="","",INDEX(Batches!$G$5:$G$64,MATCH(B377,Batches!$A$5:$A$64,0))),"")))</f>
        <v/>
      </c>
      <c r="U377" s="23"/>
      <c r="V377" s="24"/>
      <c r="W377" s="28" t="str">
        <f aca="false">IF(OR(X377="",X377="Pending"),"",IF(V377&lt;&gt;"",V377,IFERROR(IF(INDEX(Batches!$H$5:$H$64,MATCH(B377,Batches!$A$5:$A$64,0))="","",INDEX(Batches!$H$5:$H$64,MATCH(B377,Batches!$A$5:$A$64,0))),"")))</f>
        <v/>
      </c>
      <c r="X377" s="23"/>
      <c r="Y377" s="23"/>
      <c r="Z377" s="26"/>
      <c r="AA377" s="27" t="str">
        <f aca="false">IF(R377="","",IF(X377="Not accepted",R377,IF(OR(X377="Accepted",X377="Withdrawn by hospital"),IF(X377="Accepted",0,R377),IF(ISNUMBER(Z377),R377-Z377,""))))</f>
        <v/>
      </c>
      <c r="AB377" s="23"/>
      <c r="AC377" s="25"/>
      <c r="AD377" s="23"/>
      <c r="AE377" s="23"/>
      <c r="AF377" s="24"/>
      <c r="AG377" s="23"/>
      <c r="AH377" s="24"/>
      <c r="AI377" s="29" t="str">
        <f aca="false">IF(X377="Not accepted","Maintained",IF(X377="Partially accepted","Partially maintained",IF(X377="Accepted","Reversed",IF(X377="Withdrawn by hospital","Withdrawn by hospital",""))))</f>
        <v/>
      </c>
      <c r="AJ377" s="28" t="str">
        <f aca="false">IF(AI377="","",W377)</f>
        <v/>
      </c>
      <c r="AK377" s="29" t="str">
        <f aca="false">IF(AND(ISNUMBER(T377),ISNUMBER(W377)),W377-T377,"")</f>
        <v/>
      </c>
      <c r="AL377" s="29" t="str">
        <f aca="false">IF(A377="","",SUMIF(Actions!$C$5:$C$1004,A377,Actions!$F$5:$F$1004))</f>
        <v/>
      </c>
      <c r="AM377" s="25"/>
    </row>
    <row r="378" customFormat="false" ht="15" hidden="false" customHeight="false" outlineLevel="0" collapsed="false">
      <c r="A378" s="23"/>
      <c r="B378" s="23"/>
      <c r="C378" s="23"/>
      <c r="D378" s="23"/>
      <c r="E378" s="23"/>
      <c r="F378" s="23"/>
      <c r="G378" s="23"/>
      <c r="H378" s="23"/>
      <c r="I378" s="23"/>
      <c r="J378" s="23"/>
      <c r="K378" s="24"/>
      <c r="L378" s="23"/>
      <c r="M378" s="25"/>
      <c r="N378" s="25"/>
      <c r="O378" s="23"/>
      <c r="P378" s="26"/>
      <c r="Q378" s="26"/>
      <c r="R378" s="27" t="str">
        <f aca="false">IF(AND(ISNUMBER(P378),ISNUMBER(Q378)),P378-Q378,"")</f>
        <v/>
      </c>
      <c r="S378" s="24"/>
      <c r="T378" s="28" t="str">
        <f aca="false">IF(S378&lt;&gt;"",S378,IF(B378="","",IFERROR(IF(INDEX(Batches!$G$5:$G$64,MATCH(B378,Batches!$A$5:$A$64,0))="","",INDEX(Batches!$G$5:$G$64,MATCH(B378,Batches!$A$5:$A$64,0))),"")))</f>
        <v/>
      </c>
      <c r="U378" s="23"/>
      <c r="V378" s="24"/>
      <c r="W378" s="28" t="str">
        <f aca="false">IF(OR(X378="",X378="Pending"),"",IF(V378&lt;&gt;"",V378,IFERROR(IF(INDEX(Batches!$H$5:$H$64,MATCH(B378,Batches!$A$5:$A$64,0))="","",INDEX(Batches!$H$5:$H$64,MATCH(B378,Batches!$A$5:$A$64,0))),"")))</f>
        <v/>
      </c>
      <c r="X378" s="23"/>
      <c r="Y378" s="23"/>
      <c r="Z378" s="26"/>
      <c r="AA378" s="27" t="str">
        <f aca="false">IF(R378="","",IF(X378="Not accepted",R378,IF(OR(X378="Accepted",X378="Withdrawn by hospital"),IF(X378="Accepted",0,R378),IF(ISNUMBER(Z378),R378-Z378,""))))</f>
        <v/>
      </c>
      <c r="AB378" s="23"/>
      <c r="AC378" s="25"/>
      <c r="AD378" s="23"/>
      <c r="AE378" s="23"/>
      <c r="AF378" s="24"/>
      <c r="AG378" s="23"/>
      <c r="AH378" s="24"/>
      <c r="AI378" s="29" t="str">
        <f aca="false">IF(X378="Not accepted","Maintained",IF(X378="Partially accepted","Partially maintained",IF(X378="Accepted","Reversed",IF(X378="Withdrawn by hospital","Withdrawn by hospital",""))))</f>
        <v/>
      </c>
      <c r="AJ378" s="28" t="str">
        <f aca="false">IF(AI378="","",W378)</f>
        <v/>
      </c>
      <c r="AK378" s="29" t="str">
        <f aca="false">IF(AND(ISNUMBER(T378),ISNUMBER(W378)),W378-T378,"")</f>
        <v/>
      </c>
      <c r="AL378" s="29" t="str">
        <f aca="false">IF(A378="","",SUMIF(Actions!$C$5:$C$1004,A378,Actions!$F$5:$F$1004))</f>
        <v/>
      </c>
      <c r="AM378" s="25"/>
    </row>
    <row r="379" customFormat="false" ht="15" hidden="false" customHeight="false" outlineLevel="0" collapsed="false">
      <c r="A379" s="23"/>
      <c r="B379" s="23"/>
      <c r="C379" s="23"/>
      <c r="D379" s="23"/>
      <c r="E379" s="23"/>
      <c r="F379" s="23"/>
      <c r="G379" s="23"/>
      <c r="H379" s="23"/>
      <c r="I379" s="23"/>
      <c r="J379" s="23"/>
      <c r="K379" s="24"/>
      <c r="L379" s="23"/>
      <c r="M379" s="25"/>
      <c r="N379" s="25"/>
      <c r="O379" s="23"/>
      <c r="P379" s="26"/>
      <c r="Q379" s="26"/>
      <c r="R379" s="27" t="str">
        <f aca="false">IF(AND(ISNUMBER(P379),ISNUMBER(Q379)),P379-Q379,"")</f>
        <v/>
      </c>
      <c r="S379" s="24"/>
      <c r="T379" s="28" t="str">
        <f aca="false">IF(S379&lt;&gt;"",S379,IF(B379="","",IFERROR(IF(INDEX(Batches!$G$5:$G$64,MATCH(B379,Batches!$A$5:$A$64,0))="","",INDEX(Batches!$G$5:$G$64,MATCH(B379,Batches!$A$5:$A$64,0))),"")))</f>
        <v/>
      </c>
      <c r="U379" s="23"/>
      <c r="V379" s="24"/>
      <c r="W379" s="28" t="str">
        <f aca="false">IF(OR(X379="",X379="Pending"),"",IF(V379&lt;&gt;"",V379,IFERROR(IF(INDEX(Batches!$H$5:$H$64,MATCH(B379,Batches!$A$5:$A$64,0))="","",INDEX(Batches!$H$5:$H$64,MATCH(B379,Batches!$A$5:$A$64,0))),"")))</f>
        <v/>
      </c>
      <c r="X379" s="23"/>
      <c r="Y379" s="23"/>
      <c r="Z379" s="26"/>
      <c r="AA379" s="27" t="str">
        <f aca="false">IF(R379="","",IF(X379="Not accepted",R379,IF(OR(X379="Accepted",X379="Withdrawn by hospital"),IF(X379="Accepted",0,R379),IF(ISNUMBER(Z379),R379-Z379,""))))</f>
        <v/>
      </c>
      <c r="AB379" s="23"/>
      <c r="AC379" s="25"/>
      <c r="AD379" s="23"/>
      <c r="AE379" s="23"/>
      <c r="AF379" s="24"/>
      <c r="AG379" s="23"/>
      <c r="AH379" s="24"/>
      <c r="AI379" s="29" t="str">
        <f aca="false">IF(X379="Not accepted","Maintained",IF(X379="Partially accepted","Partially maintained",IF(X379="Accepted","Reversed",IF(X379="Withdrawn by hospital","Withdrawn by hospital",""))))</f>
        <v/>
      </c>
      <c r="AJ379" s="28" t="str">
        <f aca="false">IF(AI379="","",W379)</f>
        <v/>
      </c>
      <c r="AK379" s="29" t="str">
        <f aca="false">IF(AND(ISNUMBER(T379),ISNUMBER(W379)),W379-T379,"")</f>
        <v/>
      </c>
      <c r="AL379" s="29" t="str">
        <f aca="false">IF(A379="","",SUMIF(Actions!$C$5:$C$1004,A379,Actions!$F$5:$F$1004))</f>
        <v/>
      </c>
      <c r="AM379" s="25"/>
    </row>
    <row r="380" customFormat="false" ht="15" hidden="false" customHeight="false" outlineLevel="0" collapsed="false">
      <c r="A380" s="23"/>
      <c r="B380" s="23"/>
      <c r="C380" s="23"/>
      <c r="D380" s="23"/>
      <c r="E380" s="23"/>
      <c r="F380" s="23"/>
      <c r="G380" s="23"/>
      <c r="H380" s="23"/>
      <c r="I380" s="23"/>
      <c r="J380" s="23"/>
      <c r="K380" s="24"/>
      <c r="L380" s="23"/>
      <c r="M380" s="25"/>
      <c r="N380" s="25"/>
      <c r="O380" s="23"/>
      <c r="P380" s="26"/>
      <c r="Q380" s="26"/>
      <c r="R380" s="27" t="str">
        <f aca="false">IF(AND(ISNUMBER(P380),ISNUMBER(Q380)),P380-Q380,"")</f>
        <v/>
      </c>
      <c r="S380" s="24"/>
      <c r="T380" s="28" t="str">
        <f aca="false">IF(S380&lt;&gt;"",S380,IF(B380="","",IFERROR(IF(INDEX(Batches!$G$5:$G$64,MATCH(B380,Batches!$A$5:$A$64,0))="","",INDEX(Batches!$G$5:$G$64,MATCH(B380,Batches!$A$5:$A$64,0))),"")))</f>
        <v/>
      </c>
      <c r="U380" s="23"/>
      <c r="V380" s="24"/>
      <c r="W380" s="28" t="str">
        <f aca="false">IF(OR(X380="",X380="Pending"),"",IF(V380&lt;&gt;"",V380,IFERROR(IF(INDEX(Batches!$H$5:$H$64,MATCH(B380,Batches!$A$5:$A$64,0))="","",INDEX(Batches!$H$5:$H$64,MATCH(B380,Batches!$A$5:$A$64,0))),"")))</f>
        <v/>
      </c>
      <c r="X380" s="23"/>
      <c r="Y380" s="23"/>
      <c r="Z380" s="26"/>
      <c r="AA380" s="27" t="str">
        <f aca="false">IF(R380="","",IF(X380="Not accepted",R380,IF(OR(X380="Accepted",X380="Withdrawn by hospital"),IF(X380="Accepted",0,R380),IF(ISNUMBER(Z380),R380-Z380,""))))</f>
        <v/>
      </c>
      <c r="AB380" s="23"/>
      <c r="AC380" s="25"/>
      <c r="AD380" s="23"/>
      <c r="AE380" s="23"/>
      <c r="AF380" s="24"/>
      <c r="AG380" s="23"/>
      <c r="AH380" s="24"/>
      <c r="AI380" s="29" t="str">
        <f aca="false">IF(X380="Not accepted","Maintained",IF(X380="Partially accepted","Partially maintained",IF(X380="Accepted","Reversed",IF(X380="Withdrawn by hospital","Withdrawn by hospital",""))))</f>
        <v/>
      </c>
      <c r="AJ380" s="28" t="str">
        <f aca="false">IF(AI380="","",W380)</f>
        <v/>
      </c>
      <c r="AK380" s="29" t="str">
        <f aca="false">IF(AND(ISNUMBER(T380),ISNUMBER(W380)),W380-T380,"")</f>
        <v/>
      </c>
      <c r="AL380" s="29" t="str">
        <f aca="false">IF(A380="","",SUMIF(Actions!$C$5:$C$1004,A380,Actions!$F$5:$F$1004))</f>
        <v/>
      </c>
      <c r="AM380" s="25"/>
    </row>
    <row r="381" customFormat="false" ht="15" hidden="false" customHeight="false" outlineLevel="0" collapsed="false">
      <c r="A381" s="23"/>
      <c r="B381" s="23"/>
      <c r="C381" s="23"/>
      <c r="D381" s="23"/>
      <c r="E381" s="23"/>
      <c r="F381" s="23"/>
      <c r="G381" s="23"/>
      <c r="H381" s="23"/>
      <c r="I381" s="23"/>
      <c r="J381" s="23"/>
      <c r="K381" s="24"/>
      <c r="L381" s="23"/>
      <c r="M381" s="25"/>
      <c r="N381" s="25"/>
      <c r="O381" s="23"/>
      <c r="P381" s="26"/>
      <c r="Q381" s="26"/>
      <c r="R381" s="27" t="str">
        <f aca="false">IF(AND(ISNUMBER(P381),ISNUMBER(Q381)),P381-Q381,"")</f>
        <v/>
      </c>
      <c r="S381" s="24"/>
      <c r="T381" s="28" t="str">
        <f aca="false">IF(S381&lt;&gt;"",S381,IF(B381="","",IFERROR(IF(INDEX(Batches!$G$5:$G$64,MATCH(B381,Batches!$A$5:$A$64,0))="","",INDEX(Batches!$G$5:$G$64,MATCH(B381,Batches!$A$5:$A$64,0))),"")))</f>
        <v/>
      </c>
      <c r="U381" s="23"/>
      <c r="V381" s="24"/>
      <c r="W381" s="28" t="str">
        <f aca="false">IF(OR(X381="",X381="Pending"),"",IF(V381&lt;&gt;"",V381,IFERROR(IF(INDEX(Batches!$H$5:$H$64,MATCH(B381,Batches!$A$5:$A$64,0))="","",INDEX(Batches!$H$5:$H$64,MATCH(B381,Batches!$A$5:$A$64,0))),"")))</f>
        <v/>
      </c>
      <c r="X381" s="23"/>
      <c r="Y381" s="23"/>
      <c r="Z381" s="26"/>
      <c r="AA381" s="27" t="str">
        <f aca="false">IF(R381="","",IF(X381="Not accepted",R381,IF(OR(X381="Accepted",X381="Withdrawn by hospital"),IF(X381="Accepted",0,R381),IF(ISNUMBER(Z381),R381-Z381,""))))</f>
        <v/>
      </c>
      <c r="AB381" s="23"/>
      <c r="AC381" s="25"/>
      <c r="AD381" s="23"/>
      <c r="AE381" s="23"/>
      <c r="AF381" s="24"/>
      <c r="AG381" s="23"/>
      <c r="AH381" s="24"/>
      <c r="AI381" s="29" t="str">
        <f aca="false">IF(X381="Not accepted","Maintained",IF(X381="Partially accepted","Partially maintained",IF(X381="Accepted","Reversed",IF(X381="Withdrawn by hospital","Withdrawn by hospital",""))))</f>
        <v/>
      </c>
      <c r="AJ381" s="28" t="str">
        <f aca="false">IF(AI381="","",W381)</f>
        <v/>
      </c>
      <c r="AK381" s="29" t="str">
        <f aca="false">IF(AND(ISNUMBER(T381),ISNUMBER(W381)),W381-T381,"")</f>
        <v/>
      </c>
      <c r="AL381" s="29" t="str">
        <f aca="false">IF(A381="","",SUMIF(Actions!$C$5:$C$1004,A381,Actions!$F$5:$F$1004))</f>
        <v/>
      </c>
      <c r="AM381" s="25"/>
    </row>
    <row r="382" customFormat="false" ht="15" hidden="false" customHeight="false" outlineLevel="0" collapsed="false">
      <c r="A382" s="23"/>
      <c r="B382" s="23"/>
      <c r="C382" s="23"/>
      <c r="D382" s="23"/>
      <c r="E382" s="23"/>
      <c r="F382" s="23"/>
      <c r="G382" s="23"/>
      <c r="H382" s="23"/>
      <c r="I382" s="23"/>
      <c r="J382" s="23"/>
      <c r="K382" s="24"/>
      <c r="L382" s="23"/>
      <c r="M382" s="25"/>
      <c r="N382" s="25"/>
      <c r="O382" s="23"/>
      <c r="P382" s="26"/>
      <c r="Q382" s="26"/>
      <c r="R382" s="27" t="str">
        <f aca="false">IF(AND(ISNUMBER(P382),ISNUMBER(Q382)),P382-Q382,"")</f>
        <v/>
      </c>
      <c r="S382" s="24"/>
      <c r="T382" s="28" t="str">
        <f aca="false">IF(S382&lt;&gt;"",S382,IF(B382="","",IFERROR(IF(INDEX(Batches!$G$5:$G$64,MATCH(B382,Batches!$A$5:$A$64,0))="","",INDEX(Batches!$G$5:$G$64,MATCH(B382,Batches!$A$5:$A$64,0))),"")))</f>
        <v/>
      </c>
      <c r="U382" s="23"/>
      <c r="V382" s="24"/>
      <c r="W382" s="28" t="str">
        <f aca="false">IF(OR(X382="",X382="Pending"),"",IF(V382&lt;&gt;"",V382,IFERROR(IF(INDEX(Batches!$H$5:$H$64,MATCH(B382,Batches!$A$5:$A$64,0))="","",INDEX(Batches!$H$5:$H$64,MATCH(B382,Batches!$A$5:$A$64,0))),"")))</f>
        <v/>
      </c>
      <c r="X382" s="23"/>
      <c r="Y382" s="23"/>
      <c r="Z382" s="26"/>
      <c r="AA382" s="27" t="str">
        <f aca="false">IF(R382="","",IF(X382="Not accepted",R382,IF(OR(X382="Accepted",X382="Withdrawn by hospital"),IF(X382="Accepted",0,R382),IF(ISNUMBER(Z382),R382-Z382,""))))</f>
        <v/>
      </c>
      <c r="AB382" s="23"/>
      <c r="AC382" s="25"/>
      <c r="AD382" s="23"/>
      <c r="AE382" s="23"/>
      <c r="AF382" s="24"/>
      <c r="AG382" s="23"/>
      <c r="AH382" s="24"/>
      <c r="AI382" s="29" t="str">
        <f aca="false">IF(X382="Not accepted","Maintained",IF(X382="Partially accepted","Partially maintained",IF(X382="Accepted","Reversed",IF(X382="Withdrawn by hospital","Withdrawn by hospital",""))))</f>
        <v/>
      </c>
      <c r="AJ382" s="28" t="str">
        <f aca="false">IF(AI382="","",W382)</f>
        <v/>
      </c>
      <c r="AK382" s="29" t="str">
        <f aca="false">IF(AND(ISNUMBER(T382),ISNUMBER(W382)),W382-T382,"")</f>
        <v/>
      </c>
      <c r="AL382" s="29" t="str">
        <f aca="false">IF(A382="","",SUMIF(Actions!$C$5:$C$1004,A382,Actions!$F$5:$F$1004))</f>
        <v/>
      </c>
      <c r="AM382" s="25"/>
    </row>
    <row r="383" customFormat="false" ht="15" hidden="false" customHeight="false" outlineLevel="0" collapsed="false">
      <c r="A383" s="23"/>
      <c r="B383" s="23"/>
      <c r="C383" s="23"/>
      <c r="D383" s="23"/>
      <c r="E383" s="23"/>
      <c r="F383" s="23"/>
      <c r="G383" s="23"/>
      <c r="H383" s="23"/>
      <c r="I383" s="23"/>
      <c r="J383" s="23"/>
      <c r="K383" s="24"/>
      <c r="L383" s="23"/>
      <c r="M383" s="25"/>
      <c r="N383" s="25"/>
      <c r="O383" s="23"/>
      <c r="P383" s="26"/>
      <c r="Q383" s="26"/>
      <c r="R383" s="27" t="str">
        <f aca="false">IF(AND(ISNUMBER(P383),ISNUMBER(Q383)),P383-Q383,"")</f>
        <v/>
      </c>
      <c r="S383" s="24"/>
      <c r="T383" s="28" t="str">
        <f aca="false">IF(S383&lt;&gt;"",S383,IF(B383="","",IFERROR(IF(INDEX(Batches!$G$5:$G$64,MATCH(B383,Batches!$A$5:$A$64,0))="","",INDEX(Batches!$G$5:$G$64,MATCH(B383,Batches!$A$5:$A$64,0))),"")))</f>
        <v/>
      </c>
      <c r="U383" s="23"/>
      <c r="V383" s="24"/>
      <c r="W383" s="28" t="str">
        <f aca="false">IF(OR(X383="",X383="Pending"),"",IF(V383&lt;&gt;"",V383,IFERROR(IF(INDEX(Batches!$H$5:$H$64,MATCH(B383,Batches!$A$5:$A$64,0))="","",INDEX(Batches!$H$5:$H$64,MATCH(B383,Batches!$A$5:$A$64,0))),"")))</f>
        <v/>
      </c>
      <c r="X383" s="23"/>
      <c r="Y383" s="23"/>
      <c r="Z383" s="26"/>
      <c r="AA383" s="27" t="str">
        <f aca="false">IF(R383="","",IF(X383="Not accepted",R383,IF(OR(X383="Accepted",X383="Withdrawn by hospital"),IF(X383="Accepted",0,R383),IF(ISNUMBER(Z383),R383-Z383,""))))</f>
        <v/>
      </c>
      <c r="AB383" s="23"/>
      <c r="AC383" s="25"/>
      <c r="AD383" s="23"/>
      <c r="AE383" s="23"/>
      <c r="AF383" s="24"/>
      <c r="AG383" s="23"/>
      <c r="AH383" s="24"/>
      <c r="AI383" s="29" t="str">
        <f aca="false">IF(X383="Not accepted","Maintained",IF(X383="Partially accepted","Partially maintained",IF(X383="Accepted","Reversed",IF(X383="Withdrawn by hospital","Withdrawn by hospital",""))))</f>
        <v/>
      </c>
      <c r="AJ383" s="28" t="str">
        <f aca="false">IF(AI383="","",W383)</f>
        <v/>
      </c>
      <c r="AK383" s="29" t="str">
        <f aca="false">IF(AND(ISNUMBER(T383),ISNUMBER(W383)),W383-T383,"")</f>
        <v/>
      </c>
      <c r="AL383" s="29" t="str">
        <f aca="false">IF(A383="","",SUMIF(Actions!$C$5:$C$1004,A383,Actions!$F$5:$F$1004))</f>
        <v/>
      </c>
      <c r="AM383" s="25"/>
    </row>
    <row r="384" customFormat="false" ht="15" hidden="false" customHeight="false" outlineLevel="0" collapsed="false">
      <c r="A384" s="23"/>
      <c r="B384" s="23"/>
      <c r="C384" s="23"/>
      <c r="D384" s="23"/>
      <c r="E384" s="23"/>
      <c r="F384" s="23"/>
      <c r="G384" s="23"/>
      <c r="H384" s="23"/>
      <c r="I384" s="23"/>
      <c r="J384" s="23"/>
      <c r="K384" s="24"/>
      <c r="L384" s="23"/>
      <c r="M384" s="25"/>
      <c r="N384" s="25"/>
      <c r="O384" s="23"/>
      <c r="P384" s="26"/>
      <c r="Q384" s="26"/>
      <c r="R384" s="27" t="str">
        <f aca="false">IF(AND(ISNUMBER(P384),ISNUMBER(Q384)),P384-Q384,"")</f>
        <v/>
      </c>
      <c r="S384" s="24"/>
      <c r="T384" s="28" t="str">
        <f aca="false">IF(S384&lt;&gt;"",S384,IF(B384="","",IFERROR(IF(INDEX(Batches!$G$5:$G$64,MATCH(B384,Batches!$A$5:$A$64,0))="","",INDEX(Batches!$G$5:$G$64,MATCH(B384,Batches!$A$5:$A$64,0))),"")))</f>
        <v/>
      </c>
      <c r="U384" s="23"/>
      <c r="V384" s="24"/>
      <c r="W384" s="28" t="str">
        <f aca="false">IF(OR(X384="",X384="Pending"),"",IF(V384&lt;&gt;"",V384,IFERROR(IF(INDEX(Batches!$H$5:$H$64,MATCH(B384,Batches!$A$5:$A$64,0))="","",INDEX(Batches!$H$5:$H$64,MATCH(B384,Batches!$A$5:$A$64,0))),"")))</f>
        <v/>
      </c>
      <c r="X384" s="23"/>
      <c r="Y384" s="23"/>
      <c r="Z384" s="26"/>
      <c r="AA384" s="27" t="str">
        <f aca="false">IF(R384="","",IF(X384="Not accepted",R384,IF(OR(X384="Accepted",X384="Withdrawn by hospital"),IF(X384="Accepted",0,R384),IF(ISNUMBER(Z384),R384-Z384,""))))</f>
        <v/>
      </c>
      <c r="AB384" s="23"/>
      <c r="AC384" s="25"/>
      <c r="AD384" s="23"/>
      <c r="AE384" s="23"/>
      <c r="AF384" s="24"/>
      <c r="AG384" s="23"/>
      <c r="AH384" s="24"/>
      <c r="AI384" s="29" t="str">
        <f aca="false">IF(X384="Not accepted","Maintained",IF(X384="Partially accepted","Partially maintained",IF(X384="Accepted","Reversed",IF(X384="Withdrawn by hospital","Withdrawn by hospital",""))))</f>
        <v/>
      </c>
      <c r="AJ384" s="28" t="str">
        <f aca="false">IF(AI384="","",W384)</f>
        <v/>
      </c>
      <c r="AK384" s="29" t="str">
        <f aca="false">IF(AND(ISNUMBER(T384),ISNUMBER(W384)),W384-T384,"")</f>
        <v/>
      </c>
      <c r="AL384" s="29" t="str">
        <f aca="false">IF(A384="","",SUMIF(Actions!$C$5:$C$1004,A384,Actions!$F$5:$F$1004))</f>
        <v/>
      </c>
      <c r="AM384" s="25"/>
    </row>
    <row r="385" customFormat="false" ht="15" hidden="false" customHeight="false" outlineLevel="0" collapsed="false">
      <c r="A385" s="23"/>
      <c r="B385" s="23"/>
      <c r="C385" s="23"/>
      <c r="D385" s="23"/>
      <c r="E385" s="23"/>
      <c r="F385" s="23"/>
      <c r="G385" s="23"/>
      <c r="H385" s="23"/>
      <c r="I385" s="23"/>
      <c r="J385" s="23"/>
      <c r="K385" s="24"/>
      <c r="L385" s="23"/>
      <c r="M385" s="25"/>
      <c r="N385" s="25"/>
      <c r="O385" s="23"/>
      <c r="P385" s="26"/>
      <c r="Q385" s="26"/>
      <c r="R385" s="27" t="str">
        <f aca="false">IF(AND(ISNUMBER(P385),ISNUMBER(Q385)),P385-Q385,"")</f>
        <v/>
      </c>
      <c r="S385" s="24"/>
      <c r="T385" s="28" t="str">
        <f aca="false">IF(S385&lt;&gt;"",S385,IF(B385="","",IFERROR(IF(INDEX(Batches!$G$5:$G$64,MATCH(B385,Batches!$A$5:$A$64,0))="","",INDEX(Batches!$G$5:$G$64,MATCH(B385,Batches!$A$5:$A$64,0))),"")))</f>
        <v/>
      </c>
      <c r="U385" s="23"/>
      <c r="V385" s="24"/>
      <c r="W385" s="28" t="str">
        <f aca="false">IF(OR(X385="",X385="Pending"),"",IF(V385&lt;&gt;"",V385,IFERROR(IF(INDEX(Batches!$H$5:$H$64,MATCH(B385,Batches!$A$5:$A$64,0))="","",INDEX(Batches!$H$5:$H$64,MATCH(B385,Batches!$A$5:$A$64,0))),"")))</f>
        <v/>
      </c>
      <c r="X385" s="23"/>
      <c r="Y385" s="23"/>
      <c r="Z385" s="26"/>
      <c r="AA385" s="27" t="str">
        <f aca="false">IF(R385="","",IF(X385="Not accepted",R385,IF(OR(X385="Accepted",X385="Withdrawn by hospital"),IF(X385="Accepted",0,R385),IF(ISNUMBER(Z385),R385-Z385,""))))</f>
        <v/>
      </c>
      <c r="AB385" s="23"/>
      <c r="AC385" s="25"/>
      <c r="AD385" s="23"/>
      <c r="AE385" s="23"/>
      <c r="AF385" s="24"/>
      <c r="AG385" s="23"/>
      <c r="AH385" s="24"/>
      <c r="AI385" s="29" t="str">
        <f aca="false">IF(X385="Not accepted","Maintained",IF(X385="Partially accepted","Partially maintained",IF(X385="Accepted","Reversed",IF(X385="Withdrawn by hospital","Withdrawn by hospital",""))))</f>
        <v/>
      </c>
      <c r="AJ385" s="28" t="str">
        <f aca="false">IF(AI385="","",W385)</f>
        <v/>
      </c>
      <c r="AK385" s="29" t="str">
        <f aca="false">IF(AND(ISNUMBER(T385),ISNUMBER(W385)),W385-T385,"")</f>
        <v/>
      </c>
      <c r="AL385" s="29" t="str">
        <f aca="false">IF(A385="","",SUMIF(Actions!$C$5:$C$1004,A385,Actions!$F$5:$F$1004))</f>
        <v/>
      </c>
      <c r="AM385" s="25"/>
    </row>
    <row r="386" customFormat="false" ht="15" hidden="false" customHeight="false" outlineLevel="0" collapsed="false">
      <c r="A386" s="23"/>
      <c r="B386" s="23"/>
      <c r="C386" s="23"/>
      <c r="D386" s="23"/>
      <c r="E386" s="23"/>
      <c r="F386" s="23"/>
      <c r="G386" s="23"/>
      <c r="H386" s="23"/>
      <c r="I386" s="23"/>
      <c r="J386" s="23"/>
      <c r="K386" s="24"/>
      <c r="L386" s="23"/>
      <c r="M386" s="25"/>
      <c r="N386" s="25"/>
      <c r="O386" s="23"/>
      <c r="P386" s="26"/>
      <c r="Q386" s="26"/>
      <c r="R386" s="27" t="str">
        <f aca="false">IF(AND(ISNUMBER(P386),ISNUMBER(Q386)),P386-Q386,"")</f>
        <v/>
      </c>
      <c r="S386" s="24"/>
      <c r="T386" s="28" t="str">
        <f aca="false">IF(S386&lt;&gt;"",S386,IF(B386="","",IFERROR(IF(INDEX(Batches!$G$5:$G$64,MATCH(B386,Batches!$A$5:$A$64,0))="","",INDEX(Batches!$G$5:$G$64,MATCH(B386,Batches!$A$5:$A$64,0))),"")))</f>
        <v/>
      </c>
      <c r="U386" s="23"/>
      <c r="V386" s="24"/>
      <c r="W386" s="28" t="str">
        <f aca="false">IF(OR(X386="",X386="Pending"),"",IF(V386&lt;&gt;"",V386,IFERROR(IF(INDEX(Batches!$H$5:$H$64,MATCH(B386,Batches!$A$5:$A$64,0))="","",INDEX(Batches!$H$5:$H$64,MATCH(B386,Batches!$A$5:$A$64,0))),"")))</f>
        <v/>
      </c>
      <c r="X386" s="23"/>
      <c r="Y386" s="23"/>
      <c r="Z386" s="26"/>
      <c r="AA386" s="27" t="str">
        <f aca="false">IF(R386="","",IF(X386="Not accepted",R386,IF(OR(X386="Accepted",X386="Withdrawn by hospital"),IF(X386="Accepted",0,R386),IF(ISNUMBER(Z386),R386-Z386,""))))</f>
        <v/>
      </c>
      <c r="AB386" s="23"/>
      <c r="AC386" s="25"/>
      <c r="AD386" s="23"/>
      <c r="AE386" s="23"/>
      <c r="AF386" s="24"/>
      <c r="AG386" s="23"/>
      <c r="AH386" s="24"/>
      <c r="AI386" s="29" t="str">
        <f aca="false">IF(X386="Not accepted","Maintained",IF(X386="Partially accepted","Partially maintained",IF(X386="Accepted","Reversed",IF(X386="Withdrawn by hospital","Withdrawn by hospital",""))))</f>
        <v/>
      </c>
      <c r="AJ386" s="28" t="str">
        <f aca="false">IF(AI386="","",W386)</f>
        <v/>
      </c>
      <c r="AK386" s="29" t="str">
        <f aca="false">IF(AND(ISNUMBER(T386),ISNUMBER(W386)),W386-T386,"")</f>
        <v/>
      </c>
      <c r="AL386" s="29" t="str">
        <f aca="false">IF(A386="","",SUMIF(Actions!$C$5:$C$1004,A386,Actions!$F$5:$F$1004))</f>
        <v/>
      </c>
      <c r="AM386" s="25"/>
    </row>
    <row r="387" customFormat="false" ht="15" hidden="false" customHeight="false" outlineLevel="0" collapsed="false">
      <c r="A387" s="23"/>
      <c r="B387" s="23"/>
      <c r="C387" s="23"/>
      <c r="D387" s="23"/>
      <c r="E387" s="23"/>
      <c r="F387" s="23"/>
      <c r="G387" s="23"/>
      <c r="H387" s="23"/>
      <c r="I387" s="23"/>
      <c r="J387" s="23"/>
      <c r="K387" s="24"/>
      <c r="L387" s="23"/>
      <c r="M387" s="25"/>
      <c r="N387" s="25"/>
      <c r="O387" s="23"/>
      <c r="P387" s="26"/>
      <c r="Q387" s="26"/>
      <c r="R387" s="27" t="str">
        <f aca="false">IF(AND(ISNUMBER(P387),ISNUMBER(Q387)),P387-Q387,"")</f>
        <v/>
      </c>
      <c r="S387" s="24"/>
      <c r="T387" s="28" t="str">
        <f aca="false">IF(S387&lt;&gt;"",S387,IF(B387="","",IFERROR(IF(INDEX(Batches!$G$5:$G$64,MATCH(B387,Batches!$A$5:$A$64,0))="","",INDEX(Batches!$G$5:$G$64,MATCH(B387,Batches!$A$5:$A$64,0))),"")))</f>
        <v/>
      </c>
      <c r="U387" s="23"/>
      <c r="V387" s="24"/>
      <c r="W387" s="28" t="str">
        <f aca="false">IF(OR(X387="",X387="Pending"),"",IF(V387&lt;&gt;"",V387,IFERROR(IF(INDEX(Batches!$H$5:$H$64,MATCH(B387,Batches!$A$5:$A$64,0))="","",INDEX(Batches!$H$5:$H$64,MATCH(B387,Batches!$A$5:$A$64,0))),"")))</f>
        <v/>
      </c>
      <c r="X387" s="23"/>
      <c r="Y387" s="23"/>
      <c r="Z387" s="26"/>
      <c r="AA387" s="27" t="str">
        <f aca="false">IF(R387="","",IF(X387="Not accepted",R387,IF(OR(X387="Accepted",X387="Withdrawn by hospital"),IF(X387="Accepted",0,R387),IF(ISNUMBER(Z387),R387-Z387,""))))</f>
        <v/>
      </c>
      <c r="AB387" s="23"/>
      <c r="AC387" s="25"/>
      <c r="AD387" s="23"/>
      <c r="AE387" s="23"/>
      <c r="AF387" s="24"/>
      <c r="AG387" s="23"/>
      <c r="AH387" s="24"/>
      <c r="AI387" s="29" t="str">
        <f aca="false">IF(X387="Not accepted","Maintained",IF(X387="Partially accepted","Partially maintained",IF(X387="Accepted","Reversed",IF(X387="Withdrawn by hospital","Withdrawn by hospital",""))))</f>
        <v/>
      </c>
      <c r="AJ387" s="28" t="str">
        <f aca="false">IF(AI387="","",W387)</f>
        <v/>
      </c>
      <c r="AK387" s="29" t="str">
        <f aca="false">IF(AND(ISNUMBER(T387),ISNUMBER(W387)),W387-T387,"")</f>
        <v/>
      </c>
      <c r="AL387" s="29" t="str">
        <f aca="false">IF(A387="","",SUMIF(Actions!$C$5:$C$1004,A387,Actions!$F$5:$F$1004))</f>
        <v/>
      </c>
      <c r="AM387" s="25"/>
    </row>
    <row r="388" customFormat="false" ht="15" hidden="false" customHeight="false" outlineLevel="0" collapsed="false">
      <c r="A388" s="23"/>
      <c r="B388" s="23"/>
      <c r="C388" s="23"/>
      <c r="D388" s="23"/>
      <c r="E388" s="23"/>
      <c r="F388" s="23"/>
      <c r="G388" s="23"/>
      <c r="H388" s="23"/>
      <c r="I388" s="23"/>
      <c r="J388" s="23"/>
      <c r="K388" s="24"/>
      <c r="L388" s="23"/>
      <c r="M388" s="25"/>
      <c r="N388" s="25"/>
      <c r="O388" s="23"/>
      <c r="P388" s="26"/>
      <c r="Q388" s="26"/>
      <c r="R388" s="27" t="str">
        <f aca="false">IF(AND(ISNUMBER(P388),ISNUMBER(Q388)),P388-Q388,"")</f>
        <v/>
      </c>
      <c r="S388" s="24"/>
      <c r="T388" s="28" t="str">
        <f aca="false">IF(S388&lt;&gt;"",S388,IF(B388="","",IFERROR(IF(INDEX(Batches!$G$5:$G$64,MATCH(B388,Batches!$A$5:$A$64,0))="","",INDEX(Batches!$G$5:$G$64,MATCH(B388,Batches!$A$5:$A$64,0))),"")))</f>
        <v/>
      </c>
      <c r="U388" s="23"/>
      <c r="V388" s="24"/>
      <c r="W388" s="28" t="str">
        <f aca="false">IF(OR(X388="",X388="Pending"),"",IF(V388&lt;&gt;"",V388,IFERROR(IF(INDEX(Batches!$H$5:$H$64,MATCH(B388,Batches!$A$5:$A$64,0))="","",INDEX(Batches!$H$5:$H$64,MATCH(B388,Batches!$A$5:$A$64,0))),"")))</f>
        <v/>
      </c>
      <c r="X388" s="23"/>
      <c r="Y388" s="23"/>
      <c r="Z388" s="26"/>
      <c r="AA388" s="27" t="str">
        <f aca="false">IF(R388="","",IF(X388="Not accepted",R388,IF(OR(X388="Accepted",X388="Withdrawn by hospital"),IF(X388="Accepted",0,R388),IF(ISNUMBER(Z388),R388-Z388,""))))</f>
        <v/>
      </c>
      <c r="AB388" s="23"/>
      <c r="AC388" s="25"/>
      <c r="AD388" s="23"/>
      <c r="AE388" s="23"/>
      <c r="AF388" s="24"/>
      <c r="AG388" s="23"/>
      <c r="AH388" s="24"/>
      <c r="AI388" s="29" t="str">
        <f aca="false">IF(X388="Not accepted","Maintained",IF(X388="Partially accepted","Partially maintained",IF(X388="Accepted","Reversed",IF(X388="Withdrawn by hospital","Withdrawn by hospital",""))))</f>
        <v/>
      </c>
      <c r="AJ388" s="28" t="str">
        <f aca="false">IF(AI388="","",W388)</f>
        <v/>
      </c>
      <c r="AK388" s="29" t="str">
        <f aca="false">IF(AND(ISNUMBER(T388),ISNUMBER(W388)),W388-T388,"")</f>
        <v/>
      </c>
      <c r="AL388" s="29" t="str">
        <f aca="false">IF(A388="","",SUMIF(Actions!$C$5:$C$1004,A388,Actions!$F$5:$F$1004))</f>
        <v/>
      </c>
      <c r="AM388" s="25"/>
    </row>
    <row r="389" customFormat="false" ht="15" hidden="false" customHeight="false" outlineLevel="0" collapsed="false">
      <c r="A389" s="23"/>
      <c r="B389" s="23"/>
      <c r="C389" s="23"/>
      <c r="D389" s="23"/>
      <c r="E389" s="23"/>
      <c r="F389" s="23"/>
      <c r="G389" s="23"/>
      <c r="H389" s="23"/>
      <c r="I389" s="23"/>
      <c r="J389" s="23"/>
      <c r="K389" s="24"/>
      <c r="L389" s="23"/>
      <c r="M389" s="25"/>
      <c r="N389" s="25"/>
      <c r="O389" s="23"/>
      <c r="P389" s="26"/>
      <c r="Q389" s="26"/>
      <c r="R389" s="27" t="str">
        <f aca="false">IF(AND(ISNUMBER(P389),ISNUMBER(Q389)),P389-Q389,"")</f>
        <v/>
      </c>
      <c r="S389" s="24"/>
      <c r="T389" s="28" t="str">
        <f aca="false">IF(S389&lt;&gt;"",S389,IF(B389="","",IFERROR(IF(INDEX(Batches!$G$5:$G$64,MATCH(B389,Batches!$A$5:$A$64,0))="","",INDEX(Batches!$G$5:$G$64,MATCH(B389,Batches!$A$5:$A$64,0))),"")))</f>
        <v/>
      </c>
      <c r="U389" s="23"/>
      <c r="V389" s="24"/>
      <c r="W389" s="28" t="str">
        <f aca="false">IF(OR(X389="",X389="Pending"),"",IF(V389&lt;&gt;"",V389,IFERROR(IF(INDEX(Batches!$H$5:$H$64,MATCH(B389,Batches!$A$5:$A$64,0))="","",INDEX(Batches!$H$5:$H$64,MATCH(B389,Batches!$A$5:$A$64,0))),"")))</f>
        <v/>
      </c>
      <c r="X389" s="23"/>
      <c r="Y389" s="23"/>
      <c r="Z389" s="26"/>
      <c r="AA389" s="27" t="str">
        <f aca="false">IF(R389="","",IF(X389="Not accepted",R389,IF(OR(X389="Accepted",X389="Withdrawn by hospital"),IF(X389="Accepted",0,R389),IF(ISNUMBER(Z389),R389-Z389,""))))</f>
        <v/>
      </c>
      <c r="AB389" s="23"/>
      <c r="AC389" s="25"/>
      <c r="AD389" s="23"/>
      <c r="AE389" s="23"/>
      <c r="AF389" s="24"/>
      <c r="AG389" s="23"/>
      <c r="AH389" s="24"/>
      <c r="AI389" s="29" t="str">
        <f aca="false">IF(X389="Not accepted","Maintained",IF(X389="Partially accepted","Partially maintained",IF(X389="Accepted","Reversed",IF(X389="Withdrawn by hospital","Withdrawn by hospital",""))))</f>
        <v/>
      </c>
      <c r="AJ389" s="28" t="str">
        <f aca="false">IF(AI389="","",W389)</f>
        <v/>
      </c>
      <c r="AK389" s="29" t="str">
        <f aca="false">IF(AND(ISNUMBER(T389),ISNUMBER(W389)),W389-T389,"")</f>
        <v/>
      </c>
      <c r="AL389" s="29" t="str">
        <f aca="false">IF(A389="","",SUMIF(Actions!$C$5:$C$1004,A389,Actions!$F$5:$F$1004))</f>
        <v/>
      </c>
      <c r="AM389" s="25"/>
    </row>
    <row r="390" customFormat="false" ht="15" hidden="false" customHeight="false" outlineLevel="0" collapsed="false">
      <c r="A390" s="23"/>
      <c r="B390" s="23"/>
      <c r="C390" s="23"/>
      <c r="D390" s="23"/>
      <c r="E390" s="23"/>
      <c r="F390" s="23"/>
      <c r="G390" s="23"/>
      <c r="H390" s="23"/>
      <c r="I390" s="23"/>
      <c r="J390" s="23"/>
      <c r="K390" s="24"/>
      <c r="L390" s="23"/>
      <c r="M390" s="25"/>
      <c r="N390" s="25"/>
      <c r="O390" s="23"/>
      <c r="P390" s="26"/>
      <c r="Q390" s="26"/>
      <c r="R390" s="27" t="str">
        <f aca="false">IF(AND(ISNUMBER(P390),ISNUMBER(Q390)),P390-Q390,"")</f>
        <v/>
      </c>
      <c r="S390" s="24"/>
      <c r="T390" s="28" t="str">
        <f aca="false">IF(S390&lt;&gt;"",S390,IF(B390="","",IFERROR(IF(INDEX(Batches!$G$5:$G$64,MATCH(B390,Batches!$A$5:$A$64,0))="","",INDEX(Batches!$G$5:$G$64,MATCH(B390,Batches!$A$5:$A$64,0))),"")))</f>
        <v/>
      </c>
      <c r="U390" s="23"/>
      <c r="V390" s="24"/>
      <c r="W390" s="28" t="str">
        <f aca="false">IF(OR(X390="",X390="Pending"),"",IF(V390&lt;&gt;"",V390,IFERROR(IF(INDEX(Batches!$H$5:$H$64,MATCH(B390,Batches!$A$5:$A$64,0))="","",INDEX(Batches!$H$5:$H$64,MATCH(B390,Batches!$A$5:$A$64,0))),"")))</f>
        <v/>
      </c>
      <c r="X390" s="23"/>
      <c r="Y390" s="23"/>
      <c r="Z390" s="26"/>
      <c r="AA390" s="27" t="str">
        <f aca="false">IF(R390="","",IF(X390="Not accepted",R390,IF(OR(X390="Accepted",X390="Withdrawn by hospital"),IF(X390="Accepted",0,R390),IF(ISNUMBER(Z390),R390-Z390,""))))</f>
        <v/>
      </c>
      <c r="AB390" s="23"/>
      <c r="AC390" s="25"/>
      <c r="AD390" s="23"/>
      <c r="AE390" s="23"/>
      <c r="AF390" s="24"/>
      <c r="AG390" s="23"/>
      <c r="AH390" s="24"/>
      <c r="AI390" s="29" t="str">
        <f aca="false">IF(X390="Not accepted","Maintained",IF(X390="Partially accepted","Partially maintained",IF(X390="Accepted","Reversed",IF(X390="Withdrawn by hospital","Withdrawn by hospital",""))))</f>
        <v/>
      </c>
      <c r="AJ390" s="28" t="str">
        <f aca="false">IF(AI390="","",W390)</f>
        <v/>
      </c>
      <c r="AK390" s="29" t="str">
        <f aca="false">IF(AND(ISNUMBER(T390),ISNUMBER(W390)),W390-T390,"")</f>
        <v/>
      </c>
      <c r="AL390" s="29" t="str">
        <f aca="false">IF(A390="","",SUMIF(Actions!$C$5:$C$1004,A390,Actions!$F$5:$F$1004))</f>
        <v/>
      </c>
      <c r="AM390" s="25"/>
    </row>
    <row r="391" customFormat="false" ht="15" hidden="false" customHeight="false" outlineLevel="0" collapsed="false">
      <c r="A391" s="23"/>
      <c r="B391" s="23"/>
      <c r="C391" s="23"/>
      <c r="D391" s="23"/>
      <c r="E391" s="23"/>
      <c r="F391" s="23"/>
      <c r="G391" s="23"/>
      <c r="H391" s="23"/>
      <c r="I391" s="23"/>
      <c r="J391" s="23"/>
      <c r="K391" s="24"/>
      <c r="L391" s="23"/>
      <c r="M391" s="25"/>
      <c r="N391" s="25"/>
      <c r="O391" s="23"/>
      <c r="P391" s="26"/>
      <c r="Q391" s="26"/>
      <c r="R391" s="27" t="str">
        <f aca="false">IF(AND(ISNUMBER(P391),ISNUMBER(Q391)),P391-Q391,"")</f>
        <v/>
      </c>
      <c r="S391" s="24"/>
      <c r="T391" s="28" t="str">
        <f aca="false">IF(S391&lt;&gt;"",S391,IF(B391="","",IFERROR(IF(INDEX(Batches!$G$5:$G$64,MATCH(B391,Batches!$A$5:$A$64,0))="","",INDEX(Batches!$G$5:$G$64,MATCH(B391,Batches!$A$5:$A$64,0))),"")))</f>
        <v/>
      </c>
      <c r="U391" s="23"/>
      <c r="V391" s="24"/>
      <c r="W391" s="28" t="str">
        <f aca="false">IF(OR(X391="",X391="Pending"),"",IF(V391&lt;&gt;"",V391,IFERROR(IF(INDEX(Batches!$H$5:$H$64,MATCH(B391,Batches!$A$5:$A$64,0))="","",INDEX(Batches!$H$5:$H$64,MATCH(B391,Batches!$A$5:$A$64,0))),"")))</f>
        <v/>
      </c>
      <c r="X391" s="23"/>
      <c r="Y391" s="23"/>
      <c r="Z391" s="26"/>
      <c r="AA391" s="27" t="str">
        <f aca="false">IF(R391="","",IF(X391="Not accepted",R391,IF(OR(X391="Accepted",X391="Withdrawn by hospital"),IF(X391="Accepted",0,R391),IF(ISNUMBER(Z391),R391-Z391,""))))</f>
        <v/>
      </c>
      <c r="AB391" s="23"/>
      <c r="AC391" s="25"/>
      <c r="AD391" s="23"/>
      <c r="AE391" s="23"/>
      <c r="AF391" s="24"/>
      <c r="AG391" s="23"/>
      <c r="AH391" s="24"/>
      <c r="AI391" s="29" t="str">
        <f aca="false">IF(X391="Not accepted","Maintained",IF(X391="Partially accepted","Partially maintained",IF(X391="Accepted","Reversed",IF(X391="Withdrawn by hospital","Withdrawn by hospital",""))))</f>
        <v/>
      </c>
      <c r="AJ391" s="28" t="str">
        <f aca="false">IF(AI391="","",W391)</f>
        <v/>
      </c>
      <c r="AK391" s="29" t="str">
        <f aca="false">IF(AND(ISNUMBER(T391),ISNUMBER(W391)),W391-T391,"")</f>
        <v/>
      </c>
      <c r="AL391" s="29" t="str">
        <f aca="false">IF(A391="","",SUMIF(Actions!$C$5:$C$1004,A391,Actions!$F$5:$F$1004))</f>
        <v/>
      </c>
      <c r="AM391" s="25"/>
    </row>
    <row r="392" customFormat="false" ht="15" hidden="false" customHeight="false" outlineLevel="0" collapsed="false">
      <c r="A392" s="23"/>
      <c r="B392" s="23"/>
      <c r="C392" s="23"/>
      <c r="D392" s="23"/>
      <c r="E392" s="23"/>
      <c r="F392" s="23"/>
      <c r="G392" s="23"/>
      <c r="H392" s="23"/>
      <c r="I392" s="23"/>
      <c r="J392" s="23"/>
      <c r="K392" s="24"/>
      <c r="L392" s="23"/>
      <c r="M392" s="25"/>
      <c r="N392" s="25"/>
      <c r="O392" s="23"/>
      <c r="P392" s="26"/>
      <c r="Q392" s="26"/>
      <c r="R392" s="27" t="str">
        <f aca="false">IF(AND(ISNUMBER(P392),ISNUMBER(Q392)),P392-Q392,"")</f>
        <v/>
      </c>
      <c r="S392" s="24"/>
      <c r="T392" s="28" t="str">
        <f aca="false">IF(S392&lt;&gt;"",S392,IF(B392="","",IFERROR(IF(INDEX(Batches!$G$5:$G$64,MATCH(B392,Batches!$A$5:$A$64,0))="","",INDEX(Batches!$G$5:$G$64,MATCH(B392,Batches!$A$5:$A$64,0))),"")))</f>
        <v/>
      </c>
      <c r="U392" s="23"/>
      <c r="V392" s="24"/>
      <c r="W392" s="28" t="str">
        <f aca="false">IF(OR(X392="",X392="Pending"),"",IF(V392&lt;&gt;"",V392,IFERROR(IF(INDEX(Batches!$H$5:$H$64,MATCH(B392,Batches!$A$5:$A$64,0))="","",INDEX(Batches!$H$5:$H$64,MATCH(B392,Batches!$A$5:$A$64,0))),"")))</f>
        <v/>
      </c>
      <c r="X392" s="23"/>
      <c r="Y392" s="23"/>
      <c r="Z392" s="26"/>
      <c r="AA392" s="27" t="str">
        <f aca="false">IF(R392="","",IF(X392="Not accepted",R392,IF(OR(X392="Accepted",X392="Withdrawn by hospital"),IF(X392="Accepted",0,R392),IF(ISNUMBER(Z392),R392-Z392,""))))</f>
        <v/>
      </c>
      <c r="AB392" s="23"/>
      <c r="AC392" s="25"/>
      <c r="AD392" s="23"/>
      <c r="AE392" s="23"/>
      <c r="AF392" s="24"/>
      <c r="AG392" s="23"/>
      <c r="AH392" s="24"/>
      <c r="AI392" s="29" t="str">
        <f aca="false">IF(X392="Not accepted","Maintained",IF(X392="Partially accepted","Partially maintained",IF(X392="Accepted","Reversed",IF(X392="Withdrawn by hospital","Withdrawn by hospital",""))))</f>
        <v/>
      </c>
      <c r="AJ392" s="28" t="str">
        <f aca="false">IF(AI392="","",W392)</f>
        <v/>
      </c>
      <c r="AK392" s="29" t="str">
        <f aca="false">IF(AND(ISNUMBER(T392),ISNUMBER(W392)),W392-T392,"")</f>
        <v/>
      </c>
      <c r="AL392" s="29" t="str">
        <f aca="false">IF(A392="","",SUMIF(Actions!$C$5:$C$1004,A392,Actions!$F$5:$F$1004))</f>
        <v/>
      </c>
      <c r="AM392" s="25"/>
    </row>
    <row r="393" customFormat="false" ht="15" hidden="false" customHeight="false" outlineLevel="0" collapsed="false">
      <c r="A393" s="23"/>
      <c r="B393" s="23"/>
      <c r="C393" s="23"/>
      <c r="D393" s="23"/>
      <c r="E393" s="23"/>
      <c r="F393" s="23"/>
      <c r="G393" s="23"/>
      <c r="H393" s="23"/>
      <c r="I393" s="23"/>
      <c r="J393" s="23"/>
      <c r="K393" s="24"/>
      <c r="L393" s="23"/>
      <c r="M393" s="25"/>
      <c r="N393" s="25"/>
      <c r="O393" s="23"/>
      <c r="P393" s="26"/>
      <c r="Q393" s="26"/>
      <c r="R393" s="27" t="str">
        <f aca="false">IF(AND(ISNUMBER(P393),ISNUMBER(Q393)),P393-Q393,"")</f>
        <v/>
      </c>
      <c r="S393" s="24"/>
      <c r="T393" s="28" t="str">
        <f aca="false">IF(S393&lt;&gt;"",S393,IF(B393="","",IFERROR(IF(INDEX(Batches!$G$5:$G$64,MATCH(B393,Batches!$A$5:$A$64,0))="","",INDEX(Batches!$G$5:$G$64,MATCH(B393,Batches!$A$5:$A$64,0))),"")))</f>
        <v/>
      </c>
      <c r="U393" s="23"/>
      <c r="V393" s="24"/>
      <c r="W393" s="28" t="str">
        <f aca="false">IF(OR(X393="",X393="Pending"),"",IF(V393&lt;&gt;"",V393,IFERROR(IF(INDEX(Batches!$H$5:$H$64,MATCH(B393,Batches!$A$5:$A$64,0))="","",INDEX(Batches!$H$5:$H$64,MATCH(B393,Batches!$A$5:$A$64,0))),"")))</f>
        <v/>
      </c>
      <c r="X393" s="23"/>
      <c r="Y393" s="23"/>
      <c r="Z393" s="26"/>
      <c r="AA393" s="27" t="str">
        <f aca="false">IF(R393="","",IF(X393="Not accepted",R393,IF(OR(X393="Accepted",X393="Withdrawn by hospital"),IF(X393="Accepted",0,R393),IF(ISNUMBER(Z393),R393-Z393,""))))</f>
        <v/>
      </c>
      <c r="AB393" s="23"/>
      <c r="AC393" s="25"/>
      <c r="AD393" s="23"/>
      <c r="AE393" s="23"/>
      <c r="AF393" s="24"/>
      <c r="AG393" s="23"/>
      <c r="AH393" s="24"/>
      <c r="AI393" s="29" t="str">
        <f aca="false">IF(X393="Not accepted","Maintained",IF(X393="Partially accepted","Partially maintained",IF(X393="Accepted","Reversed",IF(X393="Withdrawn by hospital","Withdrawn by hospital",""))))</f>
        <v/>
      </c>
      <c r="AJ393" s="28" t="str">
        <f aca="false">IF(AI393="","",W393)</f>
        <v/>
      </c>
      <c r="AK393" s="29" t="str">
        <f aca="false">IF(AND(ISNUMBER(T393),ISNUMBER(W393)),W393-T393,"")</f>
        <v/>
      </c>
      <c r="AL393" s="29" t="str">
        <f aca="false">IF(A393="","",SUMIF(Actions!$C$5:$C$1004,A393,Actions!$F$5:$F$1004))</f>
        <v/>
      </c>
      <c r="AM393" s="25"/>
    </row>
    <row r="394" customFormat="false" ht="15" hidden="false" customHeight="false" outlineLevel="0" collapsed="false">
      <c r="A394" s="23"/>
      <c r="B394" s="23"/>
      <c r="C394" s="23"/>
      <c r="D394" s="23"/>
      <c r="E394" s="23"/>
      <c r="F394" s="23"/>
      <c r="G394" s="23"/>
      <c r="H394" s="23"/>
      <c r="I394" s="23"/>
      <c r="J394" s="23"/>
      <c r="K394" s="24"/>
      <c r="L394" s="23"/>
      <c r="M394" s="25"/>
      <c r="N394" s="25"/>
      <c r="O394" s="23"/>
      <c r="P394" s="26"/>
      <c r="Q394" s="26"/>
      <c r="R394" s="27" t="str">
        <f aca="false">IF(AND(ISNUMBER(P394),ISNUMBER(Q394)),P394-Q394,"")</f>
        <v/>
      </c>
      <c r="S394" s="24"/>
      <c r="T394" s="28" t="str">
        <f aca="false">IF(S394&lt;&gt;"",S394,IF(B394="","",IFERROR(IF(INDEX(Batches!$G$5:$G$64,MATCH(B394,Batches!$A$5:$A$64,0))="","",INDEX(Batches!$G$5:$G$64,MATCH(B394,Batches!$A$5:$A$64,0))),"")))</f>
        <v/>
      </c>
      <c r="U394" s="23"/>
      <c r="V394" s="24"/>
      <c r="W394" s="28" t="str">
        <f aca="false">IF(OR(X394="",X394="Pending"),"",IF(V394&lt;&gt;"",V394,IFERROR(IF(INDEX(Batches!$H$5:$H$64,MATCH(B394,Batches!$A$5:$A$64,0))="","",INDEX(Batches!$H$5:$H$64,MATCH(B394,Batches!$A$5:$A$64,0))),"")))</f>
        <v/>
      </c>
      <c r="X394" s="23"/>
      <c r="Y394" s="23"/>
      <c r="Z394" s="26"/>
      <c r="AA394" s="27" t="str">
        <f aca="false">IF(R394="","",IF(X394="Not accepted",R394,IF(OR(X394="Accepted",X394="Withdrawn by hospital"),IF(X394="Accepted",0,R394),IF(ISNUMBER(Z394),R394-Z394,""))))</f>
        <v/>
      </c>
      <c r="AB394" s="23"/>
      <c r="AC394" s="25"/>
      <c r="AD394" s="23"/>
      <c r="AE394" s="23"/>
      <c r="AF394" s="24"/>
      <c r="AG394" s="23"/>
      <c r="AH394" s="24"/>
      <c r="AI394" s="29" t="str">
        <f aca="false">IF(X394="Not accepted","Maintained",IF(X394="Partially accepted","Partially maintained",IF(X394="Accepted","Reversed",IF(X394="Withdrawn by hospital","Withdrawn by hospital",""))))</f>
        <v/>
      </c>
      <c r="AJ394" s="28" t="str">
        <f aca="false">IF(AI394="","",W394)</f>
        <v/>
      </c>
      <c r="AK394" s="29" t="str">
        <f aca="false">IF(AND(ISNUMBER(T394),ISNUMBER(W394)),W394-T394,"")</f>
        <v/>
      </c>
      <c r="AL394" s="29" t="str">
        <f aca="false">IF(A394="","",SUMIF(Actions!$C$5:$C$1004,A394,Actions!$F$5:$F$1004))</f>
        <v/>
      </c>
      <c r="AM394" s="25"/>
    </row>
    <row r="395" customFormat="false" ht="15" hidden="false" customHeight="false" outlineLevel="0" collapsed="false">
      <c r="A395" s="23"/>
      <c r="B395" s="23"/>
      <c r="C395" s="23"/>
      <c r="D395" s="23"/>
      <c r="E395" s="23"/>
      <c r="F395" s="23"/>
      <c r="G395" s="23"/>
      <c r="H395" s="23"/>
      <c r="I395" s="23"/>
      <c r="J395" s="23"/>
      <c r="K395" s="24"/>
      <c r="L395" s="23"/>
      <c r="M395" s="25"/>
      <c r="N395" s="25"/>
      <c r="O395" s="23"/>
      <c r="P395" s="26"/>
      <c r="Q395" s="26"/>
      <c r="R395" s="27" t="str">
        <f aca="false">IF(AND(ISNUMBER(P395),ISNUMBER(Q395)),P395-Q395,"")</f>
        <v/>
      </c>
      <c r="S395" s="24"/>
      <c r="T395" s="28" t="str">
        <f aca="false">IF(S395&lt;&gt;"",S395,IF(B395="","",IFERROR(IF(INDEX(Batches!$G$5:$G$64,MATCH(B395,Batches!$A$5:$A$64,0))="","",INDEX(Batches!$G$5:$G$64,MATCH(B395,Batches!$A$5:$A$64,0))),"")))</f>
        <v/>
      </c>
      <c r="U395" s="23"/>
      <c r="V395" s="24"/>
      <c r="W395" s="28" t="str">
        <f aca="false">IF(OR(X395="",X395="Pending"),"",IF(V395&lt;&gt;"",V395,IFERROR(IF(INDEX(Batches!$H$5:$H$64,MATCH(B395,Batches!$A$5:$A$64,0))="","",INDEX(Batches!$H$5:$H$64,MATCH(B395,Batches!$A$5:$A$64,0))),"")))</f>
        <v/>
      </c>
      <c r="X395" s="23"/>
      <c r="Y395" s="23"/>
      <c r="Z395" s="26"/>
      <c r="AA395" s="27" t="str">
        <f aca="false">IF(R395="","",IF(X395="Not accepted",R395,IF(OR(X395="Accepted",X395="Withdrawn by hospital"),IF(X395="Accepted",0,R395),IF(ISNUMBER(Z395),R395-Z395,""))))</f>
        <v/>
      </c>
      <c r="AB395" s="23"/>
      <c r="AC395" s="25"/>
      <c r="AD395" s="23"/>
      <c r="AE395" s="23"/>
      <c r="AF395" s="24"/>
      <c r="AG395" s="23"/>
      <c r="AH395" s="24"/>
      <c r="AI395" s="29" t="str">
        <f aca="false">IF(X395="Not accepted","Maintained",IF(X395="Partially accepted","Partially maintained",IF(X395="Accepted","Reversed",IF(X395="Withdrawn by hospital","Withdrawn by hospital",""))))</f>
        <v/>
      </c>
      <c r="AJ395" s="28" t="str">
        <f aca="false">IF(AI395="","",W395)</f>
        <v/>
      </c>
      <c r="AK395" s="29" t="str">
        <f aca="false">IF(AND(ISNUMBER(T395),ISNUMBER(W395)),W395-T395,"")</f>
        <v/>
      </c>
      <c r="AL395" s="29" t="str">
        <f aca="false">IF(A395="","",SUMIF(Actions!$C$5:$C$1004,A395,Actions!$F$5:$F$1004))</f>
        <v/>
      </c>
      <c r="AM395" s="25"/>
    </row>
    <row r="396" customFormat="false" ht="15" hidden="false" customHeight="false" outlineLevel="0" collapsed="false">
      <c r="A396" s="23"/>
      <c r="B396" s="23"/>
      <c r="C396" s="23"/>
      <c r="D396" s="23"/>
      <c r="E396" s="23"/>
      <c r="F396" s="23"/>
      <c r="G396" s="23"/>
      <c r="H396" s="23"/>
      <c r="I396" s="23"/>
      <c r="J396" s="23"/>
      <c r="K396" s="24"/>
      <c r="L396" s="23"/>
      <c r="M396" s="25"/>
      <c r="N396" s="25"/>
      <c r="O396" s="23"/>
      <c r="P396" s="26"/>
      <c r="Q396" s="26"/>
      <c r="R396" s="27" t="str">
        <f aca="false">IF(AND(ISNUMBER(P396),ISNUMBER(Q396)),P396-Q396,"")</f>
        <v/>
      </c>
      <c r="S396" s="24"/>
      <c r="T396" s="28" t="str">
        <f aca="false">IF(S396&lt;&gt;"",S396,IF(B396="","",IFERROR(IF(INDEX(Batches!$G$5:$G$64,MATCH(B396,Batches!$A$5:$A$64,0))="","",INDEX(Batches!$G$5:$G$64,MATCH(B396,Batches!$A$5:$A$64,0))),"")))</f>
        <v/>
      </c>
      <c r="U396" s="23"/>
      <c r="V396" s="24"/>
      <c r="W396" s="28" t="str">
        <f aca="false">IF(OR(X396="",X396="Pending"),"",IF(V396&lt;&gt;"",V396,IFERROR(IF(INDEX(Batches!$H$5:$H$64,MATCH(B396,Batches!$A$5:$A$64,0))="","",INDEX(Batches!$H$5:$H$64,MATCH(B396,Batches!$A$5:$A$64,0))),"")))</f>
        <v/>
      </c>
      <c r="X396" s="23"/>
      <c r="Y396" s="23"/>
      <c r="Z396" s="26"/>
      <c r="AA396" s="27" t="str">
        <f aca="false">IF(R396="","",IF(X396="Not accepted",R396,IF(OR(X396="Accepted",X396="Withdrawn by hospital"),IF(X396="Accepted",0,R396),IF(ISNUMBER(Z396),R396-Z396,""))))</f>
        <v/>
      </c>
      <c r="AB396" s="23"/>
      <c r="AC396" s="25"/>
      <c r="AD396" s="23"/>
      <c r="AE396" s="23"/>
      <c r="AF396" s="24"/>
      <c r="AG396" s="23"/>
      <c r="AH396" s="24"/>
      <c r="AI396" s="29" t="str">
        <f aca="false">IF(X396="Not accepted","Maintained",IF(X396="Partially accepted","Partially maintained",IF(X396="Accepted","Reversed",IF(X396="Withdrawn by hospital","Withdrawn by hospital",""))))</f>
        <v/>
      </c>
      <c r="AJ396" s="28" t="str">
        <f aca="false">IF(AI396="","",W396)</f>
        <v/>
      </c>
      <c r="AK396" s="29" t="str">
        <f aca="false">IF(AND(ISNUMBER(T396),ISNUMBER(W396)),W396-T396,"")</f>
        <v/>
      </c>
      <c r="AL396" s="29" t="str">
        <f aca="false">IF(A396="","",SUMIF(Actions!$C$5:$C$1004,A396,Actions!$F$5:$F$1004))</f>
        <v/>
      </c>
      <c r="AM396" s="25"/>
    </row>
    <row r="397" customFormat="false" ht="15" hidden="false" customHeight="false" outlineLevel="0" collapsed="false">
      <c r="A397" s="23"/>
      <c r="B397" s="23"/>
      <c r="C397" s="23"/>
      <c r="D397" s="23"/>
      <c r="E397" s="23"/>
      <c r="F397" s="23"/>
      <c r="G397" s="23"/>
      <c r="H397" s="23"/>
      <c r="I397" s="23"/>
      <c r="J397" s="23"/>
      <c r="K397" s="24"/>
      <c r="L397" s="23"/>
      <c r="M397" s="25"/>
      <c r="N397" s="25"/>
      <c r="O397" s="23"/>
      <c r="P397" s="26"/>
      <c r="Q397" s="26"/>
      <c r="R397" s="27" t="str">
        <f aca="false">IF(AND(ISNUMBER(P397),ISNUMBER(Q397)),P397-Q397,"")</f>
        <v/>
      </c>
      <c r="S397" s="24"/>
      <c r="T397" s="28" t="str">
        <f aca="false">IF(S397&lt;&gt;"",S397,IF(B397="","",IFERROR(IF(INDEX(Batches!$G$5:$G$64,MATCH(B397,Batches!$A$5:$A$64,0))="","",INDEX(Batches!$G$5:$G$64,MATCH(B397,Batches!$A$5:$A$64,0))),"")))</f>
        <v/>
      </c>
      <c r="U397" s="23"/>
      <c r="V397" s="24"/>
      <c r="W397" s="28" t="str">
        <f aca="false">IF(OR(X397="",X397="Pending"),"",IF(V397&lt;&gt;"",V397,IFERROR(IF(INDEX(Batches!$H$5:$H$64,MATCH(B397,Batches!$A$5:$A$64,0))="","",INDEX(Batches!$H$5:$H$64,MATCH(B397,Batches!$A$5:$A$64,0))),"")))</f>
        <v/>
      </c>
      <c r="X397" s="23"/>
      <c r="Y397" s="23"/>
      <c r="Z397" s="26"/>
      <c r="AA397" s="27" t="str">
        <f aca="false">IF(R397="","",IF(X397="Not accepted",R397,IF(OR(X397="Accepted",X397="Withdrawn by hospital"),IF(X397="Accepted",0,R397),IF(ISNUMBER(Z397),R397-Z397,""))))</f>
        <v/>
      </c>
      <c r="AB397" s="23"/>
      <c r="AC397" s="25"/>
      <c r="AD397" s="23"/>
      <c r="AE397" s="23"/>
      <c r="AF397" s="24"/>
      <c r="AG397" s="23"/>
      <c r="AH397" s="24"/>
      <c r="AI397" s="29" t="str">
        <f aca="false">IF(X397="Not accepted","Maintained",IF(X397="Partially accepted","Partially maintained",IF(X397="Accepted","Reversed",IF(X397="Withdrawn by hospital","Withdrawn by hospital",""))))</f>
        <v/>
      </c>
      <c r="AJ397" s="28" t="str">
        <f aca="false">IF(AI397="","",W397)</f>
        <v/>
      </c>
      <c r="AK397" s="29" t="str">
        <f aca="false">IF(AND(ISNUMBER(T397),ISNUMBER(W397)),W397-T397,"")</f>
        <v/>
      </c>
      <c r="AL397" s="29" t="str">
        <f aca="false">IF(A397="","",SUMIF(Actions!$C$5:$C$1004,A397,Actions!$F$5:$F$1004))</f>
        <v/>
      </c>
      <c r="AM397" s="25"/>
    </row>
    <row r="398" customFormat="false" ht="15" hidden="false" customHeight="false" outlineLevel="0" collapsed="false">
      <c r="A398" s="23"/>
      <c r="B398" s="23"/>
      <c r="C398" s="23"/>
      <c r="D398" s="23"/>
      <c r="E398" s="23"/>
      <c r="F398" s="23"/>
      <c r="G398" s="23"/>
      <c r="H398" s="23"/>
      <c r="I398" s="23"/>
      <c r="J398" s="23"/>
      <c r="K398" s="24"/>
      <c r="L398" s="23"/>
      <c r="M398" s="25"/>
      <c r="N398" s="25"/>
      <c r="O398" s="23"/>
      <c r="P398" s="26"/>
      <c r="Q398" s="26"/>
      <c r="R398" s="27" t="str">
        <f aca="false">IF(AND(ISNUMBER(P398),ISNUMBER(Q398)),P398-Q398,"")</f>
        <v/>
      </c>
      <c r="S398" s="24"/>
      <c r="T398" s="28" t="str">
        <f aca="false">IF(S398&lt;&gt;"",S398,IF(B398="","",IFERROR(IF(INDEX(Batches!$G$5:$G$64,MATCH(B398,Batches!$A$5:$A$64,0))="","",INDEX(Batches!$G$5:$G$64,MATCH(B398,Batches!$A$5:$A$64,0))),"")))</f>
        <v/>
      </c>
      <c r="U398" s="23"/>
      <c r="V398" s="24"/>
      <c r="W398" s="28" t="str">
        <f aca="false">IF(OR(X398="",X398="Pending"),"",IF(V398&lt;&gt;"",V398,IFERROR(IF(INDEX(Batches!$H$5:$H$64,MATCH(B398,Batches!$A$5:$A$64,0))="","",INDEX(Batches!$H$5:$H$64,MATCH(B398,Batches!$A$5:$A$64,0))),"")))</f>
        <v/>
      </c>
      <c r="X398" s="23"/>
      <c r="Y398" s="23"/>
      <c r="Z398" s="26"/>
      <c r="AA398" s="27" t="str">
        <f aca="false">IF(R398="","",IF(X398="Not accepted",R398,IF(OR(X398="Accepted",X398="Withdrawn by hospital"),IF(X398="Accepted",0,R398),IF(ISNUMBER(Z398),R398-Z398,""))))</f>
        <v/>
      </c>
      <c r="AB398" s="23"/>
      <c r="AC398" s="25"/>
      <c r="AD398" s="23"/>
      <c r="AE398" s="23"/>
      <c r="AF398" s="24"/>
      <c r="AG398" s="23"/>
      <c r="AH398" s="24"/>
      <c r="AI398" s="29" t="str">
        <f aca="false">IF(X398="Not accepted","Maintained",IF(X398="Partially accepted","Partially maintained",IF(X398="Accepted","Reversed",IF(X398="Withdrawn by hospital","Withdrawn by hospital",""))))</f>
        <v/>
      </c>
      <c r="AJ398" s="28" t="str">
        <f aca="false">IF(AI398="","",W398)</f>
        <v/>
      </c>
      <c r="AK398" s="29" t="str">
        <f aca="false">IF(AND(ISNUMBER(T398),ISNUMBER(W398)),W398-T398,"")</f>
        <v/>
      </c>
      <c r="AL398" s="29" t="str">
        <f aca="false">IF(A398="","",SUMIF(Actions!$C$5:$C$1004,A398,Actions!$F$5:$F$1004))</f>
        <v/>
      </c>
      <c r="AM398" s="25"/>
    </row>
    <row r="399" customFormat="false" ht="15" hidden="false" customHeight="false" outlineLevel="0" collapsed="false">
      <c r="A399" s="23"/>
      <c r="B399" s="23"/>
      <c r="C399" s="23"/>
      <c r="D399" s="23"/>
      <c r="E399" s="23"/>
      <c r="F399" s="23"/>
      <c r="G399" s="23"/>
      <c r="H399" s="23"/>
      <c r="I399" s="23"/>
      <c r="J399" s="23"/>
      <c r="K399" s="24"/>
      <c r="L399" s="23"/>
      <c r="M399" s="25"/>
      <c r="N399" s="25"/>
      <c r="O399" s="23"/>
      <c r="P399" s="26"/>
      <c r="Q399" s="26"/>
      <c r="R399" s="27" t="str">
        <f aca="false">IF(AND(ISNUMBER(P399),ISNUMBER(Q399)),P399-Q399,"")</f>
        <v/>
      </c>
      <c r="S399" s="24"/>
      <c r="T399" s="28" t="str">
        <f aca="false">IF(S399&lt;&gt;"",S399,IF(B399="","",IFERROR(IF(INDEX(Batches!$G$5:$G$64,MATCH(B399,Batches!$A$5:$A$64,0))="","",INDEX(Batches!$G$5:$G$64,MATCH(B399,Batches!$A$5:$A$64,0))),"")))</f>
        <v/>
      </c>
      <c r="U399" s="23"/>
      <c r="V399" s="24"/>
      <c r="W399" s="28" t="str">
        <f aca="false">IF(OR(X399="",X399="Pending"),"",IF(V399&lt;&gt;"",V399,IFERROR(IF(INDEX(Batches!$H$5:$H$64,MATCH(B399,Batches!$A$5:$A$64,0))="","",INDEX(Batches!$H$5:$H$64,MATCH(B399,Batches!$A$5:$A$64,0))),"")))</f>
        <v/>
      </c>
      <c r="X399" s="23"/>
      <c r="Y399" s="23"/>
      <c r="Z399" s="26"/>
      <c r="AA399" s="27" t="str">
        <f aca="false">IF(R399="","",IF(X399="Not accepted",R399,IF(OR(X399="Accepted",X399="Withdrawn by hospital"),IF(X399="Accepted",0,R399),IF(ISNUMBER(Z399),R399-Z399,""))))</f>
        <v/>
      </c>
      <c r="AB399" s="23"/>
      <c r="AC399" s="25"/>
      <c r="AD399" s="23"/>
      <c r="AE399" s="23"/>
      <c r="AF399" s="24"/>
      <c r="AG399" s="23"/>
      <c r="AH399" s="24"/>
      <c r="AI399" s="29" t="str">
        <f aca="false">IF(X399="Not accepted","Maintained",IF(X399="Partially accepted","Partially maintained",IF(X399="Accepted","Reversed",IF(X399="Withdrawn by hospital","Withdrawn by hospital",""))))</f>
        <v/>
      </c>
      <c r="AJ399" s="28" t="str">
        <f aca="false">IF(AI399="","",W399)</f>
        <v/>
      </c>
      <c r="AK399" s="29" t="str">
        <f aca="false">IF(AND(ISNUMBER(T399),ISNUMBER(W399)),W399-T399,"")</f>
        <v/>
      </c>
      <c r="AL399" s="29" t="str">
        <f aca="false">IF(A399="","",SUMIF(Actions!$C$5:$C$1004,A399,Actions!$F$5:$F$1004))</f>
        <v/>
      </c>
      <c r="AM399" s="25"/>
    </row>
    <row r="400" customFormat="false" ht="15" hidden="false" customHeight="false" outlineLevel="0" collapsed="false">
      <c r="A400" s="23"/>
      <c r="B400" s="23"/>
      <c r="C400" s="23"/>
      <c r="D400" s="23"/>
      <c r="E400" s="23"/>
      <c r="F400" s="23"/>
      <c r="G400" s="23"/>
      <c r="H400" s="23"/>
      <c r="I400" s="23"/>
      <c r="J400" s="23"/>
      <c r="K400" s="24"/>
      <c r="L400" s="23"/>
      <c r="M400" s="25"/>
      <c r="N400" s="25"/>
      <c r="O400" s="23"/>
      <c r="P400" s="26"/>
      <c r="Q400" s="26"/>
      <c r="R400" s="27" t="str">
        <f aca="false">IF(AND(ISNUMBER(P400),ISNUMBER(Q400)),P400-Q400,"")</f>
        <v/>
      </c>
      <c r="S400" s="24"/>
      <c r="T400" s="28" t="str">
        <f aca="false">IF(S400&lt;&gt;"",S400,IF(B400="","",IFERROR(IF(INDEX(Batches!$G$5:$G$64,MATCH(B400,Batches!$A$5:$A$64,0))="","",INDEX(Batches!$G$5:$G$64,MATCH(B400,Batches!$A$5:$A$64,0))),"")))</f>
        <v/>
      </c>
      <c r="U400" s="23"/>
      <c r="V400" s="24"/>
      <c r="W400" s="28" t="str">
        <f aca="false">IF(OR(X400="",X400="Pending"),"",IF(V400&lt;&gt;"",V400,IFERROR(IF(INDEX(Batches!$H$5:$H$64,MATCH(B400,Batches!$A$5:$A$64,0))="","",INDEX(Batches!$H$5:$H$64,MATCH(B400,Batches!$A$5:$A$64,0))),"")))</f>
        <v/>
      </c>
      <c r="X400" s="23"/>
      <c r="Y400" s="23"/>
      <c r="Z400" s="26"/>
      <c r="AA400" s="27" t="str">
        <f aca="false">IF(R400="","",IF(X400="Not accepted",R400,IF(OR(X400="Accepted",X400="Withdrawn by hospital"),IF(X400="Accepted",0,R400),IF(ISNUMBER(Z400),R400-Z400,""))))</f>
        <v/>
      </c>
      <c r="AB400" s="23"/>
      <c r="AC400" s="25"/>
      <c r="AD400" s="23"/>
      <c r="AE400" s="23"/>
      <c r="AF400" s="24"/>
      <c r="AG400" s="23"/>
      <c r="AH400" s="24"/>
      <c r="AI400" s="29" t="str">
        <f aca="false">IF(X400="Not accepted","Maintained",IF(X400="Partially accepted","Partially maintained",IF(X400="Accepted","Reversed",IF(X400="Withdrawn by hospital","Withdrawn by hospital",""))))</f>
        <v/>
      </c>
      <c r="AJ400" s="28" t="str">
        <f aca="false">IF(AI400="","",W400)</f>
        <v/>
      </c>
      <c r="AK400" s="29" t="str">
        <f aca="false">IF(AND(ISNUMBER(T400),ISNUMBER(W400)),W400-T400,"")</f>
        <v/>
      </c>
      <c r="AL400" s="29" t="str">
        <f aca="false">IF(A400="","",SUMIF(Actions!$C$5:$C$1004,A400,Actions!$F$5:$F$1004))</f>
        <v/>
      </c>
      <c r="AM400" s="25"/>
    </row>
    <row r="401" customFormat="false" ht="15" hidden="false" customHeight="false" outlineLevel="0" collapsed="false">
      <c r="A401" s="23"/>
      <c r="B401" s="23"/>
      <c r="C401" s="23"/>
      <c r="D401" s="23"/>
      <c r="E401" s="23"/>
      <c r="F401" s="23"/>
      <c r="G401" s="23"/>
      <c r="H401" s="23"/>
      <c r="I401" s="23"/>
      <c r="J401" s="23"/>
      <c r="K401" s="24"/>
      <c r="L401" s="23"/>
      <c r="M401" s="25"/>
      <c r="N401" s="25"/>
      <c r="O401" s="23"/>
      <c r="P401" s="26"/>
      <c r="Q401" s="26"/>
      <c r="R401" s="27" t="str">
        <f aca="false">IF(AND(ISNUMBER(P401),ISNUMBER(Q401)),P401-Q401,"")</f>
        <v/>
      </c>
      <c r="S401" s="24"/>
      <c r="T401" s="28" t="str">
        <f aca="false">IF(S401&lt;&gt;"",S401,IF(B401="","",IFERROR(IF(INDEX(Batches!$G$5:$G$64,MATCH(B401,Batches!$A$5:$A$64,0))="","",INDEX(Batches!$G$5:$G$64,MATCH(B401,Batches!$A$5:$A$64,0))),"")))</f>
        <v/>
      </c>
      <c r="U401" s="23"/>
      <c r="V401" s="24"/>
      <c r="W401" s="28" t="str">
        <f aca="false">IF(OR(X401="",X401="Pending"),"",IF(V401&lt;&gt;"",V401,IFERROR(IF(INDEX(Batches!$H$5:$H$64,MATCH(B401,Batches!$A$5:$A$64,0))="","",INDEX(Batches!$H$5:$H$64,MATCH(B401,Batches!$A$5:$A$64,0))),"")))</f>
        <v/>
      </c>
      <c r="X401" s="23"/>
      <c r="Y401" s="23"/>
      <c r="Z401" s="26"/>
      <c r="AA401" s="27" t="str">
        <f aca="false">IF(R401="","",IF(X401="Not accepted",R401,IF(OR(X401="Accepted",X401="Withdrawn by hospital"),IF(X401="Accepted",0,R401),IF(ISNUMBER(Z401),R401-Z401,""))))</f>
        <v/>
      </c>
      <c r="AB401" s="23"/>
      <c r="AC401" s="25"/>
      <c r="AD401" s="23"/>
      <c r="AE401" s="23"/>
      <c r="AF401" s="24"/>
      <c r="AG401" s="23"/>
      <c r="AH401" s="24"/>
      <c r="AI401" s="29" t="str">
        <f aca="false">IF(X401="Not accepted","Maintained",IF(X401="Partially accepted","Partially maintained",IF(X401="Accepted","Reversed",IF(X401="Withdrawn by hospital","Withdrawn by hospital",""))))</f>
        <v/>
      </c>
      <c r="AJ401" s="28" t="str">
        <f aca="false">IF(AI401="","",W401)</f>
        <v/>
      </c>
      <c r="AK401" s="29" t="str">
        <f aca="false">IF(AND(ISNUMBER(T401),ISNUMBER(W401)),W401-T401,"")</f>
        <v/>
      </c>
      <c r="AL401" s="29" t="str">
        <f aca="false">IF(A401="","",SUMIF(Actions!$C$5:$C$1004,A401,Actions!$F$5:$F$1004))</f>
        <v/>
      </c>
      <c r="AM401" s="25"/>
    </row>
    <row r="402" customFormat="false" ht="15" hidden="false" customHeight="false" outlineLevel="0" collapsed="false">
      <c r="A402" s="23"/>
      <c r="B402" s="23"/>
      <c r="C402" s="23"/>
      <c r="D402" s="23"/>
      <c r="E402" s="23"/>
      <c r="F402" s="23"/>
      <c r="G402" s="23"/>
      <c r="H402" s="23"/>
      <c r="I402" s="23"/>
      <c r="J402" s="23"/>
      <c r="K402" s="24"/>
      <c r="L402" s="23"/>
      <c r="M402" s="25"/>
      <c r="N402" s="25"/>
      <c r="O402" s="23"/>
      <c r="P402" s="26"/>
      <c r="Q402" s="26"/>
      <c r="R402" s="27" t="str">
        <f aca="false">IF(AND(ISNUMBER(P402),ISNUMBER(Q402)),P402-Q402,"")</f>
        <v/>
      </c>
      <c r="S402" s="24"/>
      <c r="T402" s="28" t="str">
        <f aca="false">IF(S402&lt;&gt;"",S402,IF(B402="","",IFERROR(IF(INDEX(Batches!$G$5:$G$64,MATCH(B402,Batches!$A$5:$A$64,0))="","",INDEX(Batches!$G$5:$G$64,MATCH(B402,Batches!$A$5:$A$64,0))),"")))</f>
        <v/>
      </c>
      <c r="U402" s="23"/>
      <c r="V402" s="24"/>
      <c r="W402" s="28" t="str">
        <f aca="false">IF(OR(X402="",X402="Pending"),"",IF(V402&lt;&gt;"",V402,IFERROR(IF(INDEX(Batches!$H$5:$H$64,MATCH(B402,Batches!$A$5:$A$64,0))="","",INDEX(Batches!$H$5:$H$64,MATCH(B402,Batches!$A$5:$A$64,0))),"")))</f>
        <v/>
      </c>
      <c r="X402" s="23"/>
      <c r="Y402" s="23"/>
      <c r="Z402" s="26"/>
      <c r="AA402" s="27" t="str">
        <f aca="false">IF(R402="","",IF(X402="Not accepted",R402,IF(OR(X402="Accepted",X402="Withdrawn by hospital"),IF(X402="Accepted",0,R402),IF(ISNUMBER(Z402),R402-Z402,""))))</f>
        <v/>
      </c>
      <c r="AB402" s="23"/>
      <c r="AC402" s="25"/>
      <c r="AD402" s="23"/>
      <c r="AE402" s="23"/>
      <c r="AF402" s="24"/>
      <c r="AG402" s="23"/>
      <c r="AH402" s="24"/>
      <c r="AI402" s="29" t="str">
        <f aca="false">IF(X402="Not accepted","Maintained",IF(X402="Partially accepted","Partially maintained",IF(X402="Accepted","Reversed",IF(X402="Withdrawn by hospital","Withdrawn by hospital",""))))</f>
        <v/>
      </c>
      <c r="AJ402" s="28" t="str">
        <f aca="false">IF(AI402="","",W402)</f>
        <v/>
      </c>
      <c r="AK402" s="29" t="str">
        <f aca="false">IF(AND(ISNUMBER(T402),ISNUMBER(W402)),W402-T402,"")</f>
        <v/>
      </c>
      <c r="AL402" s="29" t="str">
        <f aca="false">IF(A402="","",SUMIF(Actions!$C$5:$C$1004,A402,Actions!$F$5:$F$1004))</f>
        <v/>
      </c>
      <c r="AM402" s="25"/>
    </row>
    <row r="403" customFormat="false" ht="15" hidden="false" customHeight="false" outlineLevel="0" collapsed="false">
      <c r="A403" s="23"/>
      <c r="B403" s="23"/>
      <c r="C403" s="23"/>
      <c r="D403" s="23"/>
      <c r="E403" s="23"/>
      <c r="F403" s="23"/>
      <c r="G403" s="23"/>
      <c r="H403" s="23"/>
      <c r="I403" s="23"/>
      <c r="J403" s="23"/>
      <c r="K403" s="24"/>
      <c r="L403" s="23"/>
      <c r="M403" s="25"/>
      <c r="N403" s="25"/>
      <c r="O403" s="23"/>
      <c r="P403" s="26"/>
      <c r="Q403" s="26"/>
      <c r="R403" s="27" t="str">
        <f aca="false">IF(AND(ISNUMBER(P403),ISNUMBER(Q403)),P403-Q403,"")</f>
        <v/>
      </c>
      <c r="S403" s="24"/>
      <c r="T403" s="28" t="str">
        <f aca="false">IF(S403&lt;&gt;"",S403,IF(B403="","",IFERROR(IF(INDEX(Batches!$G$5:$G$64,MATCH(B403,Batches!$A$5:$A$64,0))="","",INDEX(Batches!$G$5:$G$64,MATCH(B403,Batches!$A$5:$A$64,0))),"")))</f>
        <v/>
      </c>
      <c r="U403" s="23"/>
      <c r="V403" s="24"/>
      <c r="W403" s="28" t="str">
        <f aca="false">IF(OR(X403="",X403="Pending"),"",IF(V403&lt;&gt;"",V403,IFERROR(IF(INDEX(Batches!$H$5:$H$64,MATCH(B403,Batches!$A$5:$A$64,0))="","",INDEX(Batches!$H$5:$H$64,MATCH(B403,Batches!$A$5:$A$64,0))),"")))</f>
        <v/>
      </c>
      <c r="X403" s="23"/>
      <c r="Y403" s="23"/>
      <c r="Z403" s="26"/>
      <c r="AA403" s="27" t="str">
        <f aca="false">IF(R403="","",IF(X403="Not accepted",R403,IF(OR(X403="Accepted",X403="Withdrawn by hospital"),IF(X403="Accepted",0,R403),IF(ISNUMBER(Z403),R403-Z403,""))))</f>
        <v/>
      </c>
      <c r="AB403" s="23"/>
      <c r="AC403" s="25"/>
      <c r="AD403" s="23"/>
      <c r="AE403" s="23"/>
      <c r="AF403" s="24"/>
      <c r="AG403" s="23"/>
      <c r="AH403" s="24"/>
      <c r="AI403" s="29" t="str">
        <f aca="false">IF(X403="Not accepted","Maintained",IF(X403="Partially accepted","Partially maintained",IF(X403="Accepted","Reversed",IF(X403="Withdrawn by hospital","Withdrawn by hospital",""))))</f>
        <v/>
      </c>
      <c r="AJ403" s="28" t="str">
        <f aca="false">IF(AI403="","",W403)</f>
        <v/>
      </c>
      <c r="AK403" s="29" t="str">
        <f aca="false">IF(AND(ISNUMBER(T403),ISNUMBER(W403)),W403-T403,"")</f>
        <v/>
      </c>
      <c r="AL403" s="29" t="str">
        <f aca="false">IF(A403="","",SUMIF(Actions!$C$5:$C$1004,A403,Actions!$F$5:$F$1004))</f>
        <v/>
      </c>
      <c r="AM403" s="25"/>
    </row>
    <row r="404" customFormat="false" ht="15" hidden="false" customHeight="false" outlineLevel="0" collapsed="false">
      <c r="A404" s="23"/>
      <c r="B404" s="23"/>
      <c r="C404" s="23"/>
      <c r="D404" s="23"/>
      <c r="E404" s="23"/>
      <c r="F404" s="23"/>
      <c r="G404" s="23"/>
      <c r="H404" s="23"/>
      <c r="I404" s="23"/>
      <c r="J404" s="23"/>
      <c r="K404" s="24"/>
      <c r="L404" s="23"/>
      <c r="M404" s="25"/>
      <c r="N404" s="25"/>
      <c r="O404" s="23"/>
      <c r="P404" s="26"/>
      <c r="Q404" s="26"/>
      <c r="R404" s="27" t="str">
        <f aca="false">IF(AND(ISNUMBER(P404),ISNUMBER(Q404)),P404-Q404,"")</f>
        <v/>
      </c>
      <c r="S404" s="24"/>
      <c r="T404" s="28" t="str">
        <f aca="false">IF(S404&lt;&gt;"",S404,IF(B404="","",IFERROR(IF(INDEX(Batches!$G$5:$G$64,MATCH(B404,Batches!$A$5:$A$64,0))="","",INDEX(Batches!$G$5:$G$64,MATCH(B404,Batches!$A$5:$A$64,0))),"")))</f>
        <v/>
      </c>
      <c r="U404" s="23"/>
      <c r="V404" s="24"/>
      <c r="W404" s="28" t="str">
        <f aca="false">IF(OR(X404="",X404="Pending"),"",IF(V404&lt;&gt;"",V404,IFERROR(IF(INDEX(Batches!$H$5:$H$64,MATCH(B404,Batches!$A$5:$A$64,0))="","",INDEX(Batches!$H$5:$H$64,MATCH(B404,Batches!$A$5:$A$64,0))),"")))</f>
        <v/>
      </c>
      <c r="X404" s="23"/>
      <c r="Y404" s="23"/>
      <c r="Z404" s="26"/>
      <c r="AA404" s="27" t="str">
        <f aca="false">IF(R404="","",IF(X404="Not accepted",R404,IF(OR(X404="Accepted",X404="Withdrawn by hospital"),IF(X404="Accepted",0,R404),IF(ISNUMBER(Z404),R404-Z404,""))))</f>
        <v/>
      </c>
      <c r="AB404" s="23"/>
      <c r="AC404" s="25"/>
      <c r="AD404" s="23"/>
      <c r="AE404" s="23"/>
      <c r="AF404" s="24"/>
      <c r="AG404" s="23"/>
      <c r="AH404" s="24"/>
      <c r="AI404" s="29" t="str">
        <f aca="false">IF(X404="Not accepted","Maintained",IF(X404="Partially accepted","Partially maintained",IF(X404="Accepted","Reversed",IF(X404="Withdrawn by hospital","Withdrawn by hospital",""))))</f>
        <v/>
      </c>
      <c r="AJ404" s="28" t="str">
        <f aca="false">IF(AI404="","",W404)</f>
        <v/>
      </c>
      <c r="AK404" s="29" t="str">
        <f aca="false">IF(AND(ISNUMBER(T404),ISNUMBER(W404)),W404-T404,"")</f>
        <v/>
      </c>
      <c r="AL404" s="29" t="str">
        <f aca="false">IF(A404="","",SUMIF(Actions!$C$5:$C$1004,A404,Actions!$F$5:$F$1004))</f>
        <v/>
      </c>
      <c r="AM404" s="25"/>
    </row>
    <row r="405" customFormat="false" ht="15" hidden="false" customHeight="false" outlineLevel="0" collapsed="false">
      <c r="A405" s="23"/>
      <c r="B405" s="23"/>
      <c r="C405" s="23"/>
      <c r="D405" s="23"/>
      <c r="E405" s="23"/>
      <c r="F405" s="23"/>
      <c r="G405" s="23"/>
      <c r="H405" s="23"/>
      <c r="I405" s="23"/>
      <c r="J405" s="23"/>
      <c r="K405" s="24"/>
      <c r="L405" s="23"/>
      <c r="M405" s="25"/>
      <c r="N405" s="25"/>
      <c r="O405" s="23"/>
      <c r="P405" s="26"/>
      <c r="Q405" s="26"/>
      <c r="R405" s="27" t="str">
        <f aca="false">IF(AND(ISNUMBER(P405),ISNUMBER(Q405)),P405-Q405,"")</f>
        <v/>
      </c>
      <c r="S405" s="24"/>
      <c r="T405" s="28" t="str">
        <f aca="false">IF(S405&lt;&gt;"",S405,IF(B405="","",IFERROR(IF(INDEX(Batches!$G$5:$G$64,MATCH(B405,Batches!$A$5:$A$64,0))="","",INDEX(Batches!$G$5:$G$64,MATCH(B405,Batches!$A$5:$A$64,0))),"")))</f>
        <v/>
      </c>
      <c r="U405" s="23"/>
      <c r="V405" s="24"/>
      <c r="W405" s="28" t="str">
        <f aca="false">IF(OR(X405="",X405="Pending"),"",IF(V405&lt;&gt;"",V405,IFERROR(IF(INDEX(Batches!$H$5:$H$64,MATCH(B405,Batches!$A$5:$A$64,0))="","",INDEX(Batches!$H$5:$H$64,MATCH(B405,Batches!$A$5:$A$64,0))),"")))</f>
        <v/>
      </c>
      <c r="X405" s="23"/>
      <c r="Y405" s="23"/>
      <c r="Z405" s="26"/>
      <c r="AA405" s="27" t="str">
        <f aca="false">IF(R405="","",IF(X405="Not accepted",R405,IF(OR(X405="Accepted",X405="Withdrawn by hospital"),IF(X405="Accepted",0,R405),IF(ISNUMBER(Z405),R405-Z405,""))))</f>
        <v/>
      </c>
      <c r="AB405" s="23"/>
      <c r="AC405" s="25"/>
      <c r="AD405" s="23"/>
      <c r="AE405" s="23"/>
      <c r="AF405" s="24"/>
      <c r="AG405" s="23"/>
      <c r="AH405" s="24"/>
      <c r="AI405" s="29" t="str">
        <f aca="false">IF(X405="Not accepted","Maintained",IF(X405="Partially accepted","Partially maintained",IF(X405="Accepted","Reversed",IF(X405="Withdrawn by hospital","Withdrawn by hospital",""))))</f>
        <v/>
      </c>
      <c r="AJ405" s="28" t="str">
        <f aca="false">IF(AI405="","",W405)</f>
        <v/>
      </c>
      <c r="AK405" s="29" t="str">
        <f aca="false">IF(AND(ISNUMBER(T405),ISNUMBER(W405)),W405-T405,"")</f>
        <v/>
      </c>
      <c r="AL405" s="29" t="str">
        <f aca="false">IF(A405="","",SUMIF(Actions!$C$5:$C$1004,A405,Actions!$F$5:$F$1004))</f>
        <v/>
      </c>
      <c r="AM405" s="25"/>
    </row>
    <row r="406" customFormat="false" ht="15" hidden="false" customHeight="false" outlineLevel="0" collapsed="false">
      <c r="A406" s="23"/>
      <c r="B406" s="23"/>
      <c r="C406" s="23"/>
      <c r="D406" s="23"/>
      <c r="E406" s="23"/>
      <c r="F406" s="23"/>
      <c r="G406" s="23"/>
      <c r="H406" s="23"/>
      <c r="I406" s="23"/>
      <c r="J406" s="23"/>
      <c r="K406" s="24"/>
      <c r="L406" s="23"/>
      <c r="M406" s="25"/>
      <c r="N406" s="25"/>
      <c r="O406" s="23"/>
      <c r="P406" s="26"/>
      <c r="Q406" s="26"/>
      <c r="R406" s="27" t="str">
        <f aca="false">IF(AND(ISNUMBER(P406),ISNUMBER(Q406)),P406-Q406,"")</f>
        <v/>
      </c>
      <c r="S406" s="24"/>
      <c r="T406" s="28" t="str">
        <f aca="false">IF(S406&lt;&gt;"",S406,IF(B406="","",IFERROR(IF(INDEX(Batches!$G$5:$G$64,MATCH(B406,Batches!$A$5:$A$64,0))="","",INDEX(Batches!$G$5:$G$64,MATCH(B406,Batches!$A$5:$A$64,0))),"")))</f>
        <v/>
      </c>
      <c r="U406" s="23"/>
      <c r="V406" s="24"/>
      <c r="W406" s="28" t="str">
        <f aca="false">IF(OR(X406="",X406="Pending"),"",IF(V406&lt;&gt;"",V406,IFERROR(IF(INDEX(Batches!$H$5:$H$64,MATCH(B406,Batches!$A$5:$A$64,0))="","",INDEX(Batches!$H$5:$H$64,MATCH(B406,Batches!$A$5:$A$64,0))),"")))</f>
        <v/>
      </c>
      <c r="X406" s="23"/>
      <c r="Y406" s="23"/>
      <c r="Z406" s="26"/>
      <c r="AA406" s="27" t="str">
        <f aca="false">IF(R406="","",IF(X406="Not accepted",R406,IF(OR(X406="Accepted",X406="Withdrawn by hospital"),IF(X406="Accepted",0,R406),IF(ISNUMBER(Z406),R406-Z406,""))))</f>
        <v/>
      </c>
      <c r="AB406" s="23"/>
      <c r="AC406" s="25"/>
      <c r="AD406" s="23"/>
      <c r="AE406" s="23"/>
      <c r="AF406" s="24"/>
      <c r="AG406" s="23"/>
      <c r="AH406" s="24"/>
      <c r="AI406" s="29" t="str">
        <f aca="false">IF(X406="Not accepted","Maintained",IF(X406="Partially accepted","Partially maintained",IF(X406="Accepted","Reversed",IF(X406="Withdrawn by hospital","Withdrawn by hospital",""))))</f>
        <v/>
      </c>
      <c r="AJ406" s="28" t="str">
        <f aca="false">IF(AI406="","",W406)</f>
        <v/>
      </c>
      <c r="AK406" s="29" t="str">
        <f aca="false">IF(AND(ISNUMBER(T406),ISNUMBER(W406)),W406-T406,"")</f>
        <v/>
      </c>
      <c r="AL406" s="29" t="str">
        <f aca="false">IF(A406="","",SUMIF(Actions!$C$5:$C$1004,A406,Actions!$F$5:$F$1004))</f>
        <v/>
      </c>
      <c r="AM406" s="25"/>
    </row>
    <row r="407" customFormat="false" ht="15" hidden="false" customHeight="false" outlineLevel="0" collapsed="false">
      <c r="A407" s="23"/>
      <c r="B407" s="23"/>
      <c r="C407" s="23"/>
      <c r="D407" s="23"/>
      <c r="E407" s="23"/>
      <c r="F407" s="23"/>
      <c r="G407" s="23"/>
      <c r="H407" s="23"/>
      <c r="I407" s="23"/>
      <c r="J407" s="23"/>
      <c r="K407" s="24"/>
      <c r="L407" s="23"/>
      <c r="M407" s="25"/>
      <c r="N407" s="25"/>
      <c r="O407" s="23"/>
      <c r="P407" s="26"/>
      <c r="Q407" s="26"/>
      <c r="R407" s="27" t="str">
        <f aca="false">IF(AND(ISNUMBER(P407),ISNUMBER(Q407)),P407-Q407,"")</f>
        <v/>
      </c>
      <c r="S407" s="24"/>
      <c r="T407" s="28" t="str">
        <f aca="false">IF(S407&lt;&gt;"",S407,IF(B407="","",IFERROR(IF(INDEX(Batches!$G$5:$G$64,MATCH(B407,Batches!$A$5:$A$64,0))="","",INDEX(Batches!$G$5:$G$64,MATCH(B407,Batches!$A$5:$A$64,0))),"")))</f>
        <v/>
      </c>
      <c r="U407" s="23"/>
      <c r="V407" s="24"/>
      <c r="W407" s="28" t="str">
        <f aca="false">IF(OR(X407="",X407="Pending"),"",IF(V407&lt;&gt;"",V407,IFERROR(IF(INDEX(Batches!$H$5:$H$64,MATCH(B407,Batches!$A$5:$A$64,0))="","",INDEX(Batches!$H$5:$H$64,MATCH(B407,Batches!$A$5:$A$64,0))),"")))</f>
        <v/>
      </c>
      <c r="X407" s="23"/>
      <c r="Y407" s="23"/>
      <c r="Z407" s="26"/>
      <c r="AA407" s="27" t="str">
        <f aca="false">IF(R407="","",IF(X407="Not accepted",R407,IF(OR(X407="Accepted",X407="Withdrawn by hospital"),IF(X407="Accepted",0,R407),IF(ISNUMBER(Z407),R407-Z407,""))))</f>
        <v/>
      </c>
      <c r="AB407" s="23"/>
      <c r="AC407" s="25"/>
      <c r="AD407" s="23"/>
      <c r="AE407" s="23"/>
      <c r="AF407" s="24"/>
      <c r="AG407" s="23"/>
      <c r="AH407" s="24"/>
      <c r="AI407" s="29" t="str">
        <f aca="false">IF(X407="Not accepted","Maintained",IF(X407="Partially accepted","Partially maintained",IF(X407="Accepted","Reversed",IF(X407="Withdrawn by hospital","Withdrawn by hospital",""))))</f>
        <v/>
      </c>
      <c r="AJ407" s="28" t="str">
        <f aca="false">IF(AI407="","",W407)</f>
        <v/>
      </c>
      <c r="AK407" s="29" t="str">
        <f aca="false">IF(AND(ISNUMBER(T407),ISNUMBER(W407)),W407-T407,"")</f>
        <v/>
      </c>
      <c r="AL407" s="29" t="str">
        <f aca="false">IF(A407="","",SUMIF(Actions!$C$5:$C$1004,A407,Actions!$F$5:$F$1004))</f>
        <v/>
      </c>
      <c r="AM407" s="25"/>
    </row>
    <row r="408" customFormat="false" ht="15" hidden="false" customHeight="false" outlineLevel="0" collapsed="false">
      <c r="A408" s="23"/>
      <c r="B408" s="23"/>
      <c r="C408" s="23"/>
      <c r="D408" s="23"/>
      <c r="E408" s="23"/>
      <c r="F408" s="23"/>
      <c r="G408" s="23"/>
      <c r="H408" s="23"/>
      <c r="I408" s="23"/>
      <c r="J408" s="23"/>
      <c r="K408" s="24"/>
      <c r="L408" s="23"/>
      <c r="M408" s="25"/>
      <c r="N408" s="25"/>
      <c r="O408" s="23"/>
      <c r="P408" s="26"/>
      <c r="Q408" s="26"/>
      <c r="R408" s="27" t="str">
        <f aca="false">IF(AND(ISNUMBER(P408),ISNUMBER(Q408)),P408-Q408,"")</f>
        <v/>
      </c>
      <c r="S408" s="24"/>
      <c r="T408" s="28" t="str">
        <f aca="false">IF(S408&lt;&gt;"",S408,IF(B408="","",IFERROR(IF(INDEX(Batches!$G$5:$G$64,MATCH(B408,Batches!$A$5:$A$64,0))="","",INDEX(Batches!$G$5:$G$64,MATCH(B408,Batches!$A$5:$A$64,0))),"")))</f>
        <v/>
      </c>
      <c r="U408" s="23"/>
      <c r="V408" s="24"/>
      <c r="W408" s="28" t="str">
        <f aca="false">IF(OR(X408="",X408="Pending"),"",IF(V408&lt;&gt;"",V408,IFERROR(IF(INDEX(Batches!$H$5:$H$64,MATCH(B408,Batches!$A$5:$A$64,0))="","",INDEX(Batches!$H$5:$H$64,MATCH(B408,Batches!$A$5:$A$64,0))),"")))</f>
        <v/>
      </c>
      <c r="X408" s="23"/>
      <c r="Y408" s="23"/>
      <c r="Z408" s="26"/>
      <c r="AA408" s="27" t="str">
        <f aca="false">IF(R408="","",IF(X408="Not accepted",R408,IF(OR(X408="Accepted",X408="Withdrawn by hospital"),IF(X408="Accepted",0,R408),IF(ISNUMBER(Z408),R408-Z408,""))))</f>
        <v/>
      </c>
      <c r="AB408" s="23"/>
      <c r="AC408" s="25"/>
      <c r="AD408" s="23"/>
      <c r="AE408" s="23"/>
      <c r="AF408" s="24"/>
      <c r="AG408" s="23"/>
      <c r="AH408" s="24"/>
      <c r="AI408" s="29" t="str">
        <f aca="false">IF(X408="Not accepted","Maintained",IF(X408="Partially accepted","Partially maintained",IF(X408="Accepted","Reversed",IF(X408="Withdrawn by hospital","Withdrawn by hospital",""))))</f>
        <v/>
      </c>
      <c r="AJ408" s="28" t="str">
        <f aca="false">IF(AI408="","",W408)</f>
        <v/>
      </c>
      <c r="AK408" s="29" t="str">
        <f aca="false">IF(AND(ISNUMBER(T408),ISNUMBER(W408)),W408-T408,"")</f>
        <v/>
      </c>
      <c r="AL408" s="29" t="str">
        <f aca="false">IF(A408="","",SUMIF(Actions!$C$5:$C$1004,A408,Actions!$F$5:$F$1004))</f>
        <v/>
      </c>
      <c r="AM408" s="25"/>
    </row>
    <row r="409" customFormat="false" ht="15" hidden="false" customHeight="false" outlineLevel="0" collapsed="false">
      <c r="A409" s="23"/>
      <c r="B409" s="23"/>
      <c r="C409" s="23"/>
      <c r="D409" s="23"/>
      <c r="E409" s="23"/>
      <c r="F409" s="23"/>
      <c r="G409" s="23"/>
      <c r="H409" s="23"/>
      <c r="I409" s="23"/>
      <c r="J409" s="23"/>
      <c r="K409" s="24"/>
      <c r="L409" s="23"/>
      <c r="M409" s="25"/>
      <c r="N409" s="25"/>
      <c r="O409" s="23"/>
      <c r="P409" s="26"/>
      <c r="Q409" s="26"/>
      <c r="R409" s="27" t="str">
        <f aca="false">IF(AND(ISNUMBER(P409),ISNUMBER(Q409)),P409-Q409,"")</f>
        <v/>
      </c>
      <c r="S409" s="24"/>
      <c r="T409" s="28" t="str">
        <f aca="false">IF(S409&lt;&gt;"",S409,IF(B409="","",IFERROR(IF(INDEX(Batches!$G$5:$G$64,MATCH(B409,Batches!$A$5:$A$64,0))="","",INDEX(Batches!$G$5:$G$64,MATCH(B409,Batches!$A$5:$A$64,0))),"")))</f>
        <v/>
      </c>
      <c r="U409" s="23"/>
      <c r="V409" s="24"/>
      <c r="W409" s="28" t="str">
        <f aca="false">IF(OR(X409="",X409="Pending"),"",IF(V409&lt;&gt;"",V409,IFERROR(IF(INDEX(Batches!$H$5:$H$64,MATCH(B409,Batches!$A$5:$A$64,0))="","",INDEX(Batches!$H$5:$H$64,MATCH(B409,Batches!$A$5:$A$64,0))),"")))</f>
        <v/>
      </c>
      <c r="X409" s="23"/>
      <c r="Y409" s="23"/>
      <c r="Z409" s="26"/>
      <c r="AA409" s="27" t="str">
        <f aca="false">IF(R409="","",IF(X409="Not accepted",R409,IF(OR(X409="Accepted",X409="Withdrawn by hospital"),IF(X409="Accepted",0,R409),IF(ISNUMBER(Z409),R409-Z409,""))))</f>
        <v/>
      </c>
      <c r="AB409" s="23"/>
      <c r="AC409" s="25"/>
      <c r="AD409" s="23"/>
      <c r="AE409" s="23"/>
      <c r="AF409" s="24"/>
      <c r="AG409" s="23"/>
      <c r="AH409" s="24"/>
      <c r="AI409" s="29" t="str">
        <f aca="false">IF(X409="Not accepted","Maintained",IF(X409="Partially accepted","Partially maintained",IF(X409="Accepted","Reversed",IF(X409="Withdrawn by hospital","Withdrawn by hospital",""))))</f>
        <v/>
      </c>
      <c r="AJ409" s="28" t="str">
        <f aca="false">IF(AI409="","",W409)</f>
        <v/>
      </c>
      <c r="AK409" s="29" t="str">
        <f aca="false">IF(AND(ISNUMBER(T409),ISNUMBER(W409)),W409-T409,"")</f>
        <v/>
      </c>
      <c r="AL409" s="29" t="str">
        <f aca="false">IF(A409="","",SUMIF(Actions!$C$5:$C$1004,A409,Actions!$F$5:$F$1004))</f>
        <v/>
      </c>
      <c r="AM409" s="25"/>
    </row>
    <row r="410" customFormat="false" ht="15" hidden="false" customHeight="false" outlineLevel="0" collapsed="false">
      <c r="A410" s="23"/>
      <c r="B410" s="23"/>
      <c r="C410" s="23"/>
      <c r="D410" s="23"/>
      <c r="E410" s="23"/>
      <c r="F410" s="23"/>
      <c r="G410" s="23"/>
      <c r="H410" s="23"/>
      <c r="I410" s="23"/>
      <c r="J410" s="23"/>
      <c r="K410" s="24"/>
      <c r="L410" s="23"/>
      <c r="M410" s="25"/>
      <c r="N410" s="25"/>
      <c r="O410" s="23"/>
      <c r="P410" s="26"/>
      <c r="Q410" s="26"/>
      <c r="R410" s="27" t="str">
        <f aca="false">IF(AND(ISNUMBER(P410),ISNUMBER(Q410)),P410-Q410,"")</f>
        <v/>
      </c>
      <c r="S410" s="24"/>
      <c r="T410" s="28" t="str">
        <f aca="false">IF(S410&lt;&gt;"",S410,IF(B410="","",IFERROR(IF(INDEX(Batches!$G$5:$G$64,MATCH(B410,Batches!$A$5:$A$64,0))="","",INDEX(Batches!$G$5:$G$64,MATCH(B410,Batches!$A$5:$A$64,0))),"")))</f>
        <v/>
      </c>
      <c r="U410" s="23"/>
      <c r="V410" s="24"/>
      <c r="W410" s="28" t="str">
        <f aca="false">IF(OR(X410="",X410="Pending"),"",IF(V410&lt;&gt;"",V410,IFERROR(IF(INDEX(Batches!$H$5:$H$64,MATCH(B410,Batches!$A$5:$A$64,0))="","",INDEX(Batches!$H$5:$H$64,MATCH(B410,Batches!$A$5:$A$64,0))),"")))</f>
        <v/>
      </c>
      <c r="X410" s="23"/>
      <c r="Y410" s="23"/>
      <c r="Z410" s="26"/>
      <c r="AA410" s="27" t="str">
        <f aca="false">IF(R410="","",IF(X410="Not accepted",R410,IF(OR(X410="Accepted",X410="Withdrawn by hospital"),IF(X410="Accepted",0,R410),IF(ISNUMBER(Z410),R410-Z410,""))))</f>
        <v/>
      </c>
      <c r="AB410" s="23"/>
      <c r="AC410" s="25"/>
      <c r="AD410" s="23"/>
      <c r="AE410" s="23"/>
      <c r="AF410" s="24"/>
      <c r="AG410" s="23"/>
      <c r="AH410" s="24"/>
      <c r="AI410" s="29" t="str">
        <f aca="false">IF(X410="Not accepted","Maintained",IF(X410="Partially accepted","Partially maintained",IF(X410="Accepted","Reversed",IF(X410="Withdrawn by hospital","Withdrawn by hospital",""))))</f>
        <v/>
      </c>
      <c r="AJ410" s="28" t="str">
        <f aca="false">IF(AI410="","",W410)</f>
        <v/>
      </c>
      <c r="AK410" s="29" t="str">
        <f aca="false">IF(AND(ISNUMBER(T410),ISNUMBER(W410)),W410-T410,"")</f>
        <v/>
      </c>
      <c r="AL410" s="29" t="str">
        <f aca="false">IF(A410="","",SUMIF(Actions!$C$5:$C$1004,A410,Actions!$F$5:$F$1004))</f>
        <v/>
      </c>
      <c r="AM410" s="25"/>
    </row>
    <row r="411" customFormat="false" ht="15" hidden="false" customHeight="false" outlineLevel="0" collapsed="false">
      <c r="A411" s="23"/>
      <c r="B411" s="23"/>
      <c r="C411" s="23"/>
      <c r="D411" s="23"/>
      <c r="E411" s="23"/>
      <c r="F411" s="23"/>
      <c r="G411" s="23"/>
      <c r="H411" s="23"/>
      <c r="I411" s="23"/>
      <c r="J411" s="23"/>
      <c r="K411" s="24"/>
      <c r="L411" s="23"/>
      <c r="M411" s="25"/>
      <c r="N411" s="25"/>
      <c r="O411" s="23"/>
      <c r="P411" s="26"/>
      <c r="Q411" s="26"/>
      <c r="R411" s="27" t="str">
        <f aca="false">IF(AND(ISNUMBER(P411),ISNUMBER(Q411)),P411-Q411,"")</f>
        <v/>
      </c>
      <c r="S411" s="24"/>
      <c r="T411" s="28" t="str">
        <f aca="false">IF(S411&lt;&gt;"",S411,IF(B411="","",IFERROR(IF(INDEX(Batches!$G$5:$G$64,MATCH(B411,Batches!$A$5:$A$64,0))="","",INDEX(Batches!$G$5:$G$64,MATCH(B411,Batches!$A$5:$A$64,0))),"")))</f>
        <v/>
      </c>
      <c r="U411" s="23"/>
      <c r="V411" s="24"/>
      <c r="W411" s="28" t="str">
        <f aca="false">IF(OR(X411="",X411="Pending"),"",IF(V411&lt;&gt;"",V411,IFERROR(IF(INDEX(Batches!$H$5:$H$64,MATCH(B411,Batches!$A$5:$A$64,0))="","",INDEX(Batches!$H$5:$H$64,MATCH(B411,Batches!$A$5:$A$64,0))),"")))</f>
        <v/>
      </c>
      <c r="X411" s="23"/>
      <c r="Y411" s="23"/>
      <c r="Z411" s="26"/>
      <c r="AA411" s="27" t="str">
        <f aca="false">IF(R411="","",IF(X411="Not accepted",R411,IF(OR(X411="Accepted",X411="Withdrawn by hospital"),IF(X411="Accepted",0,R411),IF(ISNUMBER(Z411),R411-Z411,""))))</f>
        <v/>
      </c>
      <c r="AB411" s="23"/>
      <c r="AC411" s="25"/>
      <c r="AD411" s="23"/>
      <c r="AE411" s="23"/>
      <c r="AF411" s="24"/>
      <c r="AG411" s="23"/>
      <c r="AH411" s="24"/>
      <c r="AI411" s="29" t="str">
        <f aca="false">IF(X411="Not accepted","Maintained",IF(X411="Partially accepted","Partially maintained",IF(X411="Accepted","Reversed",IF(X411="Withdrawn by hospital","Withdrawn by hospital",""))))</f>
        <v/>
      </c>
      <c r="AJ411" s="28" t="str">
        <f aca="false">IF(AI411="","",W411)</f>
        <v/>
      </c>
      <c r="AK411" s="29" t="str">
        <f aca="false">IF(AND(ISNUMBER(T411),ISNUMBER(W411)),W411-T411,"")</f>
        <v/>
      </c>
      <c r="AL411" s="29" t="str">
        <f aca="false">IF(A411="","",SUMIF(Actions!$C$5:$C$1004,A411,Actions!$F$5:$F$1004))</f>
        <v/>
      </c>
      <c r="AM411" s="25"/>
    </row>
    <row r="412" customFormat="false" ht="15" hidden="false" customHeight="false" outlineLevel="0" collapsed="false">
      <c r="A412" s="23"/>
      <c r="B412" s="23"/>
      <c r="C412" s="23"/>
      <c r="D412" s="23"/>
      <c r="E412" s="23"/>
      <c r="F412" s="23"/>
      <c r="G412" s="23"/>
      <c r="H412" s="23"/>
      <c r="I412" s="23"/>
      <c r="J412" s="23"/>
      <c r="K412" s="24"/>
      <c r="L412" s="23"/>
      <c r="M412" s="25"/>
      <c r="N412" s="25"/>
      <c r="O412" s="23"/>
      <c r="P412" s="26"/>
      <c r="Q412" s="26"/>
      <c r="R412" s="27" t="str">
        <f aca="false">IF(AND(ISNUMBER(P412),ISNUMBER(Q412)),P412-Q412,"")</f>
        <v/>
      </c>
      <c r="S412" s="24"/>
      <c r="T412" s="28" t="str">
        <f aca="false">IF(S412&lt;&gt;"",S412,IF(B412="","",IFERROR(IF(INDEX(Batches!$G$5:$G$64,MATCH(B412,Batches!$A$5:$A$64,0))="","",INDEX(Batches!$G$5:$G$64,MATCH(B412,Batches!$A$5:$A$64,0))),"")))</f>
        <v/>
      </c>
      <c r="U412" s="23"/>
      <c r="V412" s="24"/>
      <c r="W412" s="28" t="str">
        <f aca="false">IF(OR(X412="",X412="Pending"),"",IF(V412&lt;&gt;"",V412,IFERROR(IF(INDEX(Batches!$H$5:$H$64,MATCH(B412,Batches!$A$5:$A$64,0))="","",INDEX(Batches!$H$5:$H$64,MATCH(B412,Batches!$A$5:$A$64,0))),"")))</f>
        <v/>
      </c>
      <c r="X412" s="23"/>
      <c r="Y412" s="23"/>
      <c r="Z412" s="26"/>
      <c r="AA412" s="27" t="str">
        <f aca="false">IF(R412="","",IF(X412="Not accepted",R412,IF(OR(X412="Accepted",X412="Withdrawn by hospital"),IF(X412="Accepted",0,R412),IF(ISNUMBER(Z412),R412-Z412,""))))</f>
        <v/>
      </c>
      <c r="AB412" s="23"/>
      <c r="AC412" s="25"/>
      <c r="AD412" s="23"/>
      <c r="AE412" s="23"/>
      <c r="AF412" s="24"/>
      <c r="AG412" s="23"/>
      <c r="AH412" s="24"/>
      <c r="AI412" s="29" t="str">
        <f aca="false">IF(X412="Not accepted","Maintained",IF(X412="Partially accepted","Partially maintained",IF(X412="Accepted","Reversed",IF(X412="Withdrawn by hospital","Withdrawn by hospital",""))))</f>
        <v/>
      </c>
      <c r="AJ412" s="28" t="str">
        <f aca="false">IF(AI412="","",W412)</f>
        <v/>
      </c>
      <c r="AK412" s="29" t="str">
        <f aca="false">IF(AND(ISNUMBER(T412),ISNUMBER(W412)),W412-T412,"")</f>
        <v/>
      </c>
      <c r="AL412" s="29" t="str">
        <f aca="false">IF(A412="","",SUMIF(Actions!$C$5:$C$1004,A412,Actions!$F$5:$F$1004))</f>
        <v/>
      </c>
      <c r="AM412" s="25"/>
    </row>
    <row r="413" customFormat="false" ht="15" hidden="false" customHeight="false" outlineLevel="0" collapsed="false">
      <c r="A413" s="23"/>
      <c r="B413" s="23"/>
      <c r="C413" s="23"/>
      <c r="D413" s="23"/>
      <c r="E413" s="23"/>
      <c r="F413" s="23"/>
      <c r="G413" s="23"/>
      <c r="H413" s="23"/>
      <c r="I413" s="23"/>
      <c r="J413" s="23"/>
      <c r="K413" s="24"/>
      <c r="L413" s="23"/>
      <c r="M413" s="25"/>
      <c r="N413" s="25"/>
      <c r="O413" s="23"/>
      <c r="P413" s="26"/>
      <c r="Q413" s="26"/>
      <c r="R413" s="27" t="str">
        <f aca="false">IF(AND(ISNUMBER(P413),ISNUMBER(Q413)),P413-Q413,"")</f>
        <v/>
      </c>
      <c r="S413" s="24"/>
      <c r="T413" s="28" t="str">
        <f aca="false">IF(S413&lt;&gt;"",S413,IF(B413="","",IFERROR(IF(INDEX(Batches!$G$5:$G$64,MATCH(B413,Batches!$A$5:$A$64,0))="","",INDEX(Batches!$G$5:$G$64,MATCH(B413,Batches!$A$5:$A$64,0))),"")))</f>
        <v/>
      </c>
      <c r="U413" s="23"/>
      <c r="V413" s="24"/>
      <c r="W413" s="28" t="str">
        <f aca="false">IF(OR(X413="",X413="Pending"),"",IF(V413&lt;&gt;"",V413,IFERROR(IF(INDEX(Batches!$H$5:$H$64,MATCH(B413,Batches!$A$5:$A$64,0))="","",INDEX(Batches!$H$5:$H$64,MATCH(B413,Batches!$A$5:$A$64,0))),"")))</f>
        <v/>
      </c>
      <c r="X413" s="23"/>
      <c r="Y413" s="23"/>
      <c r="Z413" s="26"/>
      <c r="AA413" s="27" t="str">
        <f aca="false">IF(R413="","",IF(X413="Not accepted",R413,IF(OR(X413="Accepted",X413="Withdrawn by hospital"),IF(X413="Accepted",0,R413),IF(ISNUMBER(Z413),R413-Z413,""))))</f>
        <v/>
      </c>
      <c r="AB413" s="23"/>
      <c r="AC413" s="25"/>
      <c r="AD413" s="23"/>
      <c r="AE413" s="23"/>
      <c r="AF413" s="24"/>
      <c r="AG413" s="23"/>
      <c r="AH413" s="24"/>
      <c r="AI413" s="29" t="str">
        <f aca="false">IF(X413="Not accepted","Maintained",IF(X413="Partially accepted","Partially maintained",IF(X413="Accepted","Reversed",IF(X413="Withdrawn by hospital","Withdrawn by hospital",""))))</f>
        <v/>
      </c>
      <c r="AJ413" s="28" t="str">
        <f aca="false">IF(AI413="","",W413)</f>
        <v/>
      </c>
      <c r="AK413" s="29" t="str">
        <f aca="false">IF(AND(ISNUMBER(T413),ISNUMBER(W413)),W413-T413,"")</f>
        <v/>
      </c>
      <c r="AL413" s="29" t="str">
        <f aca="false">IF(A413="","",SUMIF(Actions!$C$5:$C$1004,A413,Actions!$F$5:$F$1004))</f>
        <v/>
      </c>
      <c r="AM413" s="25"/>
    </row>
    <row r="414" customFormat="false" ht="15" hidden="false" customHeight="false" outlineLevel="0" collapsed="false">
      <c r="A414" s="23"/>
      <c r="B414" s="23"/>
      <c r="C414" s="23"/>
      <c r="D414" s="23"/>
      <c r="E414" s="23"/>
      <c r="F414" s="23"/>
      <c r="G414" s="23"/>
      <c r="H414" s="23"/>
      <c r="I414" s="23"/>
      <c r="J414" s="23"/>
      <c r="K414" s="24"/>
      <c r="L414" s="23"/>
      <c r="M414" s="25"/>
      <c r="N414" s="25"/>
      <c r="O414" s="23"/>
      <c r="P414" s="26"/>
      <c r="Q414" s="26"/>
      <c r="R414" s="27" t="str">
        <f aca="false">IF(AND(ISNUMBER(P414),ISNUMBER(Q414)),P414-Q414,"")</f>
        <v/>
      </c>
      <c r="S414" s="24"/>
      <c r="T414" s="28" t="str">
        <f aca="false">IF(S414&lt;&gt;"",S414,IF(B414="","",IFERROR(IF(INDEX(Batches!$G$5:$G$64,MATCH(B414,Batches!$A$5:$A$64,0))="","",INDEX(Batches!$G$5:$G$64,MATCH(B414,Batches!$A$5:$A$64,0))),"")))</f>
        <v/>
      </c>
      <c r="U414" s="23"/>
      <c r="V414" s="24"/>
      <c r="W414" s="28" t="str">
        <f aca="false">IF(OR(X414="",X414="Pending"),"",IF(V414&lt;&gt;"",V414,IFERROR(IF(INDEX(Batches!$H$5:$H$64,MATCH(B414,Batches!$A$5:$A$64,0))="","",INDEX(Batches!$H$5:$H$64,MATCH(B414,Batches!$A$5:$A$64,0))),"")))</f>
        <v/>
      </c>
      <c r="X414" s="23"/>
      <c r="Y414" s="23"/>
      <c r="Z414" s="26"/>
      <c r="AA414" s="27" t="str">
        <f aca="false">IF(R414="","",IF(X414="Not accepted",R414,IF(OR(X414="Accepted",X414="Withdrawn by hospital"),IF(X414="Accepted",0,R414),IF(ISNUMBER(Z414),R414-Z414,""))))</f>
        <v/>
      </c>
      <c r="AB414" s="23"/>
      <c r="AC414" s="25"/>
      <c r="AD414" s="23"/>
      <c r="AE414" s="23"/>
      <c r="AF414" s="24"/>
      <c r="AG414" s="23"/>
      <c r="AH414" s="24"/>
      <c r="AI414" s="29" t="str">
        <f aca="false">IF(X414="Not accepted","Maintained",IF(X414="Partially accepted","Partially maintained",IF(X414="Accepted","Reversed",IF(X414="Withdrawn by hospital","Withdrawn by hospital",""))))</f>
        <v/>
      </c>
      <c r="AJ414" s="28" t="str">
        <f aca="false">IF(AI414="","",W414)</f>
        <v/>
      </c>
      <c r="AK414" s="29" t="str">
        <f aca="false">IF(AND(ISNUMBER(T414),ISNUMBER(W414)),W414-T414,"")</f>
        <v/>
      </c>
      <c r="AL414" s="29" t="str">
        <f aca="false">IF(A414="","",SUMIF(Actions!$C$5:$C$1004,A414,Actions!$F$5:$F$1004))</f>
        <v/>
      </c>
      <c r="AM414" s="25"/>
    </row>
    <row r="415" customFormat="false" ht="15" hidden="false" customHeight="false" outlineLevel="0" collapsed="false">
      <c r="A415" s="23"/>
      <c r="B415" s="23"/>
      <c r="C415" s="23"/>
      <c r="D415" s="23"/>
      <c r="E415" s="23"/>
      <c r="F415" s="23"/>
      <c r="G415" s="23"/>
      <c r="H415" s="23"/>
      <c r="I415" s="23"/>
      <c r="J415" s="23"/>
      <c r="K415" s="24"/>
      <c r="L415" s="23"/>
      <c r="M415" s="25"/>
      <c r="N415" s="25"/>
      <c r="O415" s="23"/>
      <c r="P415" s="26"/>
      <c r="Q415" s="26"/>
      <c r="R415" s="27" t="str">
        <f aca="false">IF(AND(ISNUMBER(P415),ISNUMBER(Q415)),P415-Q415,"")</f>
        <v/>
      </c>
      <c r="S415" s="24"/>
      <c r="T415" s="28" t="str">
        <f aca="false">IF(S415&lt;&gt;"",S415,IF(B415="","",IFERROR(IF(INDEX(Batches!$G$5:$G$64,MATCH(B415,Batches!$A$5:$A$64,0))="","",INDEX(Batches!$G$5:$G$64,MATCH(B415,Batches!$A$5:$A$64,0))),"")))</f>
        <v/>
      </c>
      <c r="U415" s="23"/>
      <c r="V415" s="24"/>
      <c r="W415" s="28" t="str">
        <f aca="false">IF(OR(X415="",X415="Pending"),"",IF(V415&lt;&gt;"",V415,IFERROR(IF(INDEX(Batches!$H$5:$H$64,MATCH(B415,Batches!$A$5:$A$64,0))="","",INDEX(Batches!$H$5:$H$64,MATCH(B415,Batches!$A$5:$A$64,0))),"")))</f>
        <v/>
      </c>
      <c r="X415" s="23"/>
      <c r="Y415" s="23"/>
      <c r="Z415" s="26"/>
      <c r="AA415" s="27" t="str">
        <f aca="false">IF(R415="","",IF(X415="Not accepted",R415,IF(OR(X415="Accepted",X415="Withdrawn by hospital"),IF(X415="Accepted",0,R415),IF(ISNUMBER(Z415),R415-Z415,""))))</f>
        <v/>
      </c>
      <c r="AB415" s="23"/>
      <c r="AC415" s="25"/>
      <c r="AD415" s="23"/>
      <c r="AE415" s="23"/>
      <c r="AF415" s="24"/>
      <c r="AG415" s="23"/>
      <c r="AH415" s="24"/>
      <c r="AI415" s="29" t="str">
        <f aca="false">IF(X415="Not accepted","Maintained",IF(X415="Partially accepted","Partially maintained",IF(X415="Accepted","Reversed",IF(X415="Withdrawn by hospital","Withdrawn by hospital",""))))</f>
        <v/>
      </c>
      <c r="AJ415" s="28" t="str">
        <f aca="false">IF(AI415="","",W415)</f>
        <v/>
      </c>
      <c r="AK415" s="29" t="str">
        <f aca="false">IF(AND(ISNUMBER(T415),ISNUMBER(W415)),W415-T415,"")</f>
        <v/>
      </c>
      <c r="AL415" s="29" t="str">
        <f aca="false">IF(A415="","",SUMIF(Actions!$C$5:$C$1004,A415,Actions!$F$5:$F$1004))</f>
        <v/>
      </c>
      <c r="AM415" s="25"/>
    </row>
    <row r="416" customFormat="false" ht="15" hidden="false" customHeight="false" outlineLevel="0" collapsed="false">
      <c r="A416" s="23"/>
      <c r="B416" s="23"/>
      <c r="C416" s="23"/>
      <c r="D416" s="23"/>
      <c r="E416" s="23"/>
      <c r="F416" s="23"/>
      <c r="G416" s="23"/>
      <c r="H416" s="23"/>
      <c r="I416" s="23"/>
      <c r="J416" s="23"/>
      <c r="K416" s="24"/>
      <c r="L416" s="23"/>
      <c r="M416" s="25"/>
      <c r="N416" s="25"/>
      <c r="O416" s="23"/>
      <c r="P416" s="26"/>
      <c r="Q416" s="26"/>
      <c r="R416" s="27" t="str">
        <f aca="false">IF(AND(ISNUMBER(P416),ISNUMBER(Q416)),P416-Q416,"")</f>
        <v/>
      </c>
      <c r="S416" s="24"/>
      <c r="T416" s="28" t="str">
        <f aca="false">IF(S416&lt;&gt;"",S416,IF(B416="","",IFERROR(IF(INDEX(Batches!$G$5:$G$64,MATCH(B416,Batches!$A$5:$A$64,0))="","",INDEX(Batches!$G$5:$G$64,MATCH(B416,Batches!$A$5:$A$64,0))),"")))</f>
        <v/>
      </c>
      <c r="U416" s="23"/>
      <c r="V416" s="24"/>
      <c r="W416" s="28" t="str">
        <f aca="false">IF(OR(X416="",X416="Pending"),"",IF(V416&lt;&gt;"",V416,IFERROR(IF(INDEX(Batches!$H$5:$H$64,MATCH(B416,Batches!$A$5:$A$64,0))="","",INDEX(Batches!$H$5:$H$64,MATCH(B416,Batches!$A$5:$A$64,0))),"")))</f>
        <v/>
      </c>
      <c r="X416" s="23"/>
      <c r="Y416" s="23"/>
      <c r="Z416" s="26"/>
      <c r="AA416" s="27" t="str">
        <f aca="false">IF(R416="","",IF(X416="Not accepted",R416,IF(OR(X416="Accepted",X416="Withdrawn by hospital"),IF(X416="Accepted",0,R416),IF(ISNUMBER(Z416),R416-Z416,""))))</f>
        <v/>
      </c>
      <c r="AB416" s="23"/>
      <c r="AC416" s="25"/>
      <c r="AD416" s="23"/>
      <c r="AE416" s="23"/>
      <c r="AF416" s="24"/>
      <c r="AG416" s="23"/>
      <c r="AH416" s="24"/>
      <c r="AI416" s="29" t="str">
        <f aca="false">IF(X416="Not accepted","Maintained",IF(X416="Partially accepted","Partially maintained",IF(X416="Accepted","Reversed",IF(X416="Withdrawn by hospital","Withdrawn by hospital",""))))</f>
        <v/>
      </c>
      <c r="AJ416" s="28" t="str">
        <f aca="false">IF(AI416="","",W416)</f>
        <v/>
      </c>
      <c r="AK416" s="29" t="str">
        <f aca="false">IF(AND(ISNUMBER(T416),ISNUMBER(W416)),W416-T416,"")</f>
        <v/>
      </c>
      <c r="AL416" s="29" t="str">
        <f aca="false">IF(A416="","",SUMIF(Actions!$C$5:$C$1004,A416,Actions!$F$5:$F$1004))</f>
        <v/>
      </c>
      <c r="AM416" s="25"/>
    </row>
    <row r="417" customFormat="false" ht="15" hidden="false" customHeight="false" outlineLevel="0" collapsed="false">
      <c r="A417" s="23"/>
      <c r="B417" s="23"/>
      <c r="C417" s="23"/>
      <c r="D417" s="23"/>
      <c r="E417" s="23"/>
      <c r="F417" s="23"/>
      <c r="G417" s="23"/>
      <c r="H417" s="23"/>
      <c r="I417" s="23"/>
      <c r="J417" s="23"/>
      <c r="K417" s="24"/>
      <c r="L417" s="23"/>
      <c r="M417" s="25"/>
      <c r="N417" s="25"/>
      <c r="O417" s="23"/>
      <c r="P417" s="26"/>
      <c r="Q417" s="26"/>
      <c r="R417" s="27" t="str">
        <f aca="false">IF(AND(ISNUMBER(P417),ISNUMBER(Q417)),P417-Q417,"")</f>
        <v/>
      </c>
      <c r="S417" s="24"/>
      <c r="T417" s="28" t="str">
        <f aca="false">IF(S417&lt;&gt;"",S417,IF(B417="","",IFERROR(IF(INDEX(Batches!$G$5:$G$64,MATCH(B417,Batches!$A$5:$A$64,0))="","",INDEX(Batches!$G$5:$G$64,MATCH(B417,Batches!$A$5:$A$64,0))),"")))</f>
        <v/>
      </c>
      <c r="U417" s="23"/>
      <c r="V417" s="24"/>
      <c r="W417" s="28" t="str">
        <f aca="false">IF(OR(X417="",X417="Pending"),"",IF(V417&lt;&gt;"",V417,IFERROR(IF(INDEX(Batches!$H$5:$H$64,MATCH(B417,Batches!$A$5:$A$64,0))="","",INDEX(Batches!$H$5:$H$64,MATCH(B417,Batches!$A$5:$A$64,0))),"")))</f>
        <v/>
      </c>
      <c r="X417" s="23"/>
      <c r="Y417" s="23"/>
      <c r="Z417" s="26"/>
      <c r="AA417" s="27" t="str">
        <f aca="false">IF(R417="","",IF(X417="Not accepted",R417,IF(OR(X417="Accepted",X417="Withdrawn by hospital"),IF(X417="Accepted",0,R417),IF(ISNUMBER(Z417),R417-Z417,""))))</f>
        <v/>
      </c>
      <c r="AB417" s="23"/>
      <c r="AC417" s="25"/>
      <c r="AD417" s="23"/>
      <c r="AE417" s="23"/>
      <c r="AF417" s="24"/>
      <c r="AG417" s="23"/>
      <c r="AH417" s="24"/>
      <c r="AI417" s="29" t="str">
        <f aca="false">IF(X417="Not accepted","Maintained",IF(X417="Partially accepted","Partially maintained",IF(X417="Accepted","Reversed",IF(X417="Withdrawn by hospital","Withdrawn by hospital",""))))</f>
        <v/>
      </c>
      <c r="AJ417" s="28" t="str">
        <f aca="false">IF(AI417="","",W417)</f>
        <v/>
      </c>
      <c r="AK417" s="29" t="str">
        <f aca="false">IF(AND(ISNUMBER(T417),ISNUMBER(W417)),W417-T417,"")</f>
        <v/>
      </c>
      <c r="AL417" s="29" t="str">
        <f aca="false">IF(A417="","",SUMIF(Actions!$C$5:$C$1004,A417,Actions!$F$5:$F$1004))</f>
        <v/>
      </c>
      <c r="AM417" s="25"/>
    </row>
    <row r="418" customFormat="false" ht="15" hidden="false" customHeight="false" outlineLevel="0" collapsed="false">
      <c r="A418" s="23"/>
      <c r="B418" s="23"/>
      <c r="C418" s="23"/>
      <c r="D418" s="23"/>
      <c r="E418" s="23"/>
      <c r="F418" s="23"/>
      <c r="G418" s="23"/>
      <c r="H418" s="23"/>
      <c r="I418" s="23"/>
      <c r="J418" s="23"/>
      <c r="K418" s="24"/>
      <c r="L418" s="23"/>
      <c r="M418" s="25"/>
      <c r="N418" s="25"/>
      <c r="O418" s="23"/>
      <c r="P418" s="26"/>
      <c r="Q418" s="26"/>
      <c r="R418" s="27" t="str">
        <f aca="false">IF(AND(ISNUMBER(P418),ISNUMBER(Q418)),P418-Q418,"")</f>
        <v/>
      </c>
      <c r="S418" s="24"/>
      <c r="T418" s="28" t="str">
        <f aca="false">IF(S418&lt;&gt;"",S418,IF(B418="","",IFERROR(IF(INDEX(Batches!$G$5:$G$64,MATCH(B418,Batches!$A$5:$A$64,0))="","",INDEX(Batches!$G$5:$G$64,MATCH(B418,Batches!$A$5:$A$64,0))),"")))</f>
        <v/>
      </c>
      <c r="U418" s="23"/>
      <c r="V418" s="24"/>
      <c r="W418" s="28" t="str">
        <f aca="false">IF(OR(X418="",X418="Pending"),"",IF(V418&lt;&gt;"",V418,IFERROR(IF(INDEX(Batches!$H$5:$H$64,MATCH(B418,Batches!$A$5:$A$64,0))="","",INDEX(Batches!$H$5:$H$64,MATCH(B418,Batches!$A$5:$A$64,0))),"")))</f>
        <v/>
      </c>
      <c r="X418" s="23"/>
      <c r="Y418" s="23"/>
      <c r="Z418" s="26"/>
      <c r="AA418" s="27" t="str">
        <f aca="false">IF(R418="","",IF(X418="Not accepted",R418,IF(OR(X418="Accepted",X418="Withdrawn by hospital"),IF(X418="Accepted",0,R418),IF(ISNUMBER(Z418),R418-Z418,""))))</f>
        <v/>
      </c>
      <c r="AB418" s="23"/>
      <c r="AC418" s="25"/>
      <c r="AD418" s="23"/>
      <c r="AE418" s="23"/>
      <c r="AF418" s="24"/>
      <c r="AG418" s="23"/>
      <c r="AH418" s="24"/>
      <c r="AI418" s="29" t="str">
        <f aca="false">IF(X418="Not accepted","Maintained",IF(X418="Partially accepted","Partially maintained",IF(X418="Accepted","Reversed",IF(X418="Withdrawn by hospital","Withdrawn by hospital",""))))</f>
        <v/>
      </c>
      <c r="AJ418" s="28" t="str">
        <f aca="false">IF(AI418="","",W418)</f>
        <v/>
      </c>
      <c r="AK418" s="29" t="str">
        <f aca="false">IF(AND(ISNUMBER(T418),ISNUMBER(W418)),W418-T418,"")</f>
        <v/>
      </c>
      <c r="AL418" s="29" t="str">
        <f aca="false">IF(A418="","",SUMIF(Actions!$C$5:$C$1004,A418,Actions!$F$5:$F$1004))</f>
        <v/>
      </c>
      <c r="AM418" s="25"/>
    </row>
    <row r="419" customFormat="false" ht="15" hidden="false" customHeight="false" outlineLevel="0" collapsed="false">
      <c r="A419" s="23"/>
      <c r="B419" s="23"/>
      <c r="C419" s="23"/>
      <c r="D419" s="23"/>
      <c r="E419" s="23"/>
      <c r="F419" s="23"/>
      <c r="G419" s="23"/>
      <c r="H419" s="23"/>
      <c r="I419" s="23"/>
      <c r="J419" s="23"/>
      <c r="K419" s="24"/>
      <c r="L419" s="23"/>
      <c r="M419" s="25"/>
      <c r="N419" s="25"/>
      <c r="O419" s="23"/>
      <c r="P419" s="26"/>
      <c r="Q419" s="26"/>
      <c r="R419" s="27" t="str">
        <f aca="false">IF(AND(ISNUMBER(P419),ISNUMBER(Q419)),P419-Q419,"")</f>
        <v/>
      </c>
      <c r="S419" s="24"/>
      <c r="T419" s="28" t="str">
        <f aca="false">IF(S419&lt;&gt;"",S419,IF(B419="","",IFERROR(IF(INDEX(Batches!$G$5:$G$64,MATCH(B419,Batches!$A$5:$A$64,0))="","",INDEX(Batches!$G$5:$G$64,MATCH(B419,Batches!$A$5:$A$64,0))),"")))</f>
        <v/>
      </c>
      <c r="U419" s="23"/>
      <c r="V419" s="24"/>
      <c r="W419" s="28" t="str">
        <f aca="false">IF(OR(X419="",X419="Pending"),"",IF(V419&lt;&gt;"",V419,IFERROR(IF(INDEX(Batches!$H$5:$H$64,MATCH(B419,Batches!$A$5:$A$64,0))="","",INDEX(Batches!$H$5:$H$64,MATCH(B419,Batches!$A$5:$A$64,0))),"")))</f>
        <v/>
      </c>
      <c r="X419" s="23"/>
      <c r="Y419" s="23"/>
      <c r="Z419" s="26"/>
      <c r="AA419" s="27" t="str">
        <f aca="false">IF(R419="","",IF(X419="Not accepted",R419,IF(OR(X419="Accepted",X419="Withdrawn by hospital"),IF(X419="Accepted",0,R419),IF(ISNUMBER(Z419),R419-Z419,""))))</f>
        <v/>
      </c>
      <c r="AB419" s="23"/>
      <c r="AC419" s="25"/>
      <c r="AD419" s="23"/>
      <c r="AE419" s="23"/>
      <c r="AF419" s="24"/>
      <c r="AG419" s="23"/>
      <c r="AH419" s="24"/>
      <c r="AI419" s="29" t="str">
        <f aca="false">IF(X419="Not accepted","Maintained",IF(X419="Partially accepted","Partially maintained",IF(X419="Accepted","Reversed",IF(X419="Withdrawn by hospital","Withdrawn by hospital",""))))</f>
        <v/>
      </c>
      <c r="AJ419" s="28" t="str">
        <f aca="false">IF(AI419="","",W419)</f>
        <v/>
      </c>
      <c r="AK419" s="29" t="str">
        <f aca="false">IF(AND(ISNUMBER(T419),ISNUMBER(W419)),W419-T419,"")</f>
        <v/>
      </c>
      <c r="AL419" s="29" t="str">
        <f aca="false">IF(A419="","",SUMIF(Actions!$C$5:$C$1004,A419,Actions!$F$5:$F$1004))</f>
        <v/>
      </c>
      <c r="AM419" s="25"/>
    </row>
    <row r="420" customFormat="false" ht="15" hidden="false" customHeight="false" outlineLevel="0" collapsed="false">
      <c r="A420" s="23"/>
      <c r="B420" s="23"/>
      <c r="C420" s="23"/>
      <c r="D420" s="23"/>
      <c r="E420" s="23"/>
      <c r="F420" s="23"/>
      <c r="G420" s="23"/>
      <c r="H420" s="23"/>
      <c r="I420" s="23"/>
      <c r="J420" s="23"/>
      <c r="K420" s="24"/>
      <c r="L420" s="23"/>
      <c r="M420" s="25"/>
      <c r="N420" s="25"/>
      <c r="O420" s="23"/>
      <c r="P420" s="26"/>
      <c r="Q420" s="26"/>
      <c r="R420" s="27" t="str">
        <f aca="false">IF(AND(ISNUMBER(P420),ISNUMBER(Q420)),P420-Q420,"")</f>
        <v/>
      </c>
      <c r="S420" s="24"/>
      <c r="T420" s="28" t="str">
        <f aca="false">IF(S420&lt;&gt;"",S420,IF(B420="","",IFERROR(IF(INDEX(Batches!$G$5:$G$64,MATCH(B420,Batches!$A$5:$A$64,0))="","",INDEX(Batches!$G$5:$G$64,MATCH(B420,Batches!$A$5:$A$64,0))),"")))</f>
        <v/>
      </c>
      <c r="U420" s="23"/>
      <c r="V420" s="24"/>
      <c r="W420" s="28" t="str">
        <f aca="false">IF(OR(X420="",X420="Pending"),"",IF(V420&lt;&gt;"",V420,IFERROR(IF(INDEX(Batches!$H$5:$H$64,MATCH(B420,Batches!$A$5:$A$64,0))="","",INDEX(Batches!$H$5:$H$64,MATCH(B420,Batches!$A$5:$A$64,0))),"")))</f>
        <v/>
      </c>
      <c r="X420" s="23"/>
      <c r="Y420" s="23"/>
      <c r="Z420" s="26"/>
      <c r="AA420" s="27" t="str">
        <f aca="false">IF(R420="","",IF(X420="Not accepted",R420,IF(OR(X420="Accepted",X420="Withdrawn by hospital"),IF(X420="Accepted",0,R420),IF(ISNUMBER(Z420),R420-Z420,""))))</f>
        <v/>
      </c>
      <c r="AB420" s="23"/>
      <c r="AC420" s="25"/>
      <c r="AD420" s="23"/>
      <c r="AE420" s="23"/>
      <c r="AF420" s="24"/>
      <c r="AG420" s="23"/>
      <c r="AH420" s="24"/>
      <c r="AI420" s="29" t="str">
        <f aca="false">IF(X420="Not accepted","Maintained",IF(X420="Partially accepted","Partially maintained",IF(X420="Accepted","Reversed",IF(X420="Withdrawn by hospital","Withdrawn by hospital",""))))</f>
        <v/>
      </c>
      <c r="AJ420" s="28" t="str">
        <f aca="false">IF(AI420="","",W420)</f>
        <v/>
      </c>
      <c r="AK420" s="29" t="str">
        <f aca="false">IF(AND(ISNUMBER(T420),ISNUMBER(W420)),W420-T420,"")</f>
        <v/>
      </c>
      <c r="AL420" s="29" t="str">
        <f aca="false">IF(A420="","",SUMIF(Actions!$C$5:$C$1004,A420,Actions!$F$5:$F$1004))</f>
        <v/>
      </c>
      <c r="AM420" s="25"/>
    </row>
    <row r="421" customFormat="false" ht="15" hidden="false" customHeight="false" outlineLevel="0" collapsed="false">
      <c r="A421" s="23"/>
      <c r="B421" s="23"/>
      <c r="C421" s="23"/>
      <c r="D421" s="23"/>
      <c r="E421" s="23"/>
      <c r="F421" s="23"/>
      <c r="G421" s="23"/>
      <c r="H421" s="23"/>
      <c r="I421" s="23"/>
      <c r="J421" s="23"/>
      <c r="K421" s="24"/>
      <c r="L421" s="23"/>
      <c r="M421" s="25"/>
      <c r="N421" s="25"/>
      <c r="O421" s="23"/>
      <c r="P421" s="26"/>
      <c r="Q421" s="26"/>
      <c r="R421" s="27" t="str">
        <f aca="false">IF(AND(ISNUMBER(P421),ISNUMBER(Q421)),P421-Q421,"")</f>
        <v/>
      </c>
      <c r="S421" s="24"/>
      <c r="T421" s="28" t="str">
        <f aca="false">IF(S421&lt;&gt;"",S421,IF(B421="","",IFERROR(IF(INDEX(Batches!$G$5:$G$64,MATCH(B421,Batches!$A$5:$A$64,0))="","",INDEX(Batches!$G$5:$G$64,MATCH(B421,Batches!$A$5:$A$64,0))),"")))</f>
        <v/>
      </c>
      <c r="U421" s="23"/>
      <c r="V421" s="24"/>
      <c r="W421" s="28" t="str">
        <f aca="false">IF(OR(X421="",X421="Pending"),"",IF(V421&lt;&gt;"",V421,IFERROR(IF(INDEX(Batches!$H$5:$H$64,MATCH(B421,Batches!$A$5:$A$64,0))="","",INDEX(Batches!$H$5:$H$64,MATCH(B421,Batches!$A$5:$A$64,0))),"")))</f>
        <v/>
      </c>
      <c r="X421" s="23"/>
      <c r="Y421" s="23"/>
      <c r="Z421" s="26"/>
      <c r="AA421" s="27" t="str">
        <f aca="false">IF(R421="","",IF(X421="Not accepted",R421,IF(OR(X421="Accepted",X421="Withdrawn by hospital"),IF(X421="Accepted",0,R421),IF(ISNUMBER(Z421),R421-Z421,""))))</f>
        <v/>
      </c>
      <c r="AB421" s="23"/>
      <c r="AC421" s="25"/>
      <c r="AD421" s="23"/>
      <c r="AE421" s="23"/>
      <c r="AF421" s="24"/>
      <c r="AG421" s="23"/>
      <c r="AH421" s="24"/>
      <c r="AI421" s="29" t="str">
        <f aca="false">IF(X421="Not accepted","Maintained",IF(X421="Partially accepted","Partially maintained",IF(X421="Accepted","Reversed",IF(X421="Withdrawn by hospital","Withdrawn by hospital",""))))</f>
        <v/>
      </c>
      <c r="AJ421" s="28" t="str">
        <f aca="false">IF(AI421="","",W421)</f>
        <v/>
      </c>
      <c r="AK421" s="29" t="str">
        <f aca="false">IF(AND(ISNUMBER(T421),ISNUMBER(W421)),W421-T421,"")</f>
        <v/>
      </c>
      <c r="AL421" s="29" t="str">
        <f aca="false">IF(A421="","",SUMIF(Actions!$C$5:$C$1004,A421,Actions!$F$5:$F$1004))</f>
        <v/>
      </c>
      <c r="AM421" s="25"/>
    </row>
    <row r="422" customFormat="false" ht="15" hidden="false" customHeight="false" outlineLevel="0" collapsed="false">
      <c r="A422" s="23"/>
      <c r="B422" s="23"/>
      <c r="C422" s="23"/>
      <c r="D422" s="23"/>
      <c r="E422" s="23"/>
      <c r="F422" s="23"/>
      <c r="G422" s="23"/>
      <c r="H422" s="23"/>
      <c r="I422" s="23"/>
      <c r="J422" s="23"/>
      <c r="K422" s="24"/>
      <c r="L422" s="23"/>
      <c r="M422" s="25"/>
      <c r="N422" s="25"/>
      <c r="O422" s="23"/>
      <c r="P422" s="26"/>
      <c r="Q422" s="26"/>
      <c r="R422" s="27" t="str">
        <f aca="false">IF(AND(ISNUMBER(P422),ISNUMBER(Q422)),P422-Q422,"")</f>
        <v/>
      </c>
      <c r="S422" s="24"/>
      <c r="T422" s="28" t="str">
        <f aca="false">IF(S422&lt;&gt;"",S422,IF(B422="","",IFERROR(IF(INDEX(Batches!$G$5:$G$64,MATCH(B422,Batches!$A$5:$A$64,0))="","",INDEX(Batches!$G$5:$G$64,MATCH(B422,Batches!$A$5:$A$64,0))),"")))</f>
        <v/>
      </c>
      <c r="U422" s="23"/>
      <c r="V422" s="24"/>
      <c r="W422" s="28" t="str">
        <f aca="false">IF(OR(X422="",X422="Pending"),"",IF(V422&lt;&gt;"",V422,IFERROR(IF(INDEX(Batches!$H$5:$H$64,MATCH(B422,Batches!$A$5:$A$64,0))="","",INDEX(Batches!$H$5:$H$64,MATCH(B422,Batches!$A$5:$A$64,0))),"")))</f>
        <v/>
      </c>
      <c r="X422" s="23"/>
      <c r="Y422" s="23"/>
      <c r="Z422" s="26"/>
      <c r="AA422" s="27" t="str">
        <f aca="false">IF(R422="","",IF(X422="Not accepted",R422,IF(OR(X422="Accepted",X422="Withdrawn by hospital"),IF(X422="Accepted",0,R422),IF(ISNUMBER(Z422),R422-Z422,""))))</f>
        <v/>
      </c>
      <c r="AB422" s="23"/>
      <c r="AC422" s="25"/>
      <c r="AD422" s="23"/>
      <c r="AE422" s="23"/>
      <c r="AF422" s="24"/>
      <c r="AG422" s="23"/>
      <c r="AH422" s="24"/>
      <c r="AI422" s="29" t="str">
        <f aca="false">IF(X422="Not accepted","Maintained",IF(X422="Partially accepted","Partially maintained",IF(X422="Accepted","Reversed",IF(X422="Withdrawn by hospital","Withdrawn by hospital",""))))</f>
        <v/>
      </c>
      <c r="AJ422" s="28" t="str">
        <f aca="false">IF(AI422="","",W422)</f>
        <v/>
      </c>
      <c r="AK422" s="29" t="str">
        <f aca="false">IF(AND(ISNUMBER(T422),ISNUMBER(W422)),W422-T422,"")</f>
        <v/>
      </c>
      <c r="AL422" s="29" t="str">
        <f aca="false">IF(A422="","",SUMIF(Actions!$C$5:$C$1004,A422,Actions!$F$5:$F$1004))</f>
        <v/>
      </c>
      <c r="AM422" s="25"/>
    </row>
    <row r="423" customFormat="false" ht="15" hidden="false" customHeight="false" outlineLevel="0" collapsed="false">
      <c r="A423" s="23"/>
      <c r="B423" s="23"/>
      <c r="C423" s="23"/>
      <c r="D423" s="23"/>
      <c r="E423" s="23"/>
      <c r="F423" s="23"/>
      <c r="G423" s="23"/>
      <c r="H423" s="23"/>
      <c r="I423" s="23"/>
      <c r="J423" s="23"/>
      <c r="K423" s="24"/>
      <c r="L423" s="23"/>
      <c r="M423" s="25"/>
      <c r="N423" s="25"/>
      <c r="O423" s="23"/>
      <c r="P423" s="26"/>
      <c r="Q423" s="26"/>
      <c r="R423" s="27" t="str">
        <f aca="false">IF(AND(ISNUMBER(P423),ISNUMBER(Q423)),P423-Q423,"")</f>
        <v/>
      </c>
      <c r="S423" s="24"/>
      <c r="T423" s="28" t="str">
        <f aca="false">IF(S423&lt;&gt;"",S423,IF(B423="","",IFERROR(IF(INDEX(Batches!$G$5:$G$64,MATCH(B423,Batches!$A$5:$A$64,0))="","",INDEX(Batches!$G$5:$G$64,MATCH(B423,Batches!$A$5:$A$64,0))),"")))</f>
        <v/>
      </c>
      <c r="U423" s="23"/>
      <c r="V423" s="24"/>
      <c r="W423" s="28" t="str">
        <f aca="false">IF(OR(X423="",X423="Pending"),"",IF(V423&lt;&gt;"",V423,IFERROR(IF(INDEX(Batches!$H$5:$H$64,MATCH(B423,Batches!$A$5:$A$64,0))="","",INDEX(Batches!$H$5:$H$64,MATCH(B423,Batches!$A$5:$A$64,0))),"")))</f>
        <v/>
      </c>
      <c r="X423" s="23"/>
      <c r="Y423" s="23"/>
      <c r="Z423" s="26"/>
      <c r="AA423" s="27" t="str">
        <f aca="false">IF(R423="","",IF(X423="Not accepted",R423,IF(OR(X423="Accepted",X423="Withdrawn by hospital"),IF(X423="Accepted",0,R423),IF(ISNUMBER(Z423),R423-Z423,""))))</f>
        <v/>
      </c>
      <c r="AB423" s="23"/>
      <c r="AC423" s="25"/>
      <c r="AD423" s="23"/>
      <c r="AE423" s="23"/>
      <c r="AF423" s="24"/>
      <c r="AG423" s="23"/>
      <c r="AH423" s="24"/>
      <c r="AI423" s="29" t="str">
        <f aca="false">IF(X423="Not accepted","Maintained",IF(X423="Partially accepted","Partially maintained",IF(X423="Accepted","Reversed",IF(X423="Withdrawn by hospital","Withdrawn by hospital",""))))</f>
        <v/>
      </c>
      <c r="AJ423" s="28" t="str">
        <f aca="false">IF(AI423="","",W423)</f>
        <v/>
      </c>
      <c r="AK423" s="29" t="str">
        <f aca="false">IF(AND(ISNUMBER(T423),ISNUMBER(W423)),W423-T423,"")</f>
        <v/>
      </c>
      <c r="AL423" s="29" t="str">
        <f aca="false">IF(A423="","",SUMIF(Actions!$C$5:$C$1004,A423,Actions!$F$5:$F$1004))</f>
        <v/>
      </c>
      <c r="AM423" s="25"/>
    </row>
    <row r="424" customFormat="false" ht="15" hidden="false" customHeight="false" outlineLevel="0" collapsed="false">
      <c r="A424" s="23"/>
      <c r="B424" s="23"/>
      <c r="C424" s="23"/>
      <c r="D424" s="23"/>
      <c r="E424" s="23"/>
      <c r="F424" s="23"/>
      <c r="G424" s="23"/>
      <c r="H424" s="23"/>
      <c r="I424" s="23"/>
      <c r="J424" s="23"/>
      <c r="K424" s="24"/>
      <c r="L424" s="23"/>
      <c r="M424" s="25"/>
      <c r="N424" s="25"/>
      <c r="O424" s="23"/>
      <c r="P424" s="26"/>
      <c r="Q424" s="26"/>
      <c r="R424" s="27" t="str">
        <f aca="false">IF(AND(ISNUMBER(P424),ISNUMBER(Q424)),P424-Q424,"")</f>
        <v/>
      </c>
      <c r="S424" s="24"/>
      <c r="T424" s="28" t="str">
        <f aca="false">IF(S424&lt;&gt;"",S424,IF(B424="","",IFERROR(IF(INDEX(Batches!$G$5:$G$64,MATCH(B424,Batches!$A$5:$A$64,0))="","",INDEX(Batches!$G$5:$G$64,MATCH(B424,Batches!$A$5:$A$64,0))),"")))</f>
        <v/>
      </c>
      <c r="U424" s="23"/>
      <c r="V424" s="24"/>
      <c r="W424" s="28" t="str">
        <f aca="false">IF(OR(X424="",X424="Pending"),"",IF(V424&lt;&gt;"",V424,IFERROR(IF(INDEX(Batches!$H$5:$H$64,MATCH(B424,Batches!$A$5:$A$64,0))="","",INDEX(Batches!$H$5:$H$64,MATCH(B424,Batches!$A$5:$A$64,0))),"")))</f>
        <v/>
      </c>
      <c r="X424" s="23"/>
      <c r="Y424" s="23"/>
      <c r="Z424" s="26"/>
      <c r="AA424" s="27" t="str">
        <f aca="false">IF(R424="","",IF(X424="Not accepted",R424,IF(OR(X424="Accepted",X424="Withdrawn by hospital"),IF(X424="Accepted",0,R424),IF(ISNUMBER(Z424),R424-Z424,""))))</f>
        <v/>
      </c>
      <c r="AB424" s="23"/>
      <c r="AC424" s="25"/>
      <c r="AD424" s="23"/>
      <c r="AE424" s="23"/>
      <c r="AF424" s="24"/>
      <c r="AG424" s="23"/>
      <c r="AH424" s="24"/>
      <c r="AI424" s="29" t="str">
        <f aca="false">IF(X424="Not accepted","Maintained",IF(X424="Partially accepted","Partially maintained",IF(X424="Accepted","Reversed",IF(X424="Withdrawn by hospital","Withdrawn by hospital",""))))</f>
        <v/>
      </c>
      <c r="AJ424" s="28" t="str">
        <f aca="false">IF(AI424="","",W424)</f>
        <v/>
      </c>
      <c r="AK424" s="29" t="str">
        <f aca="false">IF(AND(ISNUMBER(T424),ISNUMBER(W424)),W424-T424,"")</f>
        <v/>
      </c>
      <c r="AL424" s="29" t="str">
        <f aca="false">IF(A424="","",SUMIF(Actions!$C$5:$C$1004,A424,Actions!$F$5:$F$1004))</f>
        <v/>
      </c>
      <c r="AM424" s="25"/>
    </row>
    <row r="425" customFormat="false" ht="15" hidden="false" customHeight="false" outlineLevel="0" collapsed="false">
      <c r="A425" s="23"/>
      <c r="B425" s="23"/>
      <c r="C425" s="23"/>
      <c r="D425" s="23"/>
      <c r="E425" s="23"/>
      <c r="F425" s="23"/>
      <c r="G425" s="23"/>
      <c r="H425" s="23"/>
      <c r="I425" s="23"/>
      <c r="J425" s="23"/>
      <c r="K425" s="24"/>
      <c r="L425" s="23"/>
      <c r="M425" s="25"/>
      <c r="N425" s="25"/>
      <c r="O425" s="23"/>
      <c r="P425" s="26"/>
      <c r="Q425" s="26"/>
      <c r="R425" s="27" t="str">
        <f aca="false">IF(AND(ISNUMBER(P425),ISNUMBER(Q425)),P425-Q425,"")</f>
        <v/>
      </c>
      <c r="S425" s="24"/>
      <c r="T425" s="28" t="str">
        <f aca="false">IF(S425&lt;&gt;"",S425,IF(B425="","",IFERROR(IF(INDEX(Batches!$G$5:$G$64,MATCH(B425,Batches!$A$5:$A$64,0))="","",INDEX(Batches!$G$5:$G$64,MATCH(B425,Batches!$A$5:$A$64,0))),"")))</f>
        <v/>
      </c>
      <c r="U425" s="23"/>
      <c r="V425" s="24"/>
      <c r="W425" s="28" t="str">
        <f aca="false">IF(OR(X425="",X425="Pending"),"",IF(V425&lt;&gt;"",V425,IFERROR(IF(INDEX(Batches!$H$5:$H$64,MATCH(B425,Batches!$A$5:$A$64,0))="","",INDEX(Batches!$H$5:$H$64,MATCH(B425,Batches!$A$5:$A$64,0))),"")))</f>
        <v/>
      </c>
      <c r="X425" s="23"/>
      <c r="Y425" s="23"/>
      <c r="Z425" s="26"/>
      <c r="AA425" s="27" t="str">
        <f aca="false">IF(R425="","",IF(X425="Not accepted",R425,IF(OR(X425="Accepted",X425="Withdrawn by hospital"),IF(X425="Accepted",0,R425),IF(ISNUMBER(Z425),R425-Z425,""))))</f>
        <v/>
      </c>
      <c r="AB425" s="23"/>
      <c r="AC425" s="25"/>
      <c r="AD425" s="23"/>
      <c r="AE425" s="23"/>
      <c r="AF425" s="24"/>
      <c r="AG425" s="23"/>
      <c r="AH425" s="24"/>
      <c r="AI425" s="29" t="str">
        <f aca="false">IF(X425="Not accepted","Maintained",IF(X425="Partially accepted","Partially maintained",IF(X425="Accepted","Reversed",IF(X425="Withdrawn by hospital","Withdrawn by hospital",""))))</f>
        <v/>
      </c>
      <c r="AJ425" s="28" t="str">
        <f aca="false">IF(AI425="","",W425)</f>
        <v/>
      </c>
      <c r="AK425" s="29" t="str">
        <f aca="false">IF(AND(ISNUMBER(T425),ISNUMBER(W425)),W425-T425,"")</f>
        <v/>
      </c>
      <c r="AL425" s="29" t="str">
        <f aca="false">IF(A425="","",SUMIF(Actions!$C$5:$C$1004,A425,Actions!$F$5:$F$1004))</f>
        <v/>
      </c>
      <c r="AM425" s="25"/>
    </row>
    <row r="426" customFormat="false" ht="15" hidden="false" customHeight="false" outlineLevel="0" collapsed="false">
      <c r="A426" s="23"/>
      <c r="B426" s="23"/>
      <c r="C426" s="23"/>
      <c r="D426" s="23"/>
      <c r="E426" s="23"/>
      <c r="F426" s="23"/>
      <c r="G426" s="23"/>
      <c r="H426" s="23"/>
      <c r="I426" s="23"/>
      <c r="J426" s="23"/>
      <c r="K426" s="24"/>
      <c r="L426" s="23"/>
      <c r="M426" s="25"/>
      <c r="N426" s="25"/>
      <c r="O426" s="23"/>
      <c r="P426" s="26"/>
      <c r="Q426" s="26"/>
      <c r="R426" s="27" t="str">
        <f aca="false">IF(AND(ISNUMBER(P426),ISNUMBER(Q426)),P426-Q426,"")</f>
        <v/>
      </c>
      <c r="S426" s="24"/>
      <c r="T426" s="28" t="str">
        <f aca="false">IF(S426&lt;&gt;"",S426,IF(B426="","",IFERROR(IF(INDEX(Batches!$G$5:$G$64,MATCH(B426,Batches!$A$5:$A$64,0))="","",INDEX(Batches!$G$5:$G$64,MATCH(B426,Batches!$A$5:$A$64,0))),"")))</f>
        <v/>
      </c>
      <c r="U426" s="23"/>
      <c r="V426" s="24"/>
      <c r="W426" s="28" t="str">
        <f aca="false">IF(OR(X426="",X426="Pending"),"",IF(V426&lt;&gt;"",V426,IFERROR(IF(INDEX(Batches!$H$5:$H$64,MATCH(B426,Batches!$A$5:$A$64,0))="","",INDEX(Batches!$H$5:$H$64,MATCH(B426,Batches!$A$5:$A$64,0))),"")))</f>
        <v/>
      </c>
      <c r="X426" s="23"/>
      <c r="Y426" s="23"/>
      <c r="Z426" s="26"/>
      <c r="AA426" s="27" t="str">
        <f aca="false">IF(R426="","",IF(X426="Not accepted",R426,IF(OR(X426="Accepted",X426="Withdrawn by hospital"),IF(X426="Accepted",0,R426),IF(ISNUMBER(Z426),R426-Z426,""))))</f>
        <v/>
      </c>
      <c r="AB426" s="23"/>
      <c r="AC426" s="25"/>
      <c r="AD426" s="23"/>
      <c r="AE426" s="23"/>
      <c r="AF426" s="24"/>
      <c r="AG426" s="23"/>
      <c r="AH426" s="24"/>
      <c r="AI426" s="29" t="str">
        <f aca="false">IF(X426="Not accepted","Maintained",IF(X426="Partially accepted","Partially maintained",IF(X426="Accepted","Reversed",IF(X426="Withdrawn by hospital","Withdrawn by hospital",""))))</f>
        <v/>
      </c>
      <c r="AJ426" s="28" t="str">
        <f aca="false">IF(AI426="","",W426)</f>
        <v/>
      </c>
      <c r="AK426" s="29" t="str">
        <f aca="false">IF(AND(ISNUMBER(T426),ISNUMBER(W426)),W426-T426,"")</f>
        <v/>
      </c>
      <c r="AL426" s="29" t="str">
        <f aca="false">IF(A426="","",SUMIF(Actions!$C$5:$C$1004,A426,Actions!$F$5:$F$1004))</f>
        <v/>
      </c>
      <c r="AM426" s="25"/>
    </row>
    <row r="427" customFormat="false" ht="15" hidden="false" customHeight="false" outlineLevel="0" collapsed="false">
      <c r="A427" s="23"/>
      <c r="B427" s="23"/>
      <c r="C427" s="23"/>
      <c r="D427" s="23"/>
      <c r="E427" s="23"/>
      <c r="F427" s="23"/>
      <c r="G427" s="23"/>
      <c r="H427" s="23"/>
      <c r="I427" s="23"/>
      <c r="J427" s="23"/>
      <c r="K427" s="24"/>
      <c r="L427" s="23"/>
      <c r="M427" s="25"/>
      <c r="N427" s="25"/>
      <c r="O427" s="23"/>
      <c r="P427" s="26"/>
      <c r="Q427" s="26"/>
      <c r="R427" s="27" t="str">
        <f aca="false">IF(AND(ISNUMBER(P427),ISNUMBER(Q427)),P427-Q427,"")</f>
        <v/>
      </c>
      <c r="S427" s="24"/>
      <c r="T427" s="28" t="str">
        <f aca="false">IF(S427&lt;&gt;"",S427,IF(B427="","",IFERROR(IF(INDEX(Batches!$G$5:$G$64,MATCH(B427,Batches!$A$5:$A$64,0))="","",INDEX(Batches!$G$5:$G$64,MATCH(B427,Batches!$A$5:$A$64,0))),"")))</f>
        <v/>
      </c>
      <c r="U427" s="23"/>
      <c r="V427" s="24"/>
      <c r="W427" s="28" t="str">
        <f aca="false">IF(OR(X427="",X427="Pending"),"",IF(V427&lt;&gt;"",V427,IFERROR(IF(INDEX(Batches!$H$5:$H$64,MATCH(B427,Batches!$A$5:$A$64,0))="","",INDEX(Batches!$H$5:$H$64,MATCH(B427,Batches!$A$5:$A$64,0))),"")))</f>
        <v/>
      </c>
      <c r="X427" s="23"/>
      <c r="Y427" s="23"/>
      <c r="Z427" s="26"/>
      <c r="AA427" s="27" t="str">
        <f aca="false">IF(R427="","",IF(X427="Not accepted",R427,IF(OR(X427="Accepted",X427="Withdrawn by hospital"),IF(X427="Accepted",0,R427),IF(ISNUMBER(Z427),R427-Z427,""))))</f>
        <v/>
      </c>
      <c r="AB427" s="23"/>
      <c r="AC427" s="25"/>
      <c r="AD427" s="23"/>
      <c r="AE427" s="23"/>
      <c r="AF427" s="24"/>
      <c r="AG427" s="23"/>
      <c r="AH427" s="24"/>
      <c r="AI427" s="29" t="str">
        <f aca="false">IF(X427="Not accepted","Maintained",IF(X427="Partially accepted","Partially maintained",IF(X427="Accepted","Reversed",IF(X427="Withdrawn by hospital","Withdrawn by hospital",""))))</f>
        <v/>
      </c>
      <c r="AJ427" s="28" t="str">
        <f aca="false">IF(AI427="","",W427)</f>
        <v/>
      </c>
      <c r="AK427" s="29" t="str">
        <f aca="false">IF(AND(ISNUMBER(T427),ISNUMBER(W427)),W427-T427,"")</f>
        <v/>
      </c>
      <c r="AL427" s="29" t="str">
        <f aca="false">IF(A427="","",SUMIF(Actions!$C$5:$C$1004,A427,Actions!$F$5:$F$1004))</f>
        <v/>
      </c>
      <c r="AM427" s="25"/>
    </row>
    <row r="428" customFormat="false" ht="15" hidden="false" customHeight="false" outlineLevel="0" collapsed="false">
      <c r="A428" s="23"/>
      <c r="B428" s="23"/>
      <c r="C428" s="23"/>
      <c r="D428" s="23"/>
      <c r="E428" s="23"/>
      <c r="F428" s="23"/>
      <c r="G428" s="23"/>
      <c r="H428" s="23"/>
      <c r="I428" s="23"/>
      <c r="J428" s="23"/>
      <c r="K428" s="24"/>
      <c r="L428" s="23"/>
      <c r="M428" s="25"/>
      <c r="N428" s="25"/>
      <c r="O428" s="23"/>
      <c r="P428" s="26"/>
      <c r="Q428" s="26"/>
      <c r="R428" s="27" t="str">
        <f aca="false">IF(AND(ISNUMBER(P428),ISNUMBER(Q428)),P428-Q428,"")</f>
        <v/>
      </c>
      <c r="S428" s="24"/>
      <c r="T428" s="28" t="str">
        <f aca="false">IF(S428&lt;&gt;"",S428,IF(B428="","",IFERROR(IF(INDEX(Batches!$G$5:$G$64,MATCH(B428,Batches!$A$5:$A$64,0))="","",INDEX(Batches!$G$5:$G$64,MATCH(B428,Batches!$A$5:$A$64,0))),"")))</f>
        <v/>
      </c>
      <c r="U428" s="23"/>
      <c r="V428" s="24"/>
      <c r="W428" s="28" t="str">
        <f aca="false">IF(OR(X428="",X428="Pending"),"",IF(V428&lt;&gt;"",V428,IFERROR(IF(INDEX(Batches!$H$5:$H$64,MATCH(B428,Batches!$A$5:$A$64,0))="","",INDEX(Batches!$H$5:$H$64,MATCH(B428,Batches!$A$5:$A$64,0))),"")))</f>
        <v/>
      </c>
      <c r="X428" s="23"/>
      <c r="Y428" s="23"/>
      <c r="Z428" s="26"/>
      <c r="AA428" s="27" t="str">
        <f aca="false">IF(R428="","",IF(X428="Not accepted",R428,IF(OR(X428="Accepted",X428="Withdrawn by hospital"),IF(X428="Accepted",0,R428),IF(ISNUMBER(Z428),R428-Z428,""))))</f>
        <v/>
      </c>
      <c r="AB428" s="23"/>
      <c r="AC428" s="25"/>
      <c r="AD428" s="23"/>
      <c r="AE428" s="23"/>
      <c r="AF428" s="24"/>
      <c r="AG428" s="23"/>
      <c r="AH428" s="24"/>
      <c r="AI428" s="29" t="str">
        <f aca="false">IF(X428="Not accepted","Maintained",IF(X428="Partially accepted","Partially maintained",IF(X428="Accepted","Reversed",IF(X428="Withdrawn by hospital","Withdrawn by hospital",""))))</f>
        <v/>
      </c>
      <c r="AJ428" s="28" t="str">
        <f aca="false">IF(AI428="","",W428)</f>
        <v/>
      </c>
      <c r="AK428" s="29" t="str">
        <f aca="false">IF(AND(ISNUMBER(T428),ISNUMBER(W428)),W428-T428,"")</f>
        <v/>
      </c>
      <c r="AL428" s="29" t="str">
        <f aca="false">IF(A428="","",SUMIF(Actions!$C$5:$C$1004,A428,Actions!$F$5:$F$1004))</f>
        <v/>
      </c>
      <c r="AM428" s="25"/>
    </row>
    <row r="429" customFormat="false" ht="15" hidden="false" customHeight="false" outlineLevel="0" collapsed="false">
      <c r="A429" s="23"/>
      <c r="B429" s="23"/>
      <c r="C429" s="23"/>
      <c r="D429" s="23"/>
      <c r="E429" s="23"/>
      <c r="F429" s="23"/>
      <c r="G429" s="23"/>
      <c r="H429" s="23"/>
      <c r="I429" s="23"/>
      <c r="J429" s="23"/>
      <c r="K429" s="24"/>
      <c r="L429" s="23"/>
      <c r="M429" s="25"/>
      <c r="N429" s="25"/>
      <c r="O429" s="23"/>
      <c r="P429" s="26"/>
      <c r="Q429" s="26"/>
      <c r="R429" s="27" t="str">
        <f aca="false">IF(AND(ISNUMBER(P429),ISNUMBER(Q429)),P429-Q429,"")</f>
        <v/>
      </c>
      <c r="S429" s="24"/>
      <c r="T429" s="28" t="str">
        <f aca="false">IF(S429&lt;&gt;"",S429,IF(B429="","",IFERROR(IF(INDEX(Batches!$G$5:$G$64,MATCH(B429,Batches!$A$5:$A$64,0))="","",INDEX(Batches!$G$5:$G$64,MATCH(B429,Batches!$A$5:$A$64,0))),"")))</f>
        <v/>
      </c>
      <c r="U429" s="23"/>
      <c r="V429" s="24"/>
      <c r="W429" s="28" t="str">
        <f aca="false">IF(OR(X429="",X429="Pending"),"",IF(V429&lt;&gt;"",V429,IFERROR(IF(INDEX(Batches!$H$5:$H$64,MATCH(B429,Batches!$A$5:$A$64,0))="","",INDEX(Batches!$H$5:$H$64,MATCH(B429,Batches!$A$5:$A$64,0))),"")))</f>
        <v/>
      </c>
      <c r="X429" s="23"/>
      <c r="Y429" s="23"/>
      <c r="Z429" s="26"/>
      <c r="AA429" s="27" t="str">
        <f aca="false">IF(R429="","",IF(X429="Not accepted",R429,IF(OR(X429="Accepted",X429="Withdrawn by hospital"),IF(X429="Accepted",0,R429),IF(ISNUMBER(Z429),R429-Z429,""))))</f>
        <v/>
      </c>
      <c r="AB429" s="23"/>
      <c r="AC429" s="25"/>
      <c r="AD429" s="23"/>
      <c r="AE429" s="23"/>
      <c r="AF429" s="24"/>
      <c r="AG429" s="23"/>
      <c r="AH429" s="24"/>
      <c r="AI429" s="29" t="str">
        <f aca="false">IF(X429="Not accepted","Maintained",IF(X429="Partially accepted","Partially maintained",IF(X429="Accepted","Reversed",IF(X429="Withdrawn by hospital","Withdrawn by hospital",""))))</f>
        <v/>
      </c>
      <c r="AJ429" s="28" t="str">
        <f aca="false">IF(AI429="","",W429)</f>
        <v/>
      </c>
      <c r="AK429" s="29" t="str">
        <f aca="false">IF(AND(ISNUMBER(T429),ISNUMBER(W429)),W429-T429,"")</f>
        <v/>
      </c>
      <c r="AL429" s="29" t="str">
        <f aca="false">IF(A429="","",SUMIF(Actions!$C$5:$C$1004,A429,Actions!$F$5:$F$1004))</f>
        <v/>
      </c>
      <c r="AM429" s="25"/>
    </row>
    <row r="430" customFormat="false" ht="15" hidden="false" customHeight="false" outlineLevel="0" collapsed="false">
      <c r="A430" s="23"/>
      <c r="B430" s="23"/>
      <c r="C430" s="23"/>
      <c r="D430" s="23"/>
      <c r="E430" s="23"/>
      <c r="F430" s="23"/>
      <c r="G430" s="23"/>
      <c r="H430" s="23"/>
      <c r="I430" s="23"/>
      <c r="J430" s="23"/>
      <c r="K430" s="24"/>
      <c r="L430" s="23"/>
      <c r="M430" s="25"/>
      <c r="N430" s="25"/>
      <c r="O430" s="23"/>
      <c r="P430" s="26"/>
      <c r="Q430" s="26"/>
      <c r="R430" s="27" t="str">
        <f aca="false">IF(AND(ISNUMBER(P430),ISNUMBER(Q430)),P430-Q430,"")</f>
        <v/>
      </c>
      <c r="S430" s="24"/>
      <c r="T430" s="28" t="str">
        <f aca="false">IF(S430&lt;&gt;"",S430,IF(B430="","",IFERROR(IF(INDEX(Batches!$G$5:$G$64,MATCH(B430,Batches!$A$5:$A$64,0))="","",INDEX(Batches!$G$5:$G$64,MATCH(B430,Batches!$A$5:$A$64,0))),"")))</f>
        <v/>
      </c>
      <c r="U430" s="23"/>
      <c r="V430" s="24"/>
      <c r="W430" s="28" t="str">
        <f aca="false">IF(OR(X430="",X430="Pending"),"",IF(V430&lt;&gt;"",V430,IFERROR(IF(INDEX(Batches!$H$5:$H$64,MATCH(B430,Batches!$A$5:$A$64,0))="","",INDEX(Batches!$H$5:$H$64,MATCH(B430,Batches!$A$5:$A$64,0))),"")))</f>
        <v/>
      </c>
      <c r="X430" s="23"/>
      <c r="Y430" s="23"/>
      <c r="Z430" s="26"/>
      <c r="AA430" s="27" t="str">
        <f aca="false">IF(R430="","",IF(X430="Not accepted",R430,IF(OR(X430="Accepted",X430="Withdrawn by hospital"),IF(X430="Accepted",0,R430),IF(ISNUMBER(Z430),R430-Z430,""))))</f>
        <v/>
      </c>
      <c r="AB430" s="23"/>
      <c r="AC430" s="25"/>
      <c r="AD430" s="23"/>
      <c r="AE430" s="23"/>
      <c r="AF430" s="24"/>
      <c r="AG430" s="23"/>
      <c r="AH430" s="24"/>
      <c r="AI430" s="29" t="str">
        <f aca="false">IF(X430="Not accepted","Maintained",IF(X430="Partially accepted","Partially maintained",IF(X430="Accepted","Reversed",IF(X430="Withdrawn by hospital","Withdrawn by hospital",""))))</f>
        <v/>
      </c>
      <c r="AJ430" s="28" t="str">
        <f aca="false">IF(AI430="","",W430)</f>
        <v/>
      </c>
      <c r="AK430" s="29" t="str">
        <f aca="false">IF(AND(ISNUMBER(T430),ISNUMBER(W430)),W430-T430,"")</f>
        <v/>
      </c>
      <c r="AL430" s="29" t="str">
        <f aca="false">IF(A430="","",SUMIF(Actions!$C$5:$C$1004,A430,Actions!$F$5:$F$1004))</f>
        <v/>
      </c>
      <c r="AM430" s="25"/>
    </row>
    <row r="431" customFormat="false" ht="15" hidden="false" customHeight="false" outlineLevel="0" collapsed="false">
      <c r="A431" s="23"/>
      <c r="B431" s="23"/>
      <c r="C431" s="23"/>
      <c r="D431" s="23"/>
      <c r="E431" s="23"/>
      <c r="F431" s="23"/>
      <c r="G431" s="23"/>
      <c r="H431" s="23"/>
      <c r="I431" s="23"/>
      <c r="J431" s="23"/>
      <c r="K431" s="24"/>
      <c r="L431" s="23"/>
      <c r="M431" s="25"/>
      <c r="N431" s="25"/>
      <c r="O431" s="23"/>
      <c r="P431" s="26"/>
      <c r="Q431" s="26"/>
      <c r="R431" s="27" t="str">
        <f aca="false">IF(AND(ISNUMBER(P431),ISNUMBER(Q431)),P431-Q431,"")</f>
        <v/>
      </c>
      <c r="S431" s="24"/>
      <c r="T431" s="28" t="str">
        <f aca="false">IF(S431&lt;&gt;"",S431,IF(B431="","",IFERROR(IF(INDEX(Batches!$G$5:$G$64,MATCH(B431,Batches!$A$5:$A$64,0))="","",INDEX(Batches!$G$5:$G$64,MATCH(B431,Batches!$A$5:$A$64,0))),"")))</f>
        <v/>
      </c>
      <c r="U431" s="23"/>
      <c r="V431" s="24"/>
      <c r="W431" s="28" t="str">
        <f aca="false">IF(OR(X431="",X431="Pending"),"",IF(V431&lt;&gt;"",V431,IFERROR(IF(INDEX(Batches!$H$5:$H$64,MATCH(B431,Batches!$A$5:$A$64,0))="","",INDEX(Batches!$H$5:$H$64,MATCH(B431,Batches!$A$5:$A$64,0))),"")))</f>
        <v/>
      </c>
      <c r="X431" s="23"/>
      <c r="Y431" s="23"/>
      <c r="Z431" s="26"/>
      <c r="AA431" s="27" t="str">
        <f aca="false">IF(R431="","",IF(X431="Not accepted",R431,IF(OR(X431="Accepted",X431="Withdrawn by hospital"),IF(X431="Accepted",0,R431),IF(ISNUMBER(Z431),R431-Z431,""))))</f>
        <v/>
      </c>
      <c r="AB431" s="23"/>
      <c r="AC431" s="25"/>
      <c r="AD431" s="23"/>
      <c r="AE431" s="23"/>
      <c r="AF431" s="24"/>
      <c r="AG431" s="23"/>
      <c r="AH431" s="24"/>
      <c r="AI431" s="29" t="str">
        <f aca="false">IF(X431="Not accepted","Maintained",IF(X431="Partially accepted","Partially maintained",IF(X431="Accepted","Reversed",IF(X431="Withdrawn by hospital","Withdrawn by hospital",""))))</f>
        <v/>
      </c>
      <c r="AJ431" s="28" t="str">
        <f aca="false">IF(AI431="","",W431)</f>
        <v/>
      </c>
      <c r="AK431" s="29" t="str">
        <f aca="false">IF(AND(ISNUMBER(T431),ISNUMBER(W431)),W431-T431,"")</f>
        <v/>
      </c>
      <c r="AL431" s="29" t="str">
        <f aca="false">IF(A431="","",SUMIF(Actions!$C$5:$C$1004,A431,Actions!$F$5:$F$1004))</f>
        <v/>
      </c>
      <c r="AM431" s="25"/>
    </row>
    <row r="432" customFormat="false" ht="15" hidden="false" customHeight="false" outlineLevel="0" collapsed="false">
      <c r="A432" s="23"/>
      <c r="B432" s="23"/>
      <c r="C432" s="23"/>
      <c r="D432" s="23"/>
      <c r="E432" s="23"/>
      <c r="F432" s="23"/>
      <c r="G432" s="23"/>
      <c r="H432" s="23"/>
      <c r="I432" s="23"/>
      <c r="J432" s="23"/>
      <c r="K432" s="24"/>
      <c r="L432" s="23"/>
      <c r="M432" s="25"/>
      <c r="N432" s="25"/>
      <c r="O432" s="23"/>
      <c r="P432" s="26"/>
      <c r="Q432" s="26"/>
      <c r="R432" s="27" t="str">
        <f aca="false">IF(AND(ISNUMBER(P432),ISNUMBER(Q432)),P432-Q432,"")</f>
        <v/>
      </c>
      <c r="S432" s="24"/>
      <c r="T432" s="28" t="str">
        <f aca="false">IF(S432&lt;&gt;"",S432,IF(B432="","",IFERROR(IF(INDEX(Batches!$G$5:$G$64,MATCH(B432,Batches!$A$5:$A$64,0))="","",INDEX(Batches!$G$5:$G$64,MATCH(B432,Batches!$A$5:$A$64,0))),"")))</f>
        <v/>
      </c>
      <c r="U432" s="23"/>
      <c r="V432" s="24"/>
      <c r="W432" s="28" t="str">
        <f aca="false">IF(OR(X432="",X432="Pending"),"",IF(V432&lt;&gt;"",V432,IFERROR(IF(INDEX(Batches!$H$5:$H$64,MATCH(B432,Batches!$A$5:$A$64,0))="","",INDEX(Batches!$H$5:$H$64,MATCH(B432,Batches!$A$5:$A$64,0))),"")))</f>
        <v/>
      </c>
      <c r="X432" s="23"/>
      <c r="Y432" s="23"/>
      <c r="Z432" s="26"/>
      <c r="AA432" s="27" t="str">
        <f aca="false">IF(R432="","",IF(X432="Not accepted",R432,IF(OR(X432="Accepted",X432="Withdrawn by hospital"),IF(X432="Accepted",0,R432),IF(ISNUMBER(Z432),R432-Z432,""))))</f>
        <v/>
      </c>
      <c r="AB432" s="23"/>
      <c r="AC432" s="25"/>
      <c r="AD432" s="23"/>
      <c r="AE432" s="23"/>
      <c r="AF432" s="24"/>
      <c r="AG432" s="23"/>
      <c r="AH432" s="24"/>
      <c r="AI432" s="29" t="str">
        <f aca="false">IF(X432="Not accepted","Maintained",IF(X432="Partially accepted","Partially maintained",IF(X432="Accepted","Reversed",IF(X432="Withdrawn by hospital","Withdrawn by hospital",""))))</f>
        <v/>
      </c>
      <c r="AJ432" s="28" t="str">
        <f aca="false">IF(AI432="","",W432)</f>
        <v/>
      </c>
      <c r="AK432" s="29" t="str">
        <f aca="false">IF(AND(ISNUMBER(T432),ISNUMBER(W432)),W432-T432,"")</f>
        <v/>
      </c>
      <c r="AL432" s="29" t="str">
        <f aca="false">IF(A432="","",SUMIF(Actions!$C$5:$C$1004,A432,Actions!$F$5:$F$1004))</f>
        <v/>
      </c>
      <c r="AM432" s="25"/>
    </row>
    <row r="433" customFormat="false" ht="15" hidden="false" customHeight="false" outlineLevel="0" collapsed="false">
      <c r="A433" s="23"/>
      <c r="B433" s="23"/>
      <c r="C433" s="23"/>
      <c r="D433" s="23"/>
      <c r="E433" s="23"/>
      <c r="F433" s="23"/>
      <c r="G433" s="23"/>
      <c r="H433" s="23"/>
      <c r="I433" s="23"/>
      <c r="J433" s="23"/>
      <c r="K433" s="24"/>
      <c r="L433" s="23"/>
      <c r="M433" s="25"/>
      <c r="N433" s="25"/>
      <c r="O433" s="23"/>
      <c r="P433" s="26"/>
      <c r="Q433" s="26"/>
      <c r="R433" s="27" t="str">
        <f aca="false">IF(AND(ISNUMBER(P433),ISNUMBER(Q433)),P433-Q433,"")</f>
        <v/>
      </c>
      <c r="S433" s="24"/>
      <c r="T433" s="28" t="str">
        <f aca="false">IF(S433&lt;&gt;"",S433,IF(B433="","",IFERROR(IF(INDEX(Batches!$G$5:$G$64,MATCH(B433,Batches!$A$5:$A$64,0))="","",INDEX(Batches!$G$5:$G$64,MATCH(B433,Batches!$A$5:$A$64,0))),"")))</f>
        <v/>
      </c>
      <c r="U433" s="23"/>
      <c r="V433" s="24"/>
      <c r="W433" s="28" t="str">
        <f aca="false">IF(OR(X433="",X433="Pending"),"",IF(V433&lt;&gt;"",V433,IFERROR(IF(INDEX(Batches!$H$5:$H$64,MATCH(B433,Batches!$A$5:$A$64,0))="","",INDEX(Batches!$H$5:$H$64,MATCH(B433,Batches!$A$5:$A$64,0))),"")))</f>
        <v/>
      </c>
      <c r="X433" s="23"/>
      <c r="Y433" s="23"/>
      <c r="Z433" s="26"/>
      <c r="AA433" s="27" t="str">
        <f aca="false">IF(R433="","",IF(X433="Not accepted",R433,IF(OR(X433="Accepted",X433="Withdrawn by hospital"),IF(X433="Accepted",0,R433),IF(ISNUMBER(Z433),R433-Z433,""))))</f>
        <v/>
      </c>
      <c r="AB433" s="23"/>
      <c r="AC433" s="25"/>
      <c r="AD433" s="23"/>
      <c r="AE433" s="23"/>
      <c r="AF433" s="24"/>
      <c r="AG433" s="23"/>
      <c r="AH433" s="24"/>
      <c r="AI433" s="29" t="str">
        <f aca="false">IF(X433="Not accepted","Maintained",IF(X433="Partially accepted","Partially maintained",IF(X433="Accepted","Reversed",IF(X433="Withdrawn by hospital","Withdrawn by hospital",""))))</f>
        <v/>
      </c>
      <c r="AJ433" s="28" t="str">
        <f aca="false">IF(AI433="","",W433)</f>
        <v/>
      </c>
      <c r="AK433" s="29" t="str">
        <f aca="false">IF(AND(ISNUMBER(T433),ISNUMBER(W433)),W433-T433,"")</f>
        <v/>
      </c>
      <c r="AL433" s="29" t="str">
        <f aca="false">IF(A433="","",SUMIF(Actions!$C$5:$C$1004,A433,Actions!$F$5:$F$1004))</f>
        <v/>
      </c>
      <c r="AM433" s="25"/>
    </row>
    <row r="434" customFormat="false" ht="15" hidden="false" customHeight="false" outlineLevel="0" collapsed="false">
      <c r="A434" s="23"/>
      <c r="B434" s="23"/>
      <c r="C434" s="23"/>
      <c r="D434" s="23"/>
      <c r="E434" s="23"/>
      <c r="F434" s="23"/>
      <c r="G434" s="23"/>
      <c r="H434" s="23"/>
      <c r="I434" s="23"/>
      <c r="J434" s="23"/>
      <c r="K434" s="24"/>
      <c r="L434" s="23"/>
      <c r="M434" s="25"/>
      <c r="N434" s="25"/>
      <c r="O434" s="23"/>
      <c r="P434" s="26"/>
      <c r="Q434" s="26"/>
      <c r="R434" s="27" t="str">
        <f aca="false">IF(AND(ISNUMBER(P434),ISNUMBER(Q434)),P434-Q434,"")</f>
        <v/>
      </c>
      <c r="S434" s="24"/>
      <c r="T434" s="28" t="str">
        <f aca="false">IF(S434&lt;&gt;"",S434,IF(B434="","",IFERROR(IF(INDEX(Batches!$G$5:$G$64,MATCH(B434,Batches!$A$5:$A$64,0))="","",INDEX(Batches!$G$5:$G$64,MATCH(B434,Batches!$A$5:$A$64,0))),"")))</f>
        <v/>
      </c>
      <c r="U434" s="23"/>
      <c r="V434" s="24"/>
      <c r="W434" s="28" t="str">
        <f aca="false">IF(OR(X434="",X434="Pending"),"",IF(V434&lt;&gt;"",V434,IFERROR(IF(INDEX(Batches!$H$5:$H$64,MATCH(B434,Batches!$A$5:$A$64,0))="","",INDEX(Batches!$H$5:$H$64,MATCH(B434,Batches!$A$5:$A$64,0))),"")))</f>
        <v/>
      </c>
      <c r="X434" s="23"/>
      <c r="Y434" s="23"/>
      <c r="Z434" s="26"/>
      <c r="AA434" s="27" t="str">
        <f aca="false">IF(R434="","",IF(X434="Not accepted",R434,IF(OR(X434="Accepted",X434="Withdrawn by hospital"),IF(X434="Accepted",0,R434),IF(ISNUMBER(Z434),R434-Z434,""))))</f>
        <v/>
      </c>
      <c r="AB434" s="23"/>
      <c r="AC434" s="25"/>
      <c r="AD434" s="23"/>
      <c r="AE434" s="23"/>
      <c r="AF434" s="24"/>
      <c r="AG434" s="23"/>
      <c r="AH434" s="24"/>
      <c r="AI434" s="29" t="str">
        <f aca="false">IF(X434="Not accepted","Maintained",IF(X434="Partially accepted","Partially maintained",IF(X434="Accepted","Reversed",IF(X434="Withdrawn by hospital","Withdrawn by hospital",""))))</f>
        <v/>
      </c>
      <c r="AJ434" s="28" t="str">
        <f aca="false">IF(AI434="","",W434)</f>
        <v/>
      </c>
      <c r="AK434" s="29" t="str">
        <f aca="false">IF(AND(ISNUMBER(T434),ISNUMBER(W434)),W434-T434,"")</f>
        <v/>
      </c>
      <c r="AL434" s="29" t="str">
        <f aca="false">IF(A434="","",SUMIF(Actions!$C$5:$C$1004,A434,Actions!$F$5:$F$1004))</f>
        <v/>
      </c>
      <c r="AM434" s="25"/>
    </row>
    <row r="435" customFormat="false" ht="15" hidden="false" customHeight="false" outlineLevel="0" collapsed="false">
      <c r="A435" s="23"/>
      <c r="B435" s="23"/>
      <c r="C435" s="23"/>
      <c r="D435" s="23"/>
      <c r="E435" s="23"/>
      <c r="F435" s="23"/>
      <c r="G435" s="23"/>
      <c r="H435" s="23"/>
      <c r="I435" s="23"/>
      <c r="J435" s="23"/>
      <c r="K435" s="24"/>
      <c r="L435" s="23"/>
      <c r="M435" s="25"/>
      <c r="N435" s="25"/>
      <c r="O435" s="23"/>
      <c r="P435" s="26"/>
      <c r="Q435" s="26"/>
      <c r="R435" s="27" t="str">
        <f aca="false">IF(AND(ISNUMBER(P435),ISNUMBER(Q435)),P435-Q435,"")</f>
        <v/>
      </c>
      <c r="S435" s="24"/>
      <c r="T435" s="28" t="str">
        <f aca="false">IF(S435&lt;&gt;"",S435,IF(B435="","",IFERROR(IF(INDEX(Batches!$G$5:$G$64,MATCH(B435,Batches!$A$5:$A$64,0))="","",INDEX(Batches!$G$5:$G$64,MATCH(B435,Batches!$A$5:$A$64,0))),"")))</f>
        <v/>
      </c>
      <c r="U435" s="23"/>
      <c r="V435" s="24"/>
      <c r="W435" s="28" t="str">
        <f aca="false">IF(OR(X435="",X435="Pending"),"",IF(V435&lt;&gt;"",V435,IFERROR(IF(INDEX(Batches!$H$5:$H$64,MATCH(B435,Batches!$A$5:$A$64,0))="","",INDEX(Batches!$H$5:$H$64,MATCH(B435,Batches!$A$5:$A$64,0))),"")))</f>
        <v/>
      </c>
      <c r="X435" s="23"/>
      <c r="Y435" s="23"/>
      <c r="Z435" s="26"/>
      <c r="AA435" s="27" t="str">
        <f aca="false">IF(R435="","",IF(X435="Not accepted",R435,IF(OR(X435="Accepted",X435="Withdrawn by hospital"),IF(X435="Accepted",0,R435),IF(ISNUMBER(Z435),R435-Z435,""))))</f>
        <v/>
      </c>
      <c r="AB435" s="23"/>
      <c r="AC435" s="25"/>
      <c r="AD435" s="23"/>
      <c r="AE435" s="23"/>
      <c r="AF435" s="24"/>
      <c r="AG435" s="23"/>
      <c r="AH435" s="24"/>
      <c r="AI435" s="29" t="str">
        <f aca="false">IF(X435="Not accepted","Maintained",IF(X435="Partially accepted","Partially maintained",IF(X435="Accepted","Reversed",IF(X435="Withdrawn by hospital","Withdrawn by hospital",""))))</f>
        <v/>
      </c>
      <c r="AJ435" s="28" t="str">
        <f aca="false">IF(AI435="","",W435)</f>
        <v/>
      </c>
      <c r="AK435" s="29" t="str">
        <f aca="false">IF(AND(ISNUMBER(T435),ISNUMBER(W435)),W435-T435,"")</f>
        <v/>
      </c>
      <c r="AL435" s="29" t="str">
        <f aca="false">IF(A435="","",SUMIF(Actions!$C$5:$C$1004,A435,Actions!$F$5:$F$1004))</f>
        <v/>
      </c>
      <c r="AM435" s="25"/>
    </row>
    <row r="436" customFormat="false" ht="15" hidden="false" customHeight="false" outlineLevel="0" collapsed="false">
      <c r="A436" s="23"/>
      <c r="B436" s="23"/>
      <c r="C436" s="23"/>
      <c r="D436" s="23"/>
      <c r="E436" s="23"/>
      <c r="F436" s="23"/>
      <c r="G436" s="23"/>
      <c r="H436" s="23"/>
      <c r="I436" s="23"/>
      <c r="J436" s="23"/>
      <c r="K436" s="24"/>
      <c r="L436" s="23"/>
      <c r="M436" s="25"/>
      <c r="N436" s="25"/>
      <c r="O436" s="23"/>
      <c r="P436" s="26"/>
      <c r="Q436" s="26"/>
      <c r="R436" s="27" t="str">
        <f aca="false">IF(AND(ISNUMBER(P436),ISNUMBER(Q436)),P436-Q436,"")</f>
        <v/>
      </c>
      <c r="S436" s="24"/>
      <c r="T436" s="28" t="str">
        <f aca="false">IF(S436&lt;&gt;"",S436,IF(B436="","",IFERROR(IF(INDEX(Batches!$G$5:$G$64,MATCH(B436,Batches!$A$5:$A$64,0))="","",INDEX(Batches!$G$5:$G$64,MATCH(B436,Batches!$A$5:$A$64,0))),"")))</f>
        <v/>
      </c>
      <c r="U436" s="23"/>
      <c r="V436" s="24"/>
      <c r="W436" s="28" t="str">
        <f aca="false">IF(OR(X436="",X436="Pending"),"",IF(V436&lt;&gt;"",V436,IFERROR(IF(INDEX(Batches!$H$5:$H$64,MATCH(B436,Batches!$A$5:$A$64,0))="","",INDEX(Batches!$H$5:$H$64,MATCH(B436,Batches!$A$5:$A$64,0))),"")))</f>
        <v/>
      </c>
      <c r="X436" s="23"/>
      <c r="Y436" s="23"/>
      <c r="Z436" s="26"/>
      <c r="AA436" s="27" t="str">
        <f aca="false">IF(R436="","",IF(X436="Not accepted",R436,IF(OR(X436="Accepted",X436="Withdrawn by hospital"),IF(X436="Accepted",0,R436),IF(ISNUMBER(Z436),R436-Z436,""))))</f>
        <v/>
      </c>
      <c r="AB436" s="23"/>
      <c r="AC436" s="25"/>
      <c r="AD436" s="23"/>
      <c r="AE436" s="23"/>
      <c r="AF436" s="24"/>
      <c r="AG436" s="23"/>
      <c r="AH436" s="24"/>
      <c r="AI436" s="29" t="str">
        <f aca="false">IF(X436="Not accepted","Maintained",IF(X436="Partially accepted","Partially maintained",IF(X436="Accepted","Reversed",IF(X436="Withdrawn by hospital","Withdrawn by hospital",""))))</f>
        <v/>
      </c>
      <c r="AJ436" s="28" t="str">
        <f aca="false">IF(AI436="","",W436)</f>
        <v/>
      </c>
      <c r="AK436" s="29" t="str">
        <f aca="false">IF(AND(ISNUMBER(T436),ISNUMBER(W436)),W436-T436,"")</f>
        <v/>
      </c>
      <c r="AL436" s="29" t="str">
        <f aca="false">IF(A436="","",SUMIF(Actions!$C$5:$C$1004,A436,Actions!$F$5:$F$1004))</f>
        <v/>
      </c>
      <c r="AM436" s="25"/>
    </row>
    <row r="437" customFormat="false" ht="15" hidden="false" customHeight="false" outlineLevel="0" collapsed="false">
      <c r="A437" s="23"/>
      <c r="B437" s="23"/>
      <c r="C437" s="23"/>
      <c r="D437" s="23"/>
      <c r="E437" s="23"/>
      <c r="F437" s="23"/>
      <c r="G437" s="23"/>
      <c r="H437" s="23"/>
      <c r="I437" s="23"/>
      <c r="J437" s="23"/>
      <c r="K437" s="24"/>
      <c r="L437" s="23"/>
      <c r="M437" s="25"/>
      <c r="N437" s="25"/>
      <c r="O437" s="23"/>
      <c r="P437" s="26"/>
      <c r="Q437" s="26"/>
      <c r="R437" s="27" t="str">
        <f aca="false">IF(AND(ISNUMBER(P437),ISNUMBER(Q437)),P437-Q437,"")</f>
        <v/>
      </c>
      <c r="S437" s="24"/>
      <c r="T437" s="28" t="str">
        <f aca="false">IF(S437&lt;&gt;"",S437,IF(B437="","",IFERROR(IF(INDEX(Batches!$G$5:$G$64,MATCH(B437,Batches!$A$5:$A$64,0))="","",INDEX(Batches!$G$5:$G$64,MATCH(B437,Batches!$A$5:$A$64,0))),"")))</f>
        <v/>
      </c>
      <c r="U437" s="23"/>
      <c r="V437" s="24"/>
      <c r="W437" s="28" t="str">
        <f aca="false">IF(OR(X437="",X437="Pending"),"",IF(V437&lt;&gt;"",V437,IFERROR(IF(INDEX(Batches!$H$5:$H$64,MATCH(B437,Batches!$A$5:$A$64,0))="","",INDEX(Batches!$H$5:$H$64,MATCH(B437,Batches!$A$5:$A$64,0))),"")))</f>
        <v/>
      </c>
      <c r="X437" s="23"/>
      <c r="Y437" s="23"/>
      <c r="Z437" s="26"/>
      <c r="AA437" s="27" t="str">
        <f aca="false">IF(R437="","",IF(X437="Not accepted",R437,IF(OR(X437="Accepted",X437="Withdrawn by hospital"),IF(X437="Accepted",0,R437),IF(ISNUMBER(Z437),R437-Z437,""))))</f>
        <v/>
      </c>
      <c r="AB437" s="23"/>
      <c r="AC437" s="25"/>
      <c r="AD437" s="23"/>
      <c r="AE437" s="23"/>
      <c r="AF437" s="24"/>
      <c r="AG437" s="23"/>
      <c r="AH437" s="24"/>
      <c r="AI437" s="29" t="str">
        <f aca="false">IF(X437="Not accepted","Maintained",IF(X437="Partially accepted","Partially maintained",IF(X437="Accepted","Reversed",IF(X437="Withdrawn by hospital","Withdrawn by hospital",""))))</f>
        <v/>
      </c>
      <c r="AJ437" s="28" t="str">
        <f aca="false">IF(AI437="","",W437)</f>
        <v/>
      </c>
      <c r="AK437" s="29" t="str">
        <f aca="false">IF(AND(ISNUMBER(T437),ISNUMBER(W437)),W437-T437,"")</f>
        <v/>
      </c>
      <c r="AL437" s="29" t="str">
        <f aca="false">IF(A437="","",SUMIF(Actions!$C$5:$C$1004,A437,Actions!$F$5:$F$1004))</f>
        <v/>
      </c>
      <c r="AM437" s="25"/>
    </row>
    <row r="438" customFormat="false" ht="15" hidden="false" customHeight="false" outlineLevel="0" collapsed="false">
      <c r="A438" s="23"/>
      <c r="B438" s="23"/>
      <c r="C438" s="23"/>
      <c r="D438" s="23"/>
      <c r="E438" s="23"/>
      <c r="F438" s="23"/>
      <c r="G438" s="23"/>
      <c r="H438" s="23"/>
      <c r="I438" s="23"/>
      <c r="J438" s="23"/>
      <c r="K438" s="24"/>
      <c r="L438" s="23"/>
      <c r="M438" s="25"/>
      <c r="N438" s="25"/>
      <c r="O438" s="23"/>
      <c r="P438" s="26"/>
      <c r="Q438" s="26"/>
      <c r="R438" s="27" t="str">
        <f aca="false">IF(AND(ISNUMBER(P438),ISNUMBER(Q438)),P438-Q438,"")</f>
        <v/>
      </c>
      <c r="S438" s="24"/>
      <c r="T438" s="28" t="str">
        <f aca="false">IF(S438&lt;&gt;"",S438,IF(B438="","",IFERROR(IF(INDEX(Batches!$G$5:$G$64,MATCH(B438,Batches!$A$5:$A$64,0))="","",INDEX(Batches!$G$5:$G$64,MATCH(B438,Batches!$A$5:$A$64,0))),"")))</f>
        <v/>
      </c>
      <c r="U438" s="23"/>
      <c r="V438" s="24"/>
      <c r="W438" s="28" t="str">
        <f aca="false">IF(OR(X438="",X438="Pending"),"",IF(V438&lt;&gt;"",V438,IFERROR(IF(INDEX(Batches!$H$5:$H$64,MATCH(B438,Batches!$A$5:$A$64,0))="","",INDEX(Batches!$H$5:$H$64,MATCH(B438,Batches!$A$5:$A$64,0))),"")))</f>
        <v/>
      </c>
      <c r="X438" s="23"/>
      <c r="Y438" s="23"/>
      <c r="Z438" s="26"/>
      <c r="AA438" s="27" t="str">
        <f aca="false">IF(R438="","",IF(X438="Not accepted",R438,IF(OR(X438="Accepted",X438="Withdrawn by hospital"),IF(X438="Accepted",0,R438),IF(ISNUMBER(Z438),R438-Z438,""))))</f>
        <v/>
      </c>
      <c r="AB438" s="23"/>
      <c r="AC438" s="25"/>
      <c r="AD438" s="23"/>
      <c r="AE438" s="23"/>
      <c r="AF438" s="24"/>
      <c r="AG438" s="23"/>
      <c r="AH438" s="24"/>
      <c r="AI438" s="29" t="str">
        <f aca="false">IF(X438="Not accepted","Maintained",IF(X438="Partially accepted","Partially maintained",IF(X438="Accepted","Reversed",IF(X438="Withdrawn by hospital","Withdrawn by hospital",""))))</f>
        <v/>
      </c>
      <c r="AJ438" s="28" t="str">
        <f aca="false">IF(AI438="","",W438)</f>
        <v/>
      </c>
      <c r="AK438" s="29" t="str">
        <f aca="false">IF(AND(ISNUMBER(T438),ISNUMBER(W438)),W438-T438,"")</f>
        <v/>
      </c>
      <c r="AL438" s="29" t="str">
        <f aca="false">IF(A438="","",SUMIF(Actions!$C$5:$C$1004,A438,Actions!$F$5:$F$1004))</f>
        <v/>
      </c>
      <c r="AM438" s="25"/>
    </row>
    <row r="439" customFormat="false" ht="15" hidden="false" customHeight="false" outlineLevel="0" collapsed="false">
      <c r="A439" s="23"/>
      <c r="B439" s="23"/>
      <c r="C439" s="23"/>
      <c r="D439" s="23"/>
      <c r="E439" s="23"/>
      <c r="F439" s="23"/>
      <c r="G439" s="23"/>
      <c r="H439" s="23"/>
      <c r="I439" s="23"/>
      <c r="J439" s="23"/>
      <c r="K439" s="24"/>
      <c r="L439" s="23"/>
      <c r="M439" s="25"/>
      <c r="N439" s="25"/>
      <c r="O439" s="23"/>
      <c r="P439" s="26"/>
      <c r="Q439" s="26"/>
      <c r="R439" s="27" t="str">
        <f aca="false">IF(AND(ISNUMBER(P439),ISNUMBER(Q439)),P439-Q439,"")</f>
        <v/>
      </c>
      <c r="S439" s="24"/>
      <c r="T439" s="28" t="str">
        <f aca="false">IF(S439&lt;&gt;"",S439,IF(B439="","",IFERROR(IF(INDEX(Batches!$G$5:$G$64,MATCH(B439,Batches!$A$5:$A$64,0))="","",INDEX(Batches!$G$5:$G$64,MATCH(B439,Batches!$A$5:$A$64,0))),"")))</f>
        <v/>
      </c>
      <c r="U439" s="23"/>
      <c r="V439" s="24"/>
      <c r="W439" s="28" t="str">
        <f aca="false">IF(OR(X439="",X439="Pending"),"",IF(V439&lt;&gt;"",V439,IFERROR(IF(INDEX(Batches!$H$5:$H$64,MATCH(B439,Batches!$A$5:$A$64,0))="","",INDEX(Batches!$H$5:$H$64,MATCH(B439,Batches!$A$5:$A$64,0))),"")))</f>
        <v/>
      </c>
      <c r="X439" s="23"/>
      <c r="Y439" s="23"/>
      <c r="Z439" s="26"/>
      <c r="AA439" s="27" t="str">
        <f aca="false">IF(R439="","",IF(X439="Not accepted",R439,IF(OR(X439="Accepted",X439="Withdrawn by hospital"),IF(X439="Accepted",0,R439),IF(ISNUMBER(Z439),R439-Z439,""))))</f>
        <v/>
      </c>
      <c r="AB439" s="23"/>
      <c r="AC439" s="25"/>
      <c r="AD439" s="23"/>
      <c r="AE439" s="23"/>
      <c r="AF439" s="24"/>
      <c r="AG439" s="23"/>
      <c r="AH439" s="24"/>
      <c r="AI439" s="29" t="str">
        <f aca="false">IF(X439="Not accepted","Maintained",IF(X439="Partially accepted","Partially maintained",IF(X439="Accepted","Reversed",IF(X439="Withdrawn by hospital","Withdrawn by hospital",""))))</f>
        <v/>
      </c>
      <c r="AJ439" s="28" t="str">
        <f aca="false">IF(AI439="","",W439)</f>
        <v/>
      </c>
      <c r="AK439" s="29" t="str">
        <f aca="false">IF(AND(ISNUMBER(T439),ISNUMBER(W439)),W439-T439,"")</f>
        <v/>
      </c>
      <c r="AL439" s="29" t="str">
        <f aca="false">IF(A439="","",SUMIF(Actions!$C$5:$C$1004,A439,Actions!$F$5:$F$1004))</f>
        <v/>
      </c>
      <c r="AM439" s="25"/>
    </row>
    <row r="440" customFormat="false" ht="15" hidden="false" customHeight="false" outlineLevel="0" collapsed="false">
      <c r="A440" s="23"/>
      <c r="B440" s="23"/>
      <c r="C440" s="23"/>
      <c r="D440" s="23"/>
      <c r="E440" s="23"/>
      <c r="F440" s="23"/>
      <c r="G440" s="23"/>
      <c r="H440" s="23"/>
      <c r="I440" s="23"/>
      <c r="J440" s="23"/>
      <c r="K440" s="24"/>
      <c r="L440" s="23"/>
      <c r="M440" s="25"/>
      <c r="N440" s="25"/>
      <c r="O440" s="23"/>
      <c r="P440" s="26"/>
      <c r="Q440" s="26"/>
      <c r="R440" s="27" t="str">
        <f aca="false">IF(AND(ISNUMBER(P440),ISNUMBER(Q440)),P440-Q440,"")</f>
        <v/>
      </c>
      <c r="S440" s="24"/>
      <c r="T440" s="28" t="str">
        <f aca="false">IF(S440&lt;&gt;"",S440,IF(B440="","",IFERROR(IF(INDEX(Batches!$G$5:$G$64,MATCH(B440,Batches!$A$5:$A$64,0))="","",INDEX(Batches!$G$5:$G$64,MATCH(B440,Batches!$A$5:$A$64,0))),"")))</f>
        <v/>
      </c>
      <c r="U440" s="23"/>
      <c r="V440" s="24"/>
      <c r="W440" s="28" t="str">
        <f aca="false">IF(OR(X440="",X440="Pending"),"",IF(V440&lt;&gt;"",V440,IFERROR(IF(INDEX(Batches!$H$5:$H$64,MATCH(B440,Batches!$A$5:$A$64,0))="","",INDEX(Batches!$H$5:$H$64,MATCH(B440,Batches!$A$5:$A$64,0))),"")))</f>
        <v/>
      </c>
      <c r="X440" s="23"/>
      <c r="Y440" s="23"/>
      <c r="Z440" s="26"/>
      <c r="AA440" s="27" t="str">
        <f aca="false">IF(R440="","",IF(X440="Not accepted",R440,IF(OR(X440="Accepted",X440="Withdrawn by hospital"),IF(X440="Accepted",0,R440),IF(ISNUMBER(Z440),R440-Z440,""))))</f>
        <v/>
      </c>
      <c r="AB440" s="23"/>
      <c r="AC440" s="25"/>
      <c r="AD440" s="23"/>
      <c r="AE440" s="23"/>
      <c r="AF440" s="24"/>
      <c r="AG440" s="23"/>
      <c r="AH440" s="24"/>
      <c r="AI440" s="29" t="str">
        <f aca="false">IF(X440="Not accepted","Maintained",IF(X440="Partially accepted","Partially maintained",IF(X440="Accepted","Reversed",IF(X440="Withdrawn by hospital","Withdrawn by hospital",""))))</f>
        <v/>
      </c>
      <c r="AJ440" s="28" t="str">
        <f aca="false">IF(AI440="","",W440)</f>
        <v/>
      </c>
      <c r="AK440" s="29" t="str">
        <f aca="false">IF(AND(ISNUMBER(T440),ISNUMBER(W440)),W440-T440,"")</f>
        <v/>
      </c>
      <c r="AL440" s="29" t="str">
        <f aca="false">IF(A440="","",SUMIF(Actions!$C$5:$C$1004,A440,Actions!$F$5:$F$1004))</f>
        <v/>
      </c>
      <c r="AM440" s="25"/>
    </row>
    <row r="441" customFormat="false" ht="15" hidden="false" customHeight="false" outlineLevel="0" collapsed="false">
      <c r="A441" s="23"/>
      <c r="B441" s="23"/>
      <c r="C441" s="23"/>
      <c r="D441" s="23"/>
      <c r="E441" s="23"/>
      <c r="F441" s="23"/>
      <c r="G441" s="23"/>
      <c r="H441" s="23"/>
      <c r="I441" s="23"/>
      <c r="J441" s="23"/>
      <c r="K441" s="24"/>
      <c r="L441" s="23"/>
      <c r="M441" s="25"/>
      <c r="N441" s="25"/>
      <c r="O441" s="23"/>
      <c r="P441" s="26"/>
      <c r="Q441" s="26"/>
      <c r="R441" s="27" t="str">
        <f aca="false">IF(AND(ISNUMBER(P441),ISNUMBER(Q441)),P441-Q441,"")</f>
        <v/>
      </c>
      <c r="S441" s="24"/>
      <c r="T441" s="28" t="str">
        <f aca="false">IF(S441&lt;&gt;"",S441,IF(B441="","",IFERROR(IF(INDEX(Batches!$G$5:$G$64,MATCH(B441,Batches!$A$5:$A$64,0))="","",INDEX(Batches!$G$5:$G$64,MATCH(B441,Batches!$A$5:$A$64,0))),"")))</f>
        <v/>
      </c>
      <c r="U441" s="23"/>
      <c r="V441" s="24"/>
      <c r="W441" s="28" t="str">
        <f aca="false">IF(OR(X441="",X441="Pending"),"",IF(V441&lt;&gt;"",V441,IFERROR(IF(INDEX(Batches!$H$5:$H$64,MATCH(B441,Batches!$A$5:$A$64,0))="","",INDEX(Batches!$H$5:$H$64,MATCH(B441,Batches!$A$5:$A$64,0))),"")))</f>
        <v/>
      </c>
      <c r="X441" s="23"/>
      <c r="Y441" s="23"/>
      <c r="Z441" s="26"/>
      <c r="AA441" s="27" t="str">
        <f aca="false">IF(R441="","",IF(X441="Not accepted",R441,IF(OR(X441="Accepted",X441="Withdrawn by hospital"),IF(X441="Accepted",0,R441),IF(ISNUMBER(Z441),R441-Z441,""))))</f>
        <v/>
      </c>
      <c r="AB441" s="23"/>
      <c r="AC441" s="25"/>
      <c r="AD441" s="23"/>
      <c r="AE441" s="23"/>
      <c r="AF441" s="24"/>
      <c r="AG441" s="23"/>
      <c r="AH441" s="24"/>
      <c r="AI441" s="29" t="str">
        <f aca="false">IF(X441="Not accepted","Maintained",IF(X441="Partially accepted","Partially maintained",IF(X441="Accepted","Reversed",IF(X441="Withdrawn by hospital","Withdrawn by hospital",""))))</f>
        <v/>
      </c>
      <c r="AJ441" s="28" t="str">
        <f aca="false">IF(AI441="","",W441)</f>
        <v/>
      </c>
      <c r="AK441" s="29" t="str">
        <f aca="false">IF(AND(ISNUMBER(T441),ISNUMBER(W441)),W441-T441,"")</f>
        <v/>
      </c>
      <c r="AL441" s="29" t="str">
        <f aca="false">IF(A441="","",SUMIF(Actions!$C$5:$C$1004,A441,Actions!$F$5:$F$1004))</f>
        <v/>
      </c>
      <c r="AM441" s="25"/>
    </row>
    <row r="442" customFormat="false" ht="15" hidden="false" customHeight="false" outlineLevel="0" collapsed="false">
      <c r="A442" s="23"/>
      <c r="B442" s="23"/>
      <c r="C442" s="23"/>
      <c r="D442" s="23"/>
      <c r="E442" s="23"/>
      <c r="F442" s="23"/>
      <c r="G442" s="23"/>
      <c r="H442" s="23"/>
      <c r="I442" s="23"/>
      <c r="J442" s="23"/>
      <c r="K442" s="24"/>
      <c r="L442" s="23"/>
      <c r="M442" s="25"/>
      <c r="N442" s="25"/>
      <c r="O442" s="23"/>
      <c r="P442" s="26"/>
      <c r="Q442" s="26"/>
      <c r="R442" s="27" t="str">
        <f aca="false">IF(AND(ISNUMBER(P442),ISNUMBER(Q442)),P442-Q442,"")</f>
        <v/>
      </c>
      <c r="S442" s="24"/>
      <c r="T442" s="28" t="str">
        <f aca="false">IF(S442&lt;&gt;"",S442,IF(B442="","",IFERROR(IF(INDEX(Batches!$G$5:$G$64,MATCH(B442,Batches!$A$5:$A$64,0))="","",INDEX(Batches!$G$5:$G$64,MATCH(B442,Batches!$A$5:$A$64,0))),"")))</f>
        <v/>
      </c>
      <c r="U442" s="23"/>
      <c r="V442" s="24"/>
      <c r="W442" s="28" t="str">
        <f aca="false">IF(OR(X442="",X442="Pending"),"",IF(V442&lt;&gt;"",V442,IFERROR(IF(INDEX(Batches!$H$5:$H$64,MATCH(B442,Batches!$A$5:$A$64,0))="","",INDEX(Batches!$H$5:$H$64,MATCH(B442,Batches!$A$5:$A$64,0))),"")))</f>
        <v/>
      </c>
      <c r="X442" s="23"/>
      <c r="Y442" s="23"/>
      <c r="Z442" s="26"/>
      <c r="AA442" s="27" t="str">
        <f aca="false">IF(R442="","",IF(X442="Not accepted",R442,IF(OR(X442="Accepted",X442="Withdrawn by hospital"),IF(X442="Accepted",0,R442),IF(ISNUMBER(Z442),R442-Z442,""))))</f>
        <v/>
      </c>
      <c r="AB442" s="23"/>
      <c r="AC442" s="25"/>
      <c r="AD442" s="23"/>
      <c r="AE442" s="23"/>
      <c r="AF442" s="24"/>
      <c r="AG442" s="23"/>
      <c r="AH442" s="24"/>
      <c r="AI442" s="29" t="str">
        <f aca="false">IF(X442="Not accepted","Maintained",IF(X442="Partially accepted","Partially maintained",IF(X442="Accepted","Reversed",IF(X442="Withdrawn by hospital","Withdrawn by hospital",""))))</f>
        <v/>
      </c>
      <c r="AJ442" s="28" t="str">
        <f aca="false">IF(AI442="","",W442)</f>
        <v/>
      </c>
      <c r="AK442" s="29" t="str">
        <f aca="false">IF(AND(ISNUMBER(T442),ISNUMBER(W442)),W442-T442,"")</f>
        <v/>
      </c>
      <c r="AL442" s="29" t="str">
        <f aca="false">IF(A442="","",SUMIF(Actions!$C$5:$C$1004,A442,Actions!$F$5:$F$1004))</f>
        <v/>
      </c>
      <c r="AM442" s="25"/>
    </row>
    <row r="443" customFormat="false" ht="15" hidden="false" customHeight="false" outlineLevel="0" collapsed="false">
      <c r="A443" s="23"/>
      <c r="B443" s="23"/>
      <c r="C443" s="23"/>
      <c r="D443" s="23"/>
      <c r="E443" s="23"/>
      <c r="F443" s="23"/>
      <c r="G443" s="23"/>
      <c r="H443" s="23"/>
      <c r="I443" s="23"/>
      <c r="J443" s="23"/>
      <c r="K443" s="24"/>
      <c r="L443" s="23"/>
      <c r="M443" s="25"/>
      <c r="N443" s="25"/>
      <c r="O443" s="23"/>
      <c r="P443" s="26"/>
      <c r="Q443" s="26"/>
      <c r="R443" s="27" t="str">
        <f aca="false">IF(AND(ISNUMBER(P443),ISNUMBER(Q443)),P443-Q443,"")</f>
        <v/>
      </c>
      <c r="S443" s="24"/>
      <c r="T443" s="28" t="str">
        <f aca="false">IF(S443&lt;&gt;"",S443,IF(B443="","",IFERROR(IF(INDEX(Batches!$G$5:$G$64,MATCH(B443,Batches!$A$5:$A$64,0))="","",INDEX(Batches!$G$5:$G$64,MATCH(B443,Batches!$A$5:$A$64,0))),"")))</f>
        <v/>
      </c>
      <c r="U443" s="23"/>
      <c r="V443" s="24"/>
      <c r="W443" s="28" t="str">
        <f aca="false">IF(OR(X443="",X443="Pending"),"",IF(V443&lt;&gt;"",V443,IFERROR(IF(INDEX(Batches!$H$5:$H$64,MATCH(B443,Batches!$A$5:$A$64,0))="","",INDEX(Batches!$H$5:$H$64,MATCH(B443,Batches!$A$5:$A$64,0))),"")))</f>
        <v/>
      </c>
      <c r="X443" s="23"/>
      <c r="Y443" s="23"/>
      <c r="Z443" s="26"/>
      <c r="AA443" s="27" t="str">
        <f aca="false">IF(R443="","",IF(X443="Not accepted",R443,IF(OR(X443="Accepted",X443="Withdrawn by hospital"),IF(X443="Accepted",0,R443),IF(ISNUMBER(Z443),R443-Z443,""))))</f>
        <v/>
      </c>
      <c r="AB443" s="23"/>
      <c r="AC443" s="25"/>
      <c r="AD443" s="23"/>
      <c r="AE443" s="23"/>
      <c r="AF443" s="24"/>
      <c r="AG443" s="23"/>
      <c r="AH443" s="24"/>
      <c r="AI443" s="29" t="str">
        <f aca="false">IF(X443="Not accepted","Maintained",IF(X443="Partially accepted","Partially maintained",IF(X443="Accepted","Reversed",IF(X443="Withdrawn by hospital","Withdrawn by hospital",""))))</f>
        <v/>
      </c>
      <c r="AJ443" s="28" t="str">
        <f aca="false">IF(AI443="","",W443)</f>
        <v/>
      </c>
      <c r="AK443" s="29" t="str">
        <f aca="false">IF(AND(ISNUMBER(T443),ISNUMBER(W443)),W443-T443,"")</f>
        <v/>
      </c>
      <c r="AL443" s="29" t="str">
        <f aca="false">IF(A443="","",SUMIF(Actions!$C$5:$C$1004,A443,Actions!$F$5:$F$1004))</f>
        <v/>
      </c>
      <c r="AM443" s="25"/>
    </row>
    <row r="444" customFormat="false" ht="15" hidden="false" customHeight="false" outlineLevel="0" collapsed="false">
      <c r="A444" s="23"/>
      <c r="B444" s="23"/>
      <c r="C444" s="23"/>
      <c r="D444" s="23"/>
      <c r="E444" s="23"/>
      <c r="F444" s="23"/>
      <c r="G444" s="23"/>
      <c r="H444" s="23"/>
      <c r="I444" s="23"/>
      <c r="J444" s="23"/>
      <c r="K444" s="24"/>
      <c r="L444" s="23"/>
      <c r="M444" s="25"/>
      <c r="N444" s="25"/>
      <c r="O444" s="23"/>
      <c r="P444" s="26"/>
      <c r="Q444" s="26"/>
      <c r="R444" s="27" t="str">
        <f aca="false">IF(AND(ISNUMBER(P444),ISNUMBER(Q444)),P444-Q444,"")</f>
        <v/>
      </c>
      <c r="S444" s="24"/>
      <c r="T444" s="28" t="str">
        <f aca="false">IF(S444&lt;&gt;"",S444,IF(B444="","",IFERROR(IF(INDEX(Batches!$G$5:$G$64,MATCH(B444,Batches!$A$5:$A$64,0))="","",INDEX(Batches!$G$5:$G$64,MATCH(B444,Batches!$A$5:$A$64,0))),"")))</f>
        <v/>
      </c>
      <c r="U444" s="23"/>
      <c r="V444" s="24"/>
      <c r="W444" s="28" t="str">
        <f aca="false">IF(OR(X444="",X444="Pending"),"",IF(V444&lt;&gt;"",V444,IFERROR(IF(INDEX(Batches!$H$5:$H$64,MATCH(B444,Batches!$A$5:$A$64,0))="","",INDEX(Batches!$H$5:$H$64,MATCH(B444,Batches!$A$5:$A$64,0))),"")))</f>
        <v/>
      </c>
      <c r="X444" s="23"/>
      <c r="Y444" s="23"/>
      <c r="Z444" s="26"/>
      <c r="AA444" s="27" t="str">
        <f aca="false">IF(R444="","",IF(X444="Not accepted",R444,IF(OR(X444="Accepted",X444="Withdrawn by hospital"),IF(X444="Accepted",0,R444),IF(ISNUMBER(Z444),R444-Z444,""))))</f>
        <v/>
      </c>
      <c r="AB444" s="23"/>
      <c r="AC444" s="25"/>
      <c r="AD444" s="23"/>
      <c r="AE444" s="23"/>
      <c r="AF444" s="24"/>
      <c r="AG444" s="23"/>
      <c r="AH444" s="24"/>
      <c r="AI444" s="29" t="str">
        <f aca="false">IF(X444="Not accepted","Maintained",IF(X444="Partially accepted","Partially maintained",IF(X444="Accepted","Reversed",IF(X444="Withdrawn by hospital","Withdrawn by hospital",""))))</f>
        <v/>
      </c>
      <c r="AJ444" s="28" t="str">
        <f aca="false">IF(AI444="","",W444)</f>
        <v/>
      </c>
      <c r="AK444" s="29" t="str">
        <f aca="false">IF(AND(ISNUMBER(T444),ISNUMBER(W444)),W444-T444,"")</f>
        <v/>
      </c>
      <c r="AL444" s="29" t="str">
        <f aca="false">IF(A444="","",SUMIF(Actions!$C$5:$C$1004,A444,Actions!$F$5:$F$1004))</f>
        <v/>
      </c>
      <c r="AM444" s="25"/>
    </row>
    <row r="445" customFormat="false" ht="15" hidden="false" customHeight="false" outlineLevel="0" collapsed="false">
      <c r="A445" s="23"/>
      <c r="B445" s="23"/>
      <c r="C445" s="23"/>
      <c r="D445" s="23"/>
      <c r="E445" s="23"/>
      <c r="F445" s="23"/>
      <c r="G445" s="23"/>
      <c r="H445" s="23"/>
      <c r="I445" s="23"/>
      <c r="J445" s="23"/>
      <c r="K445" s="24"/>
      <c r="L445" s="23"/>
      <c r="M445" s="25"/>
      <c r="N445" s="25"/>
      <c r="O445" s="23"/>
      <c r="P445" s="26"/>
      <c r="Q445" s="26"/>
      <c r="R445" s="27" t="str">
        <f aca="false">IF(AND(ISNUMBER(P445),ISNUMBER(Q445)),P445-Q445,"")</f>
        <v/>
      </c>
      <c r="S445" s="24"/>
      <c r="T445" s="28" t="str">
        <f aca="false">IF(S445&lt;&gt;"",S445,IF(B445="","",IFERROR(IF(INDEX(Batches!$G$5:$G$64,MATCH(B445,Batches!$A$5:$A$64,0))="","",INDEX(Batches!$G$5:$G$64,MATCH(B445,Batches!$A$5:$A$64,0))),"")))</f>
        <v/>
      </c>
      <c r="U445" s="23"/>
      <c r="V445" s="24"/>
      <c r="W445" s="28" t="str">
        <f aca="false">IF(OR(X445="",X445="Pending"),"",IF(V445&lt;&gt;"",V445,IFERROR(IF(INDEX(Batches!$H$5:$H$64,MATCH(B445,Batches!$A$5:$A$64,0))="","",INDEX(Batches!$H$5:$H$64,MATCH(B445,Batches!$A$5:$A$64,0))),"")))</f>
        <v/>
      </c>
      <c r="X445" s="23"/>
      <c r="Y445" s="23"/>
      <c r="Z445" s="26"/>
      <c r="AA445" s="27" t="str">
        <f aca="false">IF(R445="","",IF(X445="Not accepted",R445,IF(OR(X445="Accepted",X445="Withdrawn by hospital"),IF(X445="Accepted",0,R445),IF(ISNUMBER(Z445),R445-Z445,""))))</f>
        <v/>
      </c>
      <c r="AB445" s="23"/>
      <c r="AC445" s="25"/>
      <c r="AD445" s="23"/>
      <c r="AE445" s="23"/>
      <c r="AF445" s="24"/>
      <c r="AG445" s="23"/>
      <c r="AH445" s="24"/>
      <c r="AI445" s="29" t="str">
        <f aca="false">IF(X445="Not accepted","Maintained",IF(X445="Partially accepted","Partially maintained",IF(X445="Accepted","Reversed",IF(X445="Withdrawn by hospital","Withdrawn by hospital",""))))</f>
        <v/>
      </c>
      <c r="AJ445" s="28" t="str">
        <f aca="false">IF(AI445="","",W445)</f>
        <v/>
      </c>
      <c r="AK445" s="29" t="str">
        <f aca="false">IF(AND(ISNUMBER(T445),ISNUMBER(W445)),W445-T445,"")</f>
        <v/>
      </c>
      <c r="AL445" s="29" t="str">
        <f aca="false">IF(A445="","",SUMIF(Actions!$C$5:$C$1004,A445,Actions!$F$5:$F$1004))</f>
        <v/>
      </c>
      <c r="AM445" s="25"/>
    </row>
    <row r="446" customFormat="false" ht="15" hidden="false" customHeight="false" outlineLevel="0" collapsed="false">
      <c r="A446" s="23"/>
      <c r="B446" s="23"/>
      <c r="C446" s="23"/>
      <c r="D446" s="23"/>
      <c r="E446" s="23"/>
      <c r="F446" s="23"/>
      <c r="G446" s="23"/>
      <c r="H446" s="23"/>
      <c r="I446" s="23"/>
      <c r="J446" s="23"/>
      <c r="K446" s="24"/>
      <c r="L446" s="23"/>
      <c r="M446" s="25"/>
      <c r="N446" s="25"/>
      <c r="O446" s="23"/>
      <c r="P446" s="26"/>
      <c r="Q446" s="26"/>
      <c r="R446" s="27" t="str">
        <f aca="false">IF(AND(ISNUMBER(P446),ISNUMBER(Q446)),P446-Q446,"")</f>
        <v/>
      </c>
      <c r="S446" s="24"/>
      <c r="T446" s="28" t="str">
        <f aca="false">IF(S446&lt;&gt;"",S446,IF(B446="","",IFERROR(IF(INDEX(Batches!$G$5:$G$64,MATCH(B446,Batches!$A$5:$A$64,0))="","",INDEX(Batches!$G$5:$G$64,MATCH(B446,Batches!$A$5:$A$64,0))),"")))</f>
        <v/>
      </c>
      <c r="U446" s="23"/>
      <c r="V446" s="24"/>
      <c r="W446" s="28" t="str">
        <f aca="false">IF(OR(X446="",X446="Pending"),"",IF(V446&lt;&gt;"",V446,IFERROR(IF(INDEX(Batches!$H$5:$H$64,MATCH(B446,Batches!$A$5:$A$64,0))="","",INDEX(Batches!$H$5:$H$64,MATCH(B446,Batches!$A$5:$A$64,0))),"")))</f>
        <v/>
      </c>
      <c r="X446" s="23"/>
      <c r="Y446" s="23"/>
      <c r="Z446" s="26"/>
      <c r="AA446" s="27" t="str">
        <f aca="false">IF(R446="","",IF(X446="Not accepted",R446,IF(OR(X446="Accepted",X446="Withdrawn by hospital"),IF(X446="Accepted",0,R446),IF(ISNUMBER(Z446),R446-Z446,""))))</f>
        <v/>
      </c>
      <c r="AB446" s="23"/>
      <c r="AC446" s="25"/>
      <c r="AD446" s="23"/>
      <c r="AE446" s="23"/>
      <c r="AF446" s="24"/>
      <c r="AG446" s="23"/>
      <c r="AH446" s="24"/>
      <c r="AI446" s="29" t="str">
        <f aca="false">IF(X446="Not accepted","Maintained",IF(X446="Partially accepted","Partially maintained",IF(X446="Accepted","Reversed",IF(X446="Withdrawn by hospital","Withdrawn by hospital",""))))</f>
        <v/>
      </c>
      <c r="AJ446" s="28" t="str">
        <f aca="false">IF(AI446="","",W446)</f>
        <v/>
      </c>
      <c r="AK446" s="29" t="str">
        <f aca="false">IF(AND(ISNUMBER(T446),ISNUMBER(W446)),W446-T446,"")</f>
        <v/>
      </c>
      <c r="AL446" s="29" t="str">
        <f aca="false">IF(A446="","",SUMIF(Actions!$C$5:$C$1004,A446,Actions!$F$5:$F$1004))</f>
        <v/>
      </c>
      <c r="AM446" s="25"/>
    </row>
    <row r="447" customFormat="false" ht="15" hidden="false" customHeight="false" outlineLevel="0" collapsed="false">
      <c r="A447" s="23"/>
      <c r="B447" s="23"/>
      <c r="C447" s="23"/>
      <c r="D447" s="23"/>
      <c r="E447" s="23"/>
      <c r="F447" s="23"/>
      <c r="G447" s="23"/>
      <c r="H447" s="23"/>
      <c r="I447" s="23"/>
      <c r="J447" s="23"/>
      <c r="K447" s="24"/>
      <c r="L447" s="23"/>
      <c r="M447" s="25"/>
      <c r="N447" s="25"/>
      <c r="O447" s="23"/>
      <c r="P447" s="26"/>
      <c r="Q447" s="26"/>
      <c r="R447" s="27" t="str">
        <f aca="false">IF(AND(ISNUMBER(P447),ISNUMBER(Q447)),P447-Q447,"")</f>
        <v/>
      </c>
      <c r="S447" s="24"/>
      <c r="T447" s="28" t="str">
        <f aca="false">IF(S447&lt;&gt;"",S447,IF(B447="","",IFERROR(IF(INDEX(Batches!$G$5:$G$64,MATCH(B447,Batches!$A$5:$A$64,0))="","",INDEX(Batches!$G$5:$G$64,MATCH(B447,Batches!$A$5:$A$64,0))),"")))</f>
        <v/>
      </c>
      <c r="U447" s="23"/>
      <c r="V447" s="24"/>
      <c r="W447" s="28" t="str">
        <f aca="false">IF(OR(X447="",X447="Pending"),"",IF(V447&lt;&gt;"",V447,IFERROR(IF(INDEX(Batches!$H$5:$H$64,MATCH(B447,Batches!$A$5:$A$64,0))="","",INDEX(Batches!$H$5:$H$64,MATCH(B447,Batches!$A$5:$A$64,0))),"")))</f>
        <v/>
      </c>
      <c r="X447" s="23"/>
      <c r="Y447" s="23"/>
      <c r="Z447" s="26"/>
      <c r="AA447" s="27" t="str">
        <f aca="false">IF(R447="","",IF(X447="Not accepted",R447,IF(OR(X447="Accepted",X447="Withdrawn by hospital"),IF(X447="Accepted",0,R447),IF(ISNUMBER(Z447),R447-Z447,""))))</f>
        <v/>
      </c>
      <c r="AB447" s="23"/>
      <c r="AC447" s="25"/>
      <c r="AD447" s="23"/>
      <c r="AE447" s="23"/>
      <c r="AF447" s="24"/>
      <c r="AG447" s="23"/>
      <c r="AH447" s="24"/>
      <c r="AI447" s="29" t="str">
        <f aca="false">IF(X447="Not accepted","Maintained",IF(X447="Partially accepted","Partially maintained",IF(X447="Accepted","Reversed",IF(X447="Withdrawn by hospital","Withdrawn by hospital",""))))</f>
        <v/>
      </c>
      <c r="AJ447" s="28" t="str">
        <f aca="false">IF(AI447="","",W447)</f>
        <v/>
      </c>
      <c r="AK447" s="29" t="str">
        <f aca="false">IF(AND(ISNUMBER(T447),ISNUMBER(W447)),W447-T447,"")</f>
        <v/>
      </c>
      <c r="AL447" s="29" t="str">
        <f aca="false">IF(A447="","",SUMIF(Actions!$C$5:$C$1004,A447,Actions!$F$5:$F$1004))</f>
        <v/>
      </c>
      <c r="AM447" s="25"/>
    </row>
    <row r="448" customFormat="false" ht="15" hidden="false" customHeight="false" outlineLevel="0" collapsed="false">
      <c r="A448" s="23"/>
      <c r="B448" s="23"/>
      <c r="C448" s="23"/>
      <c r="D448" s="23"/>
      <c r="E448" s="23"/>
      <c r="F448" s="23"/>
      <c r="G448" s="23"/>
      <c r="H448" s="23"/>
      <c r="I448" s="23"/>
      <c r="J448" s="23"/>
      <c r="K448" s="24"/>
      <c r="L448" s="23"/>
      <c r="M448" s="25"/>
      <c r="N448" s="25"/>
      <c r="O448" s="23"/>
      <c r="P448" s="26"/>
      <c r="Q448" s="26"/>
      <c r="R448" s="27" t="str">
        <f aca="false">IF(AND(ISNUMBER(P448),ISNUMBER(Q448)),P448-Q448,"")</f>
        <v/>
      </c>
      <c r="S448" s="24"/>
      <c r="T448" s="28" t="str">
        <f aca="false">IF(S448&lt;&gt;"",S448,IF(B448="","",IFERROR(IF(INDEX(Batches!$G$5:$G$64,MATCH(B448,Batches!$A$5:$A$64,0))="","",INDEX(Batches!$G$5:$G$64,MATCH(B448,Batches!$A$5:$A$64,0))),"")))</f>
        <v/>
      </c>
      <c r="U448" s="23"/>
      <c r="V448" s="24"/>
      <c r="W448" s="28" t="str">
        <f aca="false">IF(OR(X448="",X448="Pending"),"",IF(V448&lt;&gt;"",V448,IFERROR(IF(INDEX(Batches!$H$5:$H$64,MATCH(B448,Batches!$A$5:$A$64,0))="","",INDEX(Batches!$H$5:$H$64,MATCH(B448,Batches!$A$5:$A$64,0))),"")))</f>
        <v/>
      </c>
      <c r="X448" s="23"/>
      <c r="Y448" s="23"/>
      <c r="Z448" s="26"/>
      <c r="AA448" s="27" t="str">
        <f aca="false">IF(R448="","",IF(X448="Not accepted",R448,IF(OR(X448="Accepted",X448="Withdrawn by hospital"),IF(X448="Accepted",0,R448),IF(ISNUMBER(Z448),R448-Z448,""))))</f>
        <v/>
      </c>
      <c r="AB448" s="23"/>
      <c r="AC448" s="25"/>
      <c r="AD448" s="23"/>
      <c r="AE448" s="23"/>
      <c r="AF448" s="24"/>
      <c r="AG448" s="23"/>
      <c r="AH448" s="24"/>
      <c r="AI448" s="29" t="str">
        <f aca="false">IF(X448="Not accepted","Maintained",IF(X448="Partially accepted","Partially maintained",IF(X448="Accepted","Reversed",IF(X448="Withdrawn by hospital","Withdrawn by hospital",""))))</f>
        <v/>
      </c>
      <c r="AJ448" s="28" t="str">
        <f aca="false">IF(AI448="","",W448)</f>
        <v/>
      </c>
      <c r="AK448" s="29" t="str">
        <f aca="false">IF(AND(ISNUMBER(T448),ISNUMBER(W448)),W448-T448,"")</f>
        <v/>
      </c>
      <c r="AL448" s="29" t="str">
        <f aca="false">IF(A448="","",SUMIF(Actions!$C$5:$C$1004,A448,Actions!$F$5:$F$1004))</f>
        <v/>
      </c>
      <c r="AM448" s="25"/>
    </row>
    <row r="449" customFormat="false" ht="15" hidden="false" customHeight="false" outlineLevel="0" collapsed="false">
      <c r="A449" s="23"/>
      <c r="B449" s="23"/>
      <c r="C449" s="23"/>
      <c r="D449" s="23"/>
      <c r="E449" s="23"/>
      <c r="F449" s="23"/>
      <c r="G449" s="23"/>
      <c r="H449" s="23"/>
      <c r="I449" s="23"/>
      <c r="J449" s="23"/>
      <c r="K449" s="24"/>
      <c r="L449" s="23"/>
      <c r="M449" s="25"/>
      <c r="N449" s="25"/>
      <c r="O449" s="23"/>
      <c r="P449" s="26"/>
      <c r="Q449" s="26"/>
      <c r="R449" s="27" t="str">
        <f aca="false">IF(AND(ISNUMBER(P449),ISNUMBER(Q449)),P449-Q449,"")</f>
        <v/>
      </c>
      <c r="S449" s="24"/>
      <c r="T449" s="28" t="str">
        <f aca="false">IF(S449&lt;&gt;"",S449,IF(B449="","",IFERROR(IF(INDEX(Batches!$G$5:$G$64,MATCH(B449,Batches!$A$5:$A$64,0))="","",INDEX(Batches!$G$5:$G$64,MATCH(B449,Batches!$A$5:$A$64,0))),"")))</f>
        <v/>
      </c>
      <c r="U449" s="23"/>
      <c r="V449" s="24"/>
      <c r="W449" s="28" t="str">
        <f aca="false">IF(OR(X449="",X449="Pending"),"",IF(V449&lt;&gt;"",V449,IFERROR(IF(INDEX(Batches!$H$5:$H$64,MATCH(B449,Batches!$A$5:$A$64,0))="","",INDEX(Batches!$H$5:$H$64,MATCH(B449,Batches!$A$5:$A$64,0))),"")))</f>
        <v/>
      </c>
      <c r="X449" s="23"/>
      <c r="Y449" s="23"/>
      <c r="Z449" s="26"/>
      <c r="AA449" s="27" t="str">
        <f aca="false">IF(R449="","",IF(X449="Not accepted",R449,IF(OR(X449="Accepted",X449="Withdrawn by hospital"),IF(X449="Accepted",0,R449),IF(ISNUMBER(Z449),R449-Z449,""))))</f>
        <v/>
      </c>
      <c r="AB449" s="23"/>
      <c r="AC449" s="25"/>
      <c r="AD449" s="23"/>
      <c r="AE449" s="23"/>
      <c r="AF449" s="24"/>
      <c r="AG449" s="23"/>
      <c r="AH449" s="24"/>
      <c r="AI449" s="29" t="str">
        <f aca="false">IF(X449="Not accepted","Maintained",IF(X449="Partially accepted","Partially maintained",IF(X449="Accepted","Reversed",IF(X449="Withdrawn by hospital","Withdrawn by hospital",""))))</f>
        <v/>
      </c>
      <c r="AJ449" s="28" t="str">
        <f aca="false">IF(AI449="","",W449)</f>
        <v/>
      </c>
      <c r="AK449" s="29" t="str">
        <f aca="false">IF(AND(ISNUMBER(T449),ISNUMBER(W449)),W449-T449,"")</f>
        <v/>
      </c>
      <c r="AL449" s="29" t="str">
        <f aca="false">IF(A449="","",SUMIF(Actions!$C$5:$C$1004,A449,Actions!$F$5:$F$1004))</f>
        <v/>
      </c>
      <c r="AM449" s="25"/>
    </row>
    <row r="450" customFormat="false" ht="15" hidden="false" customHeight="false" outlineLevel="0" collapsed="false">
      <c r="A450" s="23"/>
      <c r="B450" s="23"/>
      <c r="C450" s="23"/>
      <c r="D450" s="23"/>
      <c r="E450" s="23"/>
      <c r="F450" s="23"/>
      <c r="G450" s="23"/>
      <c r="H450" s="23"/>
      <c r="I450" s="23"/>
      <c r="J450" s="23"/>
      <c r="K450" s="24"/>
      <c r="L450" s="23"/>
      <c r="M450" s="25"/>
      <c r="N450" s="25"/>
      <c r="O450" s="23"/>
      <c r="P450" s="26"/>
      <c r="Q450" s="26"/>
      <c r="R450" s="27" t="str">
        <f aca="false">IF(AND(ISNUMBER(P450),ISNUMBER(Q450)),P450-Q450,"")</f>
        <v/>
      </c>
      <c r="S450" s="24"/>
      <c r="T450" s="28" t="str">
        <f aca="false">IF(S450&lt;&gt;"",S450,IF(B450="","",IFERROR(IF(INDEX(Batches!$G$5:$G$64,MATCH(B450,Batches!$A$5:$A$64,0))="","",INDEX(Batches!$G$5:$G$64,MATCH(B450,Batches!$A$5:$A$64,0))),"")))</f>
        <v/>
      </c>
      <c r="U450" s="23"/>
      <c r="V450" s="24"/>
      <c r="W450" s="28" t="str">
        <f aca="false">IF(OR(X450="",X450="Pending"),"",IF(V450&lt;&gt;"",V450,IFERROR(IF(INDEX(Batches!$H$5:$H$64,MATCH(B450,Batches!$A$5:$A$64,0))="","",INDEX(Batches!$H$5:$H$64,MATCH(B450,Batches!$A$5:$A$64,0))),"")))</f>
        <v/>
      </c>
      <c r="X450" s="23"/>
      <c r="Y450" s="23"/>
      <c r="Z450" s="26"/>
      <c r="AA450" s="27" t="str">
        <f aca="false">IF(R450="","",IF(X450="Not accepted",R450,IF(OR(X450="Accepted",X450="Withdrawn by hospital"),IF(X450="Accepted",0,R450),IF(ISNUMBER(Z450),R450-Z450,""))))</f>
        <v/>
      </c>
      <c r="AB450" s="23"/>
      <c r="AC450" s="25"/>
      <c r="AD450" s="23"/>
      <c r="AE450" s="23"/>
      <c r="AF450" s="24"/>
      <c r="AG450" s="23"/>
      <c r="AH450" s="24"/>
      <c r="AI450" s="29" t="str">
        <f aca="false">IF(X450="Not accepted","Maintained",IF(X450="Partially accepted","Partially maintained",IF(X450="Accepted","Reversed",IF(X450="Withdrawn by hospital","Withdrawn by hospital",""))))</f>
        <v/>
      </c>
      <c r="AJ450" s="28" t="str">
        <f aca="false">IF(AI450="","",W450)</f>
        <v/>
      </c>
      <c r="AK450" s="29" t="str">
        <f aca="false">IF(AND(ISNUMBER(T450),ISNUMBER(W450)),W450-T450,"")</f>
        <v/>
      </c>
      <c r="AL450" s="29" t="str">
        <f aca="false">IF(A450="","",SUMIF(Actions!$C$5:$C$1004,A450,Actions!$F$5:$F$1004))</f>
        <v/>
      </c>
      <c r="AM450" s="25"/>
    </row>
    <row r="451" customFormat="false" ht="15" hidden="false" customHeight="false" outlineLevel="0" collapsed="false">
      <c r="A451" s="23"/>
      <c r="B451" s="23"/>
      <c r="C451" s="23"/>
      <c r="D451" s="23"/>
      <c r="E451" s="23"/>
      <c r="F451" s="23"/>
      <c r="G451" s="23"/>
      <c r="H451" s="23"/>
      <c r="I451" s="23"/>
      <c r="J451" s="23"/>
      <c r="K451" s="24"/>
      <c r="L451" s="23"/>
      <c r="M451" s="25"/>
      <c r="N451" s="25"/>
      <c r="O451" s="23"/>
      <c r="P451" s="26"/>
      <c r="Q451" s="26"/>
      <c r="R451" s="27" t="str">
        <f aca="false">IF(AND(ISNUMBER(P451),ISNUMBER(Q451)),P451-Q451,"")</f>
        <v/>
      </c>
      <c r="S451" s="24"/>
      <c r="T451" s="28" t="str">
        <f aca="false">IF(S451&lt;&gt;"",S451,IF(B451="","",IFERROR(IF(INDEX(Batches!$G$5:$G$64,MATCH(B451,Batches!$A$5:$A$64,0))="","",INDEX(Batches!$G$5:$G$64,MATCH(B451,Batches!$A$5:$A$64,0))),"")))</f>
        <v/>
      </c>
      <c r="U451" s="23"/>
      <c r="V451" s="24"/>
      <c r="W451" s="28" t="str">
        <f aca="false">IF(OR(X451="",X451="Pending"),"",IF(V451&lt;&gt;"",V451,IFERROR(IF(INDEX(Batches!$H$5:$H$64,MATCH(B451,Batches!$A$5:$A$64,0))="","",INDEX(Batches!$H$5:$H$64,MATCH(B451,Batches!$A$5:$A$64,0))),"")))</f>
        <v/>
      </c>
      <c r="X451" s="23"/>
      <c r="Y451" s="23"/>
      <c r="Z451" s="26"/>
      <c r="AA451" s="27" t="str">
        <f aca="false">IF(R451="","",IF(X451="Not accepted",R451,IF(OR(X451="Accepted",X451="Withdrawn by hospital"),IF(X451="Accepted",0,R451),IF(ISNUMBER(Z451),R451-Z451,""))))</f>
        <v/>
      </c>
      <c r="AB451" s="23"/>
      <c r="AC451" s="25"/>
      <c r="AD451" s="23"/>
      <c r="AE451" s="23"/>
      <c r="AF451" s="24"/>
      <c r="AG451" s="23"/>
      <c r="AH451" s="24"/>
      <c r="AI451" s="29" t="str">
        <f aca="false">IF(X451="Not accepted","Maintained",IF(X451="Partially accepted","Partially maintained",IF(X451="Accepted","Reversed",IF(X451="Withdrawn by hospital","Withdrawn by hospital",""))))</f>
        <v/>
      </c>
      <c r="AJ451" s="28" t="str">
        <f aca="false">IF(AI451="","",W451)</f>
        <v/>
      </c>
      <c r="AK451" s="29" t="str">
        <f aca="false">IF(AND(ISNUMBER(T451),ISNUMBER(W451)),W451-T451,"")</f>
        <v/>
      </c>
      <c r="AL451" s="29" t="str">
        <f aca="false">IF(A451="","",SUMIF(Actions!$C$5:$C$1004,A451,Actions!$F$5:$F$1004))</f>
        <v/>
      </c>
      <c r="AM451" s="25"/>
    </row>
    <row r="452" customFormat="false" ht="15" hidden="false" customHeight="false" outlineLevel="0" collapsed="false">
      <c r="A452" s="23"/>
      <c r="B452" s="23"/>
      <c r="C452" s="23"/>
      <c r="D452" s="23"/>
      <c r="E452" s="23"/>
      <c r="F452" s="23"/>
      <c r="G452" s="23"/>
      <c r="H452" s="23"/>
      <c r="I452" s="23"/>
      <c r="J452" s="23"/>
      <c r="K452" s="24"/>
      <c r="L452" s="23"/>
      <c r="M452" s="25"/>
      <c r="N452" s="25"/>
      <c r="O452" s="23"/>
      <c r="P452" s="26"/>
      <c r="Q452" s="26"/>
      <c r="R452" s="27" t="str">
        <f aca="false">IF(AND(ISNUMBER(P452),ISNUMBER(Q452)),P452-Q452,"")</f>
        <v/>
      </c>
      <c r="S452" s="24"/>
      <c r="T452" s="28" t="str">
        <f aca="false">IF(S452&lt;&gt;"",S452,IF(B452="","",IFERROR(IF(INDEX(Batches!$G$5:$G$64,MATCH(B452,Batches!$A$5:$A$64,0))="","",INDEX(Batches!$G$5:$G$64,MATCH(B452,Batches!$A$5:$A$64,0))),"")))</f>
        <v/>
      </c>
      <c r="U452" s="23"/>
      <c r="V452" s="24"/>
      <c r="W452" s="28" t="str">
        <f aca="false">IF(OR(X452="",X452="Pending"),"",IF(V452&lt;&gt;"",V452,IFERROR(IF(INDEX(Batches!$H$5:$H$64,MATCH(B452,Batches!$A$5:$A$64,0))="","",INDEX(Batches!$H$5:$H$64,MATCH(B452,Batches!$A$5:$A$64,0))),"")))</f>
        <v/>
      </c>
      <c r="X452" s="23"/>
      <c r="Y452" s="23"/>
      <c r="Z452" s="26"/>
      <c r="AA452" s="27" t="str">
        <f aca="false">IF(R452="","",IF(X452="Not accepted",R452,IF(OR(X452="Accepted",X452="Withdrawn by hospital"),IF(X452="Accepted",0,R452),IF(ISNUMBER(Z452),R452-Z452,""))))</f>
        <v/>
      </c>
      <c r="AB452" s="23"/>
      <c r="AC452" s="25"/>
      <c r="AD452" s="23"/>
      <c r="AE452" s="23"/>
      <c r="AF452" s="24"/>
      <c r="AG452" s="23"/>
      <c r="AH452" s="24"/>
      <c r="AI452" s="29" t="str">
        <f aca="false">IF(X452="Not accepted","Maintained",IF(X452="Partially accepted","Partially maintained",IF(X452="Accepted","Reversed",IF(X452="Withdrawn by hospital","Withdrawn by hospital",""))))</f>
        <v/>
      </c>
      <c r="AJ452" s="28" t="str">
        <f aca="false">IF(AI452="","",W452)</f>
        <v/>
      </c>
      <c r="AK452" s="29" t="str">
        <f aca="false">IF(AND(ISNUMBER(T452),ISNUMBER(W452)),W452-T452,"")</f>
        <v/>
      </c>
      <c r="AL452" s="29" t="str">
        <f aca="false">IF(A452="","",SUMIF(Actions!$C$5:$C$1004,A452,Actions!$F$5:$F$1004))</f>
        <v/>
      </c>
      <c r="AM452" s="25"/>
    </row>
    <row r="453" customFormat="false" ht="15" hidden="false" customHeight="false" outlineLevel="0" collapsed="false">
      <c r="A453" s="23"/>
      <c r="B453" s="23"/>
      <c r="C453" s="23"/>
      <c r="D453" s="23"/>
      <c r="E453" s="23"/>
      <c r="F453" s="23"/>
      <c r="G453" s="23"/>
      <c r="H453" s="23"/>
      <c r="I453" s="23"/>
      <c r="J453" s="23"/>
      <c r="K453" s="24"/>
      <c r="L453" s="23"/>
      <c r="M453" s="25"/>
      <c r="N453" s="25"/>
      <c r="O453" s="23"/>
      <c r="P453" s="26"/>
      <c r="Q453" s="26"/>
      <c r="R453" s="27" t="str">
        <f aca="false">IF(AND(ISNUMBER(P453),ISNUMBER(Q453)),P453-Q453,"")</f>
        <v/>
      </c>
      <c r="S453" s="24"/>
      <c r="T453" s="28" t="str">
        <f aca="false">IF(S453&lt;&gt;"",S453,IF(B453="","",IFERROR(IF(INDEX(Batches!$G$5:$G$64,MATCH(B453,Batches!$A$5:$A$64,0))="","",INDEX(Batches!$G$5:$G$64,MATCH(B453,Batches!$A$5:$A$64,0))),"")))</f>
        <v/>
      </c>
      <c r="U453" s="23"/>
      <c r="V453" s="24"/>
      <c r="W453" s="28" t="str">
        <f aca="false">IF(OR(X453="",X453="Pending"),"",IF(V453&lt;&gt;"",V453,IFERROR(IF(INDEX(Batches!$H$5:$H$64,MATCH(B453,Batches!$A$5:$A$64,0))="","",INDEX(Batches!$H$5:$H$64,MATCH(B453,Batches!$A$5:$A$64,0))),"")))</f>
        <v/>
      </c>
      <c r="X453" s="23"/>
      <c r="Y453" s="23"/>
      <c r="Z453" s="26"/>
      <c r="AA453" s="27" t="str">
        <f aca="false">IF(R453="","",IF(X453="Not accepted",R453,IF(OR(X453="Accepted",X453="Withdrawn by hospital"),IF(X453="Accepted",0,R453),IF(ISNUMBER(Z453),R453-Z453,""))))</f>
        <v/>
      </c>
      <c r="AB453" s="23"/>
      <c r="AC453" s="25"/>
      <c r="AD453" s="23"/>
      <c r="AE453" s="23"/>
      <c r="AF453" s="24"/>
      <c r="AG453" s="23"/>
      <c r="AH453" s="24"/>
      <c r="AI453" s="29" t="str">
        <f aca="false">IF(X453="Not accepted","Maintained",IF(X453="Partially accepted","Partially maintained",IF(X453="Accepted","Reversed",IF(X453="Withdrawn by hospital","Withdrawn by hospital",""))))</f>
        <v/>
      </c>
      <c r="AJ453" s="28" t="str">
        <f aca="false">IF(AI453="","",W453)</f>
        <v/>
      </c>
      <c r="AK453" s="29" t="str">
        <f aca="false">IF(AND(ISNUMBER(T453),ISNUMBER(W453)),W453-T453,"")</f>
        <v/>
      </c>
      <c r="AL453" s="29" t="str">
        <f aca="false">IF(A453="","",SUMIF(Actions!$C$5:$C$1004,A453,Actions!$F$5:$F$1004))</f>
        <v/>
      </c>
      <c r="AM453" s="25"/>
    </row>
    <row r="454" customFormat="false" ht="15" hidden="false" customHeight="false" outlineLevel="0" collapsed="false">
      <c r="A454" s="23"/>
      <c r="B454" s="23"/>
      <c r="C454" s="23"/>
      <c r="D454" s="23"/>
      <c r="E454" s="23"/>
      <c r="F454" s="23"/>
      <c r="G454" s="23"/>
      <c r="H454" s="23"/>
      <c r="I454" s="23"/>
      <c r="J454" s="23"/>
      <c r="K454" s="24"/>
      <c r="L454" s="23"/>
      <c r="M454" s="25"/>
      <c r="N454" s="25"/>
      <c r="O454" s="23"/>
      <c r="P454" s="26"/>
      <c r="Q454" s="26"/>
      <c r="R454" s="27" t="str">
        <f aca="false">IF(AND(ISNUMBER(P454),ISNUMBER(Q454)),P454-Q454,"")</f>
        <v/>
      </c>
      <c r="S454" s="24"/>
      <c r="T454" s="28" t="str">
        <f aca="false">IF(S454&lt;&gt;"",S454,IF(B454="","",IFERROR(IF(INDEX(Batches!$G$5:$G$64,MATCH(B454,Batches!$A$5:$A$64,0))="","",INDEX(Batches!$G$5:$G$64,MATCH(B454,Batches!$A$5:$A$64,0))),"")))</f>
        <v/>
      </c>
      <c r="U454" s="23"/>
      <c r="V454" s="24"/>
      <c r="W454" s="28" t="str">
        <f aca="false">IF(OR(X454="",X454="Pending"),"",IF(V454&lt;&gt;"",V454,IFERROR(IF(INDEX(Batches!$H$5:$H$64,MATCH(B454,Batches!$A$5:$A$64,0))="","",INDEX(Batches!$H$5:$H$64,MATCH(B454,Batches!$A$5:$A$64,0))),"")))</f>
        <v/>
      </c>
      <c r="X454" s="23"/>
      <c r="Y454" s="23"/>
      <c r="Z454" s="26"/>
      <c r="AA454" s="27" t="str">
        <f aca="false">IF(R454="","",IF(X454="Not accepted",R454,IF(OR(X454="Accepted",X454="Withdrawn by hospital"),IF(X454="Accepted",0,R454),IF(ISNUMBER(Z454),R454-Z454,""))))</f>
        <v/>
      </c>
      <c r="AB454" s="23"/>
      <c r="AC454" s="25"/>
      <c r="AD454" s="23"/>
      <c r="AE454" s="23"/>
      <c r="AF454" s="24"/>
      <c r="AG454" s="23"/>
      <c r="AH454" s="24"/>
      <c r="AI454" s="29" t="str">
        <f aca="false">IF(X454="Not accepted","Maintained",IF(X454="Partially accepted","Partially maintained",IF(X454="Accepted","Reversed",IF(X454="Withdrawn by hospital","Withdrawn by hospital",""))))</f>
        <v/>
      </c>
      <c r="AJ454" s="28" t="str">
        <f aca="false">IF(AI454="","",W454)</f>
        <v/>
      </c>
      <c r="AK454" s="29" t="str">
        <f aca="false">IF(AND(ISNUMBER(T454),ISNUMBER(W454)),W454-T454,"")</f>
        <v/>
      </c>
      <c r="AL454" s="29" t="str">
        <f aca="false">IF(A454="","",SUMIF(Actions!$C$5:$C$1004,A454,Actions!$F$5:$F$1004))</f>
        <v/>
      </c>
      <c r="AM454" s="25"/>
    </row>
    <row r="455" customFormat="false" ht="15" hidden="false" customHeight="false" outlineLevel="0" collapsed="false">
      <c r="A455" s="23"/>
      <c r="B455" s="23"/>
      <c r="C455" s="23"/>
      <c r="D455" s="23"/>
      <c r="E455" s="23"/>
      <c r="F455" s="23"/>
      <c r="G455" s="23"/>
      <c r="H455" s="23"/>
      <c r="I455" s="23"/>
      <c r="J455" s="23"/>
      <c r="K455" s="24"/>
      <c r="L455" s="23"/>
      <c r="M455" s="25"/>
      <c r="N455" s="25"/>
      <c r="O455" s="23"/>
      <c r="P455" s="26"/>
      <c r="Q455" s="26"/>
      <c r="R455" s="27" t="str">
        <f aca="false">IF(AND(ISNUMBER(P455),ISNUMBER(Q455)),P455-Q455,"")</f>
        <v/>
      </c>
      <c r="S455" s="24"/>
      <c r="T455" s="28" t="str">
        <f aca="false">IF(S455&lt;&gt;"",S455,IF(B455="","",IFERROR(IF(INDEX(Batches!$G$5:$G$64,MATCH(B455,Batches!$A$5:$A$64,0))="","",INDEX(Batches!$G$5:$G$64,MATCH(B455,Batches!$A$5:$A$64,0))),"")))</f>
        <v/>
      </c>
      <c r="U455" s="23"/>
      <c r="V455" s="24"/>
      <c r="W455" s="28" t="str">
        <f aca="false">IF(OR(X455="",X455="Pending"),"",IF(V455&lt;&gt;"",V455,IFERROR(IF(INDEX(Batches!$H$5:$H$64,MATCH(B455,Batches!$A$5:$A$64,0))="","",INDEX(Batches!$H$5:$H$64,MATCH(B455,Batches!$A$5:$A$64,0))),"")))</f>
        <v/>
      </c>
      <c r="X455" s="23"/>
      <c r="Y455" s="23"/>
      <c r="Z455" s="26"/>
      <c r="AA455" s="27" t="str">
        <f aca="false">IF(R455="","",IF(X455="Not accepted",R455,IF(OR(X455="Accepted",X455="Withdrawn by hospital"),IF(X455="Accepted",0,R455),IF(ISNUMBER(Z455),R455-Z455,""))))</f>
        <v/>
      </c>
      <c r="AB455" s="23"/>
      <c r="AC455" s="25"/>
      <c r="AD455" s="23"/>
      <c r="AE455" s="23"/>
      <c r="AF455" s="24"/>
      <c r="AG455" s="23"/>
      <c r="AH455" s="24"/>
      <c r="AI455" s="29" t="str">
        <f aca="false">IF(X455="Not accepted","Maintained",IF(X455="Partially accepted","Partially maintained",IF(X455="Accepted","Reversed",IF(X455="Withdrawn by hospital","Withdrawn by hospital",""))))</f>
        <v/>
      </c>
      <c r="AJ455" s="28" t="str">
        <f aca="false">IF(AI455="","",W455)</f>
        <v/>
      </c>
      <c r="AK455" s="29" t="str">
        <f aca="false">IF(AND(ISNUMBER(T455),ISNUMBER(W455)),W455-T455,"")</f>
        <v/>
      </c>
      <c r="AL455" s="29" t="str">
        <f aca="false">IF(A455="","",SUMIF(Actions!$C$5:$C$1004,A455,Actions!$F$5:$F$1004))</f>
        <v/>
      </c>
      <c r="AM455" s="25"/>
    </row>
    <row r="456" customFormat="false" ht="15" hidden="false" customHeight="false" outlineLevel="0" collapsed="false">
      <c r="A456" s="23"/>
      <c r="B456" s="23"/>
      <c r="C456" s="23"/>
      <c r="D456" s="23"/>
      <c r="E456" s="23"/>
      <c r="F456" s="23"/>
      <c r="G456" s="23"/>
      <c r="H456" s="23"/>
      <c r="I456" s="23"/>
      <c r="J456" s="23"/>
      <c r="K456" s="24"/>
      <c r="L456" s="23"/>
      <c r="M456" s="25"/>
      <c r="N456" s="25"/>
      <c r="O456" s="23"/>
      <c r="P456" s="26"/>
      <c r="Q456" s="26"/>
      <c r="R456" s="27" t="str">
        <f aca="false">IF(AND(ISNUMBER(P456),ISNUMBER(Q456)),P456-Q456,"")</f>
        <v/>
      </c>
      <c r="S456" s="24"/>
      <c r="T456" s="28" t="str">
        <f aca="false">IF(S456&lt;&gt;"",S456,IF(B456="","",IFERROR(IF(INDEX(Batches!$G$5:$G$64,MATCH(B456,Batches!$A$5:$A$64,0))="","",INDEX(Batches!$G$5:$G$64,MATCH(B456,Batches!$A$5:$A$64,0))),"")))</f>
        <v/>
      </c>
      <c r="U456" s="23"/>
      <c r="V456" s="24"/>
      <c r="W456" s="28" t="str">
        <f aca="false">IF(OR(X456="",X456="Pending"),"",IF(V456&lt;&gt;"",V456,IFERROR(IF(INDEX(Batches!$H$5:$H$64,MATCH(B456,Batches!$A$5:$A$64,0))="","",INDEX(Batches!$H$5:$H$64,MATCH(B456,Batches!$A$5:$A$64,0))),"")))</f>
        <v/>
      </c>
      <c r="X456" s="23"/>
      <c r="Y456" s="23"/>
      <c r="Z456" s="26"/>
      <c r="AA456" s="27" t="str">
        <f aca="false">IF(R456="","",IF(X456="Not accepted",R456,IF(OR(X456="Accepted",X456="Withdrawn by hospital"),IF(X456="Accepted",0,R456),IF(ISNUMBER(Z456),R456-Z456,""))))</f>
        <v/>
      </c>
      <c r="AB456" s="23"/>
      <c r="AC456" s="25"/>
      <c r="AD456" s="23"/>
      <c r="AE456" s="23"/>
      <c r="AF456" s="24"/>
      <c r="AG456" s="23"/>
      <c r="AH456" s="24"/>
      <c r="AI456" s="29" t="str">
        <f aca="false">IF(X456="Not accepted","Maintained",IF(X456="Partially accepted","Partially maintained",IF(X456="Accepted","Reversed",IF(X456="Withdrawn by hospital","Withdrawn by hospital",""))))</f>
        <v/>
      </c>
      <c r="AJ456" s="28" t="str">
        <f aca="false">IF(AI456="","",W456)</f>
        <v/>
      </c>
      <c r="AK456" s="29" t="str">
        <f aca="false">IF(AND(ISNUMBER(T456),ISNUMBER(W456)),W456-T456,"")</f>
        <v/>
      </c>
      <c r="AL456" s="29" t="str">
        <f aca="false">IF(A456="","",SUMIF(Actions!$C$5:$C$1004,A456,Actions!$F$5:$F$1004))</f>
        <v/>
      </c>
      <c r="AM456" s="25"/>
    </row>
    <row r="457" customFormat="false" ht="15" hidden="false" customHeight="false" outlineLevel="0" collapsed="false">
      <c r="A457" s="23"/>
      <c r="B457" s="23"/>
      <c r="C457" s="23"/>
      <c r="D457" s="23"/>
      <c r="E457" s="23"/>
      <c r="F457" s="23"/>
      <c r="G457" s="23"/>
      <c r="H457" s="23"/>
      <c r="I457" s="23"/>
      <c r="J457" s="23"/>
      <c r="K457" s="24"/>
      <c r="L457" s="23"/>
      <c r="M457" s="25"/>
      <c r="N457" s="25"/>
      <c r="O457" s="23"/>
      <c r="P457" s="26"/>
      <c r="Q457" s="26"/>
      <c r="R457" s="27" t="str">
        <f aca="false">IF(AND(ISNUMBER(P457),ISNUMBER(Q457)),P457-Q457,"")</f>
        <v/>
      </c>
      <c r="S457" s="24"/>
      <c r="T457" s="28" t="str">
        <f aca="false">IF(S457&lt;&gt;"",S457,IF(B457="","",IFERROR(IF(INDEX(Batches!$G$5:$G$64,MATCH(B457,Batches!$A$5:$A$64,0))="","",INDEX(Batches!$G$5:$G$64,MATCH(B457,Batches!$A$5:$A$64,0))),"")))</f>
        <v/>
      </c>
      <c r="U457" s="23"/>
      <c r="V457" s="24"/>
      <c r="W457" s="28" t="str">
        <f aca="false">IF(OR(X457="",X457="Pending"),"",IF(V457&lt;&gt;"",V457,IFERROR(IF(INDEX(Batches!$H$5:$H$64,MATCH(B457,Batches!$A$5:$A$64,0))="","",INDEX(Batches!$H$5:$H$64,MATCH(B457,Batches!$A$5:$A$64,0))),"")))</f>
        <v/>
      </c>
      <c r="X457" s="23"/>
      <c r="Y457" s="23"/>
      <c r="Z457" s="26"/>
      <c r="AA457" s="27" t="str">
        <f aca="false">IF(R457="","",IF(X457="Not accepted",R457,IF(OR(X457="Accepted",X457="Withdrawn by hospital"),IF(X457="Accepted",0,R457),IF(ISNUMBER(Z457),R457-Z457,""))))</f>
        <v/>
      </c>
      <c r="AB457" s="23"/>
      <c r="AC457" s="25"/>
      <c r="AD457" s="23"/>
      <c r="AE457" s="23"/>
      <c r="AF457" s="24"/>
      <c r="AG457" s="23"/>
      <c r="AH457" s="24"/>
      <c r="AI457" s="29" t="str">
        <f aca="false">IF(X457="Not accepted","Maintained",IF(X457="Partially accepted","Partially maintained",IF(X457="Accepted","Reversed",IF(X457="Withdrawn by hospital","Withdrawn by hospital",""))))</f>
        <v/>
      </c>
      <c r="AJ457" s="28" t="str">
        <f aca="false">IF(AI457="","",W457)</f>
        <v/>
      </c>
      <c r="AK457" s="29" t="str">
        <f aca="false">IF(AND(ISNUMBER(T457),ISNUMBER(W457)),W457-T457,"")</f>
        <v/>
      </c>
      <c r="AL457" s="29" t="str">
        <f aca="false">IF(A457="","",SUMIF(Actions!$C$5:$C$1004,A457,Actions!$F$5:$F$1004))</f>
        <v/>
      </c>
      <c r="AM457" s="25"/>
    </row>
    <row r="458" customFormat="false" ht="15" hidden="false" customHeight="false" outlineLevel="0" collapsed="false">
      <c r="A458" s="23"/>
      <c r="B458" s="23"/>
      <c r="C458" s="23"/>
      <c r="D458" s="23"/>
      <c r="E458" s="23"/>
      <c r="F458" s="23"/>
      <c r="G458" s="23"/>
      <c r="H458" s="23"/>
      <c r="I458" s="23"/>
      <c r="J458" s="23"/>
      <c r="K458" s="24"/>
      <c r="L458" s="23"/>
      <c r="M458" s="25"/>
      <c r="N458" s="25"/>
      <c r="O458" s="23"/>
      <c r="P458" s="26"/>
      <c r="Q458" s="26"/>
      <c r="R458" s="27" t="str">
        <f aca="false">IF(AND(ISNUMBER(P458),ISNUMBER(Q458)),P458-Q458,"")</f>
        <v/>
      </c>
      <c r="S458" s="24"/>
      <c r="T458" s="28" t="str">
        <f aca="false">IF(S458&lt;&gt;"",S458,IF(B458="","",IFERROR(IF(INDEX(Batches!$G$5:$G$64,MATCH(B458,Batches!$A$5:$A$64,0))="","",INDEX(Batches!$G$5:$G$64,MATCH(B458,Batches!$A$5:$A$64,0))),"")))</f>
        <v/>
      </c>
      <c r="U458" s="23"/>
      <c r="V458" s="24"/>
      <c r="W458" s="28" t="str">
        <f aca="false">IF(OR(X458="",X458="Pending"),"",IF(V458&lt;&gt;"",V458,IFERROR(IF(INDEX(Batches!$H$5:$H$64,MATCH(B458,Batches!$A$5:$A$64,0))="","",INDEX(Batches!$H$5:$H$64,MATCH(B458,Batches!$A$5:$A$64,0))),"")))</f>
        <v/>
      </c>
      <c r="X458" s="23"/>
      <c r="Y458" s="23"/>
      <c r="Z458" s="26"/>
      <c r="AA458" s="27" t="str">
        <f aca="false">IF(R458="","",IF(X458="Not accepted",R458,IF(OR(X458="Accepted",X458="Withdrawn by hospital"),IF(X458="Accepted",0,R458),IF(ISNUMBER(Z458),R458-Z458,""))))</f>
        <v/>
      </c>
      <c r="AB458" s="23"/>
      <c r="AC458" s="25"/>
      <c r="AD458" s="23"/>
      <c r="AE458" s="23"/>
      <c r="AF458" s="24"/>
      <c r="AG458" s="23"/>
      <c r="AH458" s="24"/>
      <c r="AI458" s="29" t="str">
        <f aca="false">IF(X458="Not accepted","Maintained",IF(X458="Partially accepted","Partially maintained",IF(X458="Accepted","Reversed",IF(X458="Withdrawn by hospital","Withdrawn by hospital",""))))</f>
        <v/>
      </c>
      <c r="AJ458" s="28" t="str">
        <f aca="false">IF(AI458="","",W458)</f>
        <v/>
      </c>
      <c r="AK458" s="29" t="str">
        <f aca="false">IF(AND(ISNUMBER(T458),ISNUMBER(W458)),W458-T458,"")</f>
        <v/>
      </c>
      <c r="AL458" s="29" t="str">
        <f aca="false">IF(A458="","",SUMIF(Actions!$C$5:$C$1004,A458,Actions!$F$5:$F$1004))</f>
        <v/>
      </c>
      <c r="AM458" s="25"/>
    </row>
    <row r="459" customFormat="false" ht="15" hidden="false" customHeight="false" outlineLevel="0" collapsed="false">
      <c r="A459" s="23"/>
      <c r="B459" s="23"/>
      <c r="C459" s="23"/>
      <c r="D459" s="23"/>
      <c r="E459" s="23"/>
      <c r="F459" s="23"/>
      <c r="G459" s="23"/>
      <c r="H459" s="23"/>
      <c r="I459" s="23"/>
      <c r="J459" s="23"/>
      <c r="K459" s="24"/>
      <c r="L459" s="23"/>
      <c r="M459" s="25"/>
      <c r="N459" s="25"/>
      <c r="O459" s="23"/>
      <c r="P459" s="26"/>
      <c r="Q459" s="26"/>
      <c r="R459" s="27" t="str">
        <f aca="false">IF(AND(ISNUMBER(P459),ISNUMBER(Q459)),P459-Q459,"")</f>
        <v/>
      </c>
      <c r="S459" s="24"/>
      <c r="T459" s="28" t="str">
        <f aca="false">IF(S459&lt;&gt;"",S459,IF(B459="","",IFERROR(IF(INDEX(Batches!$G$5:$G$64,MATCH(B459,Batches!$A$5:$A$64,0))="","",INDEX(Batches!$G$5:$G$64,MATCH(B459,Batches!$A$5:$A$64,0))),"")))</f>
        <v/>
      </c>
      <c r="U459" s="23"/>
      <c r="V459" s="24"/>
      <c r="W459" s="28" t="str">
        <f aca="false">IF(OR(X459="",X459="Pending"),"",IF(V459&lt;&gt;"",V459,IFERROR(IF(INDEX(Batches!$H$5:$H$64,MATCH(B459,Batches!$A$5:$A$64,0))="","",INDEX(Batches!$H$5:$H$64,MATCH(B459,Batches!$A$5:$A$64,0))),"")))</f>
        <v/>
      </c>
      <c r="X459" s="23"/>
      <c r="Y459" s="23"/>
      <c r="Z459" s="26"/>
      <c r="AA459" s="27" t="str">
        <f aca="false">IF(R459="","",IF(X459="Not accepted",R459,IF(OR(X459="Accepted",X459="Withdrawn by hospital"),IF(X459="Accepted",0,R459),IF(ISNUMBER(Z459),R459-Z459,""))))</f>
        <v/>
      </c>
      <c r="AB459" s="23"/>
      <c r="AC459" s="25"/>
      <c r="AD459" s="23"/>
      <c r="AE459" s="23"/>
      <c r="AF459" s="24"/>
      <c r="AG459" s="23"/>
      <c r="AH459" s="24"/>
      <c r="AI459" s="29" t="str">
        <f aca="false">IF(X459="Not accepted","Maintained",IF(X459="Partially accepted","Partially maintained",IF(X459="Accepted","Reversed",IF(X459="Withdrawn by hospital","Withdrawn by hospital",""))))</f>
        <v/>
      </c>
      <c r="AJ459" s="28" t="str">
        <f aca="false">IF(AI459="","",W459)</f>
        <v/>
      </c>
      <c r="AK459" s="29" t="str">
        <f aca="false">IF(AND(ISNUMBER(T459),ISNUMBER(W459)),W459-T459,"")</f>
        <v/>
      </c>
      <c r="AL459" s="29" t="str">
        <f aca="false">IF(A459="","",SUMIF(Actions!$C$5:$C$1004,A459,Actions!$F$5:$F$1004))</f>
        <v/>
      </c>
      <c r="AM459" s="25"/>
    </row>
    <row r="460" customFormat="false" ht="15" hidden="false" customHeight="false" outlineLevel="0" collapsed="false">
      <c r="A460" s="23"/>
      <c r="B460" s="23"/>
      <c r="C460" s="23"/>
      <c r="D460" s="23"/>
      <c r="E460" s="23"/>
      <c r="F460" s="23"/>
      <c r="G460" s="23"/>
      <c r="H460" s="23"/>
      <c r="I460" s="23"/>
      <c r="J460" s="23"/>
      <c r="K460" s="24"/>
      <c r="L460" s="23"/>
      <c r="M460" s="25"/>
      <c r="N460" s="25"/>
      <c r="O460" s="23"/>
      <c r="P460" s="26"/>
      <c r="Q460" s="26"/>
      <c r="R460" s="27" t="str">
        <f aca="false">IF(AND(ISNUMBER(P460),ISNUMBER(Q460)),P460-Q460,"")</f>
        <v/>
      </c>
      <c r="S460" s="24"/>
      <c r="T460" s="28" t="str">
        <f aca="false">IF(S460&lt;&gt;"",S460,IF(B460="","",IFERROR(IF(INDEX(Batches!$G$5:$G$64,MATCH(B460,Batches!$A$5:$A$64,0))="","",INDEX(Batches!$G$5:$G$64,MATCH(B460,Batches!$A$5:$A$64,0))),"")))</f>
        <v/>
      </c>
      <c r="U460" s="23"/>
      <c r="V460" s="24"/>
      <c r="W460" s="28" t="str">
        <f aca="false">IF(OR(X460="",X460="Pending"),"",IF(V460&lt;&gt;"",V460,IFERROR(IF(INDEX(Batches!$H$5:$H$64,MATCH(B460,Batches!$A$5:$A$64,0))="","",INDEX(Batches!$H$5:$H$64,MATCH(B460,Batches!$A$5:$A$64,0))),"")))</f>
        <v/>
      </c>
      <c r="X460" s="23"/>
      <c r="Y460" s="23"/>
      <c r="Z460" s="26"/>
      <c r="AA460" s="27" t="str">
        <f aca="false">IF(R460="","",IF(X460="Not accepted",R460,IF(OR(X460="Accepted",X460="Withdrawn by hospital"),IF(X460="Accepted",0,R460),IF(ISNUMBER(Z460),R460-Z460,""))))</f>
        <v/>
      </c>
      <c r="AB460" s="23"/>
      <c r="AC460" s="25"/>
      <c r="AD460" s="23"/>
      <c r="AE460" s="23"/>
      <c r="AF460" s="24"/>
      <c r="AG460" s="23"/>
      <c r="AH460" s="24"/>
      <c r="AI460" s="29" t="str">
        <f aca="false">IF(X460="Not accepted","Maintained",IF(X460="Partially accepted","Partially maintained",IF(X460="Accepted","Reversed",IF(X460="Withdrawn by hospital","Withdrawn by hospital",""))))</f>
        <v/>
      </c>
      <c r="AJ460" s="28" t="str">
        <f aca="false">IF(AI460="","",W460)</f>
        <v/>
      </c>
      <c r="AK460" s="29" t="str">
        <f aca="false">IF(AND(ISNUMBER(T460),ISNUMBER(W460)),W460-T460,"")</f>
        <v/>
      </c>
      <c r="AL460" s="29" t="str">
        <f aca="false">IF(A460="","",SUMIF(Actions!$C$5:$C$1004,A460,Actions!$F$5:$F$1004))</f>
        <v/>
      </c>
      <c r="AM460" s="25"/>
    </row>
    <row r="461" customFormat="false" ht="15" hidden="false" customHeight="false" outlineLevel="0" collapsed="false">
      <c r="A461" s="23"/>
      <c r="B461" s="23"/>
      <c r="C461" s="23"/>
      <c r="D461" s="23"/>
      <c r="E461" s="23"/>
      <c r="F461" s="23"/>
      <c r="G461" s="23"/>
      <c r="H461" s="23"/>
      <c r="I461" s="23"/>
      <c r="J461" s="23"/>
      <c r="K461" s="24"/>
      <c r="L461" s="23"/>
      <c r="M461" s="25"/>
      <c r="N461" s="25"/>
      <c r="O461" s="23"/>
      <c r="P461" s="26"/>
      <c r="Q461" s="26"/>
      <c r="R461" s="27" t="str">
        <f aca="false">IF(AND(ISNUMBER(P461),ISNUMBER(Q461)),P461-Q461,"")</f>
        <v/>
      </c>
      <c r="S461" s="24"/>
      <c r="T461" s="28" t="str">
        <f aca="false">IF(S461&lt;&gt;"",S461,IF(B461="","",IFERROR(IF(INDEX(Batches!$G$5:$G$64,MATCH(B461,Batches!$A$5:$A$64,0))="","",INDEX(Batches!$G$5:$G$64,MATCH(B461,Batches!$A$5:$A$64,0))),"")))</f>
        <v/>
      </c>
      <c r="U461" s="23"/>
      <c r="V461" s="24"/>
      <c r="W461" s="28" t="str">
        <f aca="false">IF(OR(X461="",X461="Pending"),"",IF(V461&lt;&gt;"",V461,IFERROR(IF(INDEX(Batches!$H$5:$H$64,MATCH(B461,Batches!$A$5:$A$64,0))="","",INDEX(Batches!$H$5:$H$64,MATCH(B461,Batches!$A$5:$A$64,0))),"")))</f>
        <v/>
      </c>
      <c r="X461" s="23"/>
      <c r="Y461" s="23"/>
      <c r="Z461" s="26"/>
      <c r="AA461" s="27" t="str">
        <f aca="false">IF(R461="","",IF(X461="Not accepted",R461,IF(OR(X461="Accepted",X461="Withdrawn by hospital"),IF(X461="Accepted",0,R461),IF(ISNUMBER(Z461),R461-Z461,""))))</f>
        <v/>
      </c>
      <c r="AB461" s="23"/>
      <c r="AC461" s="25"/>
      <c r="AD461" s="23"/>
      <c r="AE461" s="23"/>
      <c r="AF461" s="24"/>
      <c r="AG461" s="23"/>
      <c r="AH461" s="24"/>
      <c r="AI461" s="29" t="str">
        <f aca="false">IF(X461="Not accepted","Maintained",IF(X461="Partially accepted","Partially maintained",IF(X461="Accepted","Reversed",IF(X461="Withdrawn by hospital","Withdrawn by hospital",""))))</f>
        <v/>
      </c>
      <c r="AJ461" s="28" t="str">
        <f aca="false">IF(AI461="","",W461)</f>
        <v/>
      </c>
      <c r="AK461" s="29" t="str">
        <f aca="false">IF(AND(ISNUMBER(T461),ISNUMBER(W461)),W461-T461,"")</f>
        <v/>
      </c>
      <c r="AL461" s="29" t="str">
        <f aca="false">IF(A461="","",SUMIF(Actions!$C$5:$C$1004,A461,Actions!$F$5:$F$1004))</f>
        <v/>
      </c>
      <c r="AM461" s="25"/>
    </row>
    <row r="462" customFormat="false" ht="15" hidden="false" customHeight="false" outlineLevel="0" collapsed="false">
      <c r="A462" s="23"/>
      <c r="B462" s="23"/>
      <c r="C462" s="23"/>
      <c r="D462" s="23"/>
      <c r="E462" s="23"/>
      <c r="F462" s="23"/>
      <c r="G462" s="23"/>
      <c r="H462" s="23"/>
      <c r="I462" s="23"/>
      <c r="J462" s="23"/>
      <c r="K462" s="24"/>
      <c r="L462" s="23"/>
      <c r="M462" s="25"/>
      <c r="N462" s="25"/>
      <c r="O462" s="23"/>
      <c r="P462" s="26"/>
      <c r="Q462" s="26"/>
      <c r="R462" s="27" t="str">
        <f aca="false">IF(AND(ISNUMBER(P462),ISNUMBER(Q462)),P462-Q462,"")</f>
        <v/>
      </c>
      <c r="S462" s="24"/>
      <c r="T462" s="28" t="str">
        <f aca="false">IF(S462&lt;&gt;"",S462,IF(B462="","",IFERROR(IF(INDEX(Batches!$G$5:$G$64,MATCH(B462,Batches!$A$5:$A$64,0))="","",INDEX(Batches!$G$5:$G$64,MATCH(B462,Batches!$A$5:$A$64,0))),"")))</f>
        <v/>
      </c>
      <c r="U462" s="23"/>
      <c r="V462" s="24"/>
      <c r="W462" s="28" t="str">
        <f aca="false">IF(OR(X462="",X462="Pending"),"",IF(V462&lt;&gt;"",V462,IFERROR(IF(INDEX(Batches!$H$5:$H$64,MATCH(B462,Batches!$A$5:$A$64,0))="","",INDEX(Batches!$H$5:$H$64,MATCH(B462,Batches!$A$5:$A$64,0))),"")))</f>
        <v/>
      </c>
      <c r="X462" s="23"/>
      <c r="Y462" s="23"/>
      <c r="Z462" s="26"/>
      <c r="AA462" s="27" t="str">
        <f aca="false">IF(R462="","",IF(X462="Not accepted",R462,IF(OR(X462="Accepted",X462="Withdrawn by hospital"),IF(X462="Accepted",0,R462),IF(ISNUMBER(Z462),R462-Z462,""))))</f>
        <v/>
      </c>
      <c r="AB462" s="23"/>
      <c r="AC462" s="25"/>
      <c r="AD462" s="23"/>
      <c r="AE462" s="23"/>
      <c r="AF462" s="24"/>
      <c r="AG462" s="23"/>
      <c r="AH462" s="24"/>
      <c r="AI462" s="29" t="str">
        <f aca="false">IF(X462="Not accepted","Maintained",IF(X462="Partially accepted","Partially maintained",IF(X462="Accepted","Reversed",IF(X462="Withdrawn by hospital","Withdrawn by hospital",""))))</f>
        <v/>
      </c>
      <c r="AJ462" s="28" t="str">
        <f aca="false">IF(AI462="","",W462)</f>
        <v/>
      </c>
      <c r="AK462" s="29" t="str">
        <f aca="false">IF(AND(ISNUMBER(T462),ISNUMBER(W462)),W462-T462,"")</f>
        <v/>
      </c>
      <c r="AL462" s="29" t="str">
        <f aca="false">IF(A462="","",SUMIF(Actions!$C$5:$C$1004,A462,Actions!$F$5:$F$1004))</f>
        <v/>
      </c>
      <c r="AM462" s="25"/>
    </row>
    <row r="463" customFormat="false" ht="15" hidden="false" customHeight="false" outlineLevel="0" collapsed="false">
      <c r="A463" s="23"/>
      <c r="B463" s="23"/>
      <c r="C463" s="23"/>
      <c r="D463" s="23"/>
      <c r="E463" s="23"/>
      <c r="F463" s="23"/>
      <c r="G463" s="23"/>
      <c r="H463" s="23"/>
      <c r="I463" s="23"/>
      <c r="J463" s="23"/>
      <c r="K463" s="24"/>
      <c r="L463" s="23"/>
      <c r="M463" s="25"/>
      <c r="N463" s="25"/>
      <c r="O463" s="23"/>
      <c r="P463" s="26"/>
      <c r="Q463" s="26"/>
      <c r="R463" s="27" t="str">
        <f aca="false">IF(AND(ISNUMBER(P463),ISNUMBER(Q463)),P463-Q463,"")</f>
        <v/>
      </c>
      <c r="S463" s="24"/>
      <c r="T463" s="28" t="str">
        <f aca="false">IF(S463&lt;&gt;"",S463,IF(B463="","",IFERROR(IF(INDEX(Batches!$G$5:$G$64,MATCH(B463,Batches!$A$5:$A$64,0))="","",INDEX(Batches!$G$5:$G$64,MATCH(B463,Batches!$A$5:$A$64,0))),"")))</f>
        <v/>
      </c>
      <c r="U463" s="23"/>
      <c r="V463" s="24"/>
      <c r="W463" s="28" t="str">
        <f aca="false">IF(OR(X463="",X463="Pending"),"",IF(V463&lt;&gt;"",V463,IFERROR(IF(INDEX(Batches!$H$5:$H$64,MATCH(B463,Batches!$A$5:$A$64,0))="","",INDEX(Batches!$H$5:$H$64,MATCH(B463,Batches!$A$5:$A$64,0))),"")))</f>
        <v/>
      </c>
      <c r="X463" s="23"/>
      <c r="Y463" s="23"/>
      <c r="Z463" s="26"/>
      <c r="AA463" s="27" t="str">
        <f aca="false">IF(R463="","",IF(X463="Not accepted",R463,IF(OR(X463="Accepted",X463="Withdrawn by hospital"),IF(X463="Accepted",0,R463),IF(ISNUMBER(Z463),R463-Z463,""))))</f>
        <v/>
      </c>
      <c r="AB463" s="23"/>
      <c r="AC463" s="25"/>
      <c r="AD463" s="23"/>
      <c r="AE463" s="23"/>
      <c r="AF463" s="24"/>
      <c r="AG463" s="23"/>
      <c r="AH463" s="24"/>
      <c r="AI463" s="29" t="str">
        <f aca="false">IF(X463="Not accepted","Maintained",IF(X463="Partially accepted","Partially maintained",IF(X463="Accepted","Reversed",IF(X463="Withdrawn by hospital","Withdrawn by hospital",""))))</f>
        <v/>
      </c>
      <c r="AJ463" s="28" t="str">
        <f aca="false">IF(AI463="","",W463)</f>
        <v/>
      </c>
      <c r="AK463" s="29" t="str">
        <f aca="false">IF(AND(ISNUMBER(T463),ISNUMBER(W463)),W463-T463,"")</f>
        <v/>
      </c>
      <c r="AL463" s="29" t="str">
        <f aca="false">IF(A463="","",SUMIF(Actions!$C$5:$C$1004,A463,Actions!$F$5:$F$1004))</f>
        <v/>
      </c>
      <c r="AM463" s="25"/>
    </row>
    <row r="464" customFormat="false" ht="15" hidden="false" customHeight="false" outlineLevel="0" collapsed="false">
      <c r="A464" s="23"/>
      <c r="B464" s="23"/>
      <c r="C464" s="23"/>
      <c r="D464" s="23"/>
      <c r="E464" s="23"/>
      <c r="F464" s="23"/>
      <c r="G464" s="23"/>
      <c r="H464" s="23"/>
      <c r="I464" s="23"/>
      <c r="J464" s="23"/>
      <c r="K464" s="24"/>
      <c r="L464" s="23"/>
      <c r="M464" s="25"/>
      <c r="N464" s="25"/>
      <c r="O464" s="23"/>
      <c r="P464" s="26"/>
      <c r="Q464" s="26"/>
      <c r="R464" s="27" t="str">
        <f aca="false">IF(AND(ISNUMBER(P464),ISNUMBER(Q464)),P464-Q464,"")</f>
        <v/>
      </c>
      <c r="S464" s="24"/>
      <c r="T464" s="28" t="str">
        <f aca="false">IF(S464&lt;&gt;"",S464,IF(B464="","",IFERROR(IF(INDEX(Batches!$G$5:$G$64,MATCH(B464,Batches!$A$5:$A$64,0))="","",INDEX(Batches!$G$5:$G$64,MATCH(B464,Batches!$A$5:$A$64,0))),"")))</f>
        <v/>
      </c>
      <c r="U464" s="23"/>
      <c r="V464" s="24"/>
      <c r="W464" s="28" t="str">
        <f aca="false">IF(OR(X464="",X464="Pending"),"",IF(V464&lt;&gt;"",V464,IFERROR(IF(INDEX(Batches!$H$5:$H$64,MATCH(B464,Batches!$A$5:$A$64,0))="","",INDEX(Batches!$H$5:$H$64,MATCH(B464,Batches!$A$5:$A$64,0))),"")))</f>
        <v/>
      </c>
      <c r="X464" s="23"/>
      <c r="Y464" s="23"/>
      <c r="Z464" s="26"/>
      <c r="AA464" s="27" t="str">
        <f aca="false">IF(R464="","",IF(X464="Not accepted",R464,IF(OR(X464="Accepted",X464="Withdrawn by hospital"),IF(X464="Accepted",0,R464),IF(ISNUMBER(Z464),R464-Z464,""))))</f>
        <v/>
      </c>
      <c r="AB464" s="23"/>
      <c r="AC464" s="25"/>
      <c r="AD464" s="23"/>
      <c r="AE464" s="23"/>
      <c r="AF464" s="24"/>
      <c r="AG464" s="23"/>
      <c r="AH464" s="24"/>
      <c r="AI464" s="29" t="str">
        <f aca="false">IF(X464="Not accepted","Maintained",IF(X464="Partially accepted","Partially maintained",IF(X464="Accepted","Reversed",IF(X464="Withdrawn by hospital","Withdrawn by hospital",""))))</f>
        <v/>
      </c>
      <c r="AJ464" s="28" t="str">
        <f aca="false">IF(AI464="","",W464)</f>
        <v/>
      </c>
      <c r="AK464" s="29" t="str">
        <f aca="false">IF(AND(ISNUMBER(T464),ISNUMBER(W464)),W464-T464,"")</f>
        <v/>
      </c>
      <c r="AL464" s="29" t="str">
        <f aca="false">IF(A464="","",SUMIF(Actions!$C$5:$C$1004,A464,Actions!$F$5:$F$1004))</f>
        <v/>
      </c>
      <c r="AM464" s="25"/>
    </row>
    <row r="465" customFormat="false" ht="15" hidden="false" customHeight="false" outlineLevel="0" collapsed="false">
      <c r="A465" s="23"/>
      <c r="B465" s="23"/>
      <c r="C465" s="23"/>
      <c r="D465" s="23"/>
      <c r="E465" s="23"/>
      <c r="F465" s="23"/>
      <c r="G465" s="23"/>
      <c r="H465" s="23"/>
      <c r="I465" s="23"/>
      <c r="J465" s="23"/>
      <c r="K465" s="24"/>
      <c r="L465" s="23"/>
      <c r="M465" s="25"/>
      <c r="N465" s="25"/>
      <c r="O465" s="23"/>
      <c r="P465" s="26"/>
      <c r="Q465" s="26"/>
      <c r="R465" s="27" t="str">
        <f aca="false">IF(AND(ISNUMBER(P465),ISNUMBER(Q465)),P465-Q465,"")</f>
        <v/>
      </c>
      <c r="S465" s="24"/>
      <c r="T465" s="28" t="str">
        <f aca="false">IF(S465&lt;&gt;"",S465,IF(B465="","",IFERROR(IF(INDEX(Batches!$G$5:$G$64,MATCH(B465,Batches!$A$5:$A$64,0))="","",INDEX(Batches!$G$5:$G$64,MATCH(B465,Batches!$A$5:$A$64,0))),"")))</f>
        <v/>
      </c>
      <c r="U465" s="23"/>
      <c r="V465" s="24"/>
      <c r="W465" s="28" t="str">
        <f aca="false">IF(OR(X465="",X465="Pending"),"",IF(V465&lt;&gt;"",V465,IFERROR(IF(INDEX(Batches!$H$5:$H$64,MATCH(B465,Batches!$A$5:$A$64,0))="","",INDEX(Batches!$H$5:$H$64,MATCH(B465,Batches!$A$5:$A$64,0))),"")))</f>
        <v/>
      </c>
      <c r="X465" s="23"/>
      <c r="Y465" s="23"/>
      <c r="Z465" s="26"/>
      <c r="AA465" s="27" t="str">
        <f aca="false">IF(R465="","",IF(X465="Not accepted",R465,IF(OR(X465="Accepted",X465="Withdrawn by hospital"),IF(X465="Accepted",0,R465),IF(ISNUMBER(Z465),R465-Z465,""))))</f>
        <v/>
      </c>
      <c r="AB465" s="23"/>
      <c r="AC465" s="25"/>
      <c r="AD465" s="23"/>
      <c r="AE465" s="23"/>
      <c r="AF465" s="24"/>
      <c r="AG465" s="23"/>
      <c r="AH465" s="24"/>
      <c r="AI465" s="29" t="str">
        <f aca="false">IF(X465="Not accepted","Maintained",IF(X465="Partially accepted","Partially maintained",IF(X465="Accepted","Reversed",IF(X465="Withdrawn by hospital","Withdrawn by hospital",""))))</f>
        <v/>
      </c>
      <c r="AJ465" s="28" t="str">
        <f aca="false">IF(AI465="","",W465)</f>
        <v/>
      </c>
      <c r="AK465" s="29" t="str">
        <f aca="false">IF(AND(ISNUMBER(T465),ISNUMBER(W465)),W465-T465,"")</f>
        <v/>
      </c>
      <c r="AL465" s="29" t="str">
        <f aca="false">IF(A465="","",SUMIF(Actions!$C$5:$C$1004,A465,Actions!$F$5:$F$1004))</f>
        <v/>
      </c>
      <c r="AM465" s="25"/>
    </row>
    <row r="466" customFormat="false" ht="15" hidden="false" customHeight="false" outlineLevel="0" collapsed="false">
      <c r="A466" s="23"/>
      <c r="B466" s="23"/>
      <c r="C466" s="23"/>
      <c r="D466" s="23"/>
      <c r="E466" s="23"/>
      <c r="F466" s="23"/>
      <c r="G466" s="23"/>
      <c r="H466" s="23"/>
      <c r="I466" s="23"/>
      <c r="J466" s="23"/>
      <c r="K466" s="24"/>
      <c r="L466" s="23"/>
      <c r="M466" s="25"/>
      <c r="N466" s="25"/>
      <c r="O466" s="23"/>
      <c r="P466" s="26"/>
      <c r="Q466" s="26"/>
      <c r="R466" s="27" t="str">
        <f aca="false">IF(AND(ISNUMBER(P466),ISNUMBER(Q466)),P466-Q466,"")</f>
        <v/>
      </c>
      <c r="S466" s="24"/>
      <c r="T466" s="28" t="str">
        <f aca="false">IF(S466&lt;&gt;"",S466,IF(B466="","",IFERROR(IF(INDEX(Batches!$G$5:$G$64,MATCH(B466,Batches!$A$5:$A$64,0))="","",INDEX(Batches!$G$5:$G$64,MATCH(B466,Batches!$A$5:$A$64,0))),"")))</f>
        <v/>
      </c>
      <c r="U466" s="23"/>
      <c r="V466" s="24"/>
      <c r="W466" s="28" t="str">
        <f aca="false">IF(OR(X466="",X466="Pending"),"",IF(V466&lt;&gt;"",V466,IFERROR(IF(INDEX(Batches!$H$5:$H$64,MATCH(B466,Batches!$A$5:$A$64,0))="","",INDEX(Batches!$H$5:$H$64,MATCH(B466,Batches!$A$5:$A$64,0))),"")))</f>
        <v/>
      </c>
      <c r="X466" s="23"/>
      <c r="Y466" s="23"/>
      <c r="Z466" s="26"/>
      <c r="AA466" s="27" t="str">
        <f aca="false">IF(R466="","",IF(X466="Not accepted",R466,IF(OR(X466="Accepted",X466="Withdrawn by hospital"),IF(X466="Accepted",0,R466),IF(ISNUMBER(Z466),R466-Z466,""))))</f>
        <v/>
      </c>
      <c r="AB466" s="23"/>
      <c r="AC466" s="25"/>
      <c r="AD466" s="23"/>
      <c r="AE466" s="23"/>
      <c r="AF466" s="24"/>
      <c r="AG466" s="23"/>
      <c r="AH466" s="24"/>
      <c r="AI466" s="29" t="str">
        <f aca="false">IF(X466="Not accepted","Maintained",IF(X466="Partially accepted","Partially maintained",IF(X466="Accepted","Reversed",IF(X466="Withdrawn by hospital","Withdrawn by hospital",""))))</f>
        <v/>
      </c>
      <c r="AJ466" s="28" t="str">
        <f aca="false">IF(AI466="","",W466)</f>
        <v/>
      </c>
      <c r="AK466" s="29" t="str">
        <f aca="false">IF(AND(ISNUMBER(T466),ISNUMBER(W466)),W466-T466,"")</f>
        <v/>
      </c>
      <c r="AL466" s="29" t="str">
        <f aca="false">IF(A466="","",SUMIF(Actions!$C$5:$C$1004,A466,Actions!$F$5:$F$1004))</f>
        <v/>
      </c>
      <c r="AM466" s="25"/>
    </row>
    <row r="467" customFormat="false" ht="15" hidden="false" customHeight="false" outlineLevel="0" collapsed="false">
      <c r="A467" s="23"/>
      <c r="B467" s="23"/>
      <c r="C467" s="23"/>
      <c r="D467" s="23"/>
      <c r="E467" s="23"/>
      <c r="F467" s="23"/>
      <c r="G467" s="23"/>
      <c r="H467" s="23"/>
      <c r="I467" s="23"/>
      <c r="J467" s="23"/>
      <c r="K467" s="24"/>
      <c r="L467" s="23"/>
      <c r="M467" s="25"/>
      <c r="N467" s="25"/>
      <c r="O467" s="23"/>
      <c r="P467" s="26"/>
      <c r="Q467" s="26"/>
      <c r="R467" s="27" t="str">
        <f aca="false">IF(AND(ISNUMBER(P467),ISNUMBER(Q467)),P467-Q467,"")</f>
        <v/>
      </c>
      <c r="S467" s="24"/>
      <c r="T467" s="28" t="str">
        <f aca="false">IF(S467&lt;&gt;"",S467,IF(B467="","",IFERROR(IF(INDEX(Batches!$G$5:$G$64,MATCH(B467,Batches!$A$5:$A$64,0))="","",INDEX(Batches!$G$5:$G$64,MATCH(B467,Batches!$A$5:$A$64,0))),"")))</f>
        <v/>
      </c>
      <c r="U467" s="23"/>
      <c r="V467" s="24"/>
      <c r="W467" s="28" t="str">
        <f aca="false">IF(OR(X467="",X467="Pending"),"",IF(V467&lt;&gt;"",V467,IFERROR(IF(INDEX(Batches!$H$5:$H$64,MATCH(B467,Batches!$A$5:$A$64,0))="","",INDEX(Batches!$H$5:$H$64,MATCH(B467,Batches!$A$5:$A$64,0))),"")))</f>
        <v/>
      </c>
      <c r="X467" s="23"/>
      <c r="Y467" s="23"/>
      <c r="Z467" s="26"/>
      <c r="AA467" s="27" t="str">
        <f aca="false">IF(R467="","",IF(X467="Not accepted",R467,IF(OR(X467="Accepted",X467="Withdrawn by hospital"),IF(X467="Accepted",0,R467),IF(ISNUMBER(Z467),R467-Z467,""))))</f>
        <v/>
      </c>
      <c r="AB467" s="23"/>
      <c r="AC467" s="25"/>
      <c r="AD467" s="23"/>
      <c r="AE467" s="23"/>
      <c r="AF467" s="24"/>
      <c r="AG467" s="23"/>
      <c r="AH467" s="24"/>
      <c r="AI467" s="29" t="str">
        <f aca="false">IF(X467="Not accepted","Maintained",IF(X467="Partially accepted","Partially maintained",IF(X467="Accepted","Reversed",IF(X467="Withdrawn by hospital","Withdrawn by hospital",""))))</f>
        <v/>
      </c>
      <c r="AJ467" s="28" t="str">
        <f aca="false">IF(AI467="","",W467)</f>
        <v/>
      </c>
      <c r="AK467" s="29" t="str">
        <f aca="false">IF(AND(ISNUMBER(T467),ISNUMBER(W467)),W467-T467,"")</f>
        <v/>
      </c>
      <c r="AL467" s="29" t="str">
        <f aca="false">IF(A467="","",SUMIF(Actions!$C$5:$C$1004,A467,Actions!$F$5:$F$1004))</f>
        <v/>
      </c>
      <c r="AM467" s="25"/>
    </row>
    <row r="468" customFormat="false" ht="15" hidden="false" customHeight="false" outlineLevel="0" collapsed="false">
      <c r="A468" s="23"/>
      <c r="B468" s="23"/>
      <c r="C468" s="23"/>
      <c r="D468" s="23"/>
      <c r="E468" s="23"/>
      <c r="F468" s="23"/>
      <c r="G468" s="23"/>
      <c r="H468" s="23"/>
      <c r="I468" s="23"/>
      <c r="J468" s="23"/>
      <c r="K468" s="24"/>
      <c r="L468" s="23"/>
      <c r="M468" s="25"/>
      <c r="N468" s="25"/>
      <c r="O468" s="23"/>
      <c r="P468" s="26"/>
      <c r="Q468" s="26"/>
      <c r="R468" s="27" t="str">
        <f aca="false">IF(AND(ISNUMBER(P468),ISNUMBER(Q468)),P468-Q468,"")</f>
        <v/>
      </c>
      <c r="S468" s="24"/>
      <c r="T468" s="28" t="str">
        <f aca="false">IF(S468&lt;&gt;"",S468,IF(B468="","",IFERROR(IF(INDEX(Batches!$G$5:$G$64,MATCH(B468,Batches!$A$5:$A$64,0))="","",INDEX(Batches!$G$5:$G$64,MATCH(B468,Batches!$A$5:$A$64,0))),"")))</f>
        <v/>
      </c>
      <c r="U468" s="23"/>
      <c r="V468" s="24"/>
      <c r="W468" s="28" t="str">
        <f aca="false">IF(OR(X468="",X468="Pending"),"",IF(V468&lt;&gt;"",V468,IFERROR(IF(INDEX(Batches!$H$5:$H$64,MATCH(B468,Batches!$A$5:$A$64,0))="","",INDEX(Batches!$H$5:$H$64,MATCH(B468,Batches!$A$5:$A$64,0))),"")))</f>
        <v/>
      </c>
      <c r="X468" s="23"/>
      <c r="Y468" s="23"/>
      <c r="Z468" s="26"/>
      <c r="AA468" s="27" t="str">
        <f aca="false">IF(R468="","",IF(X468="Not accepted",R468,IF(OR(X468="Accepted",X468="Withdrawn by hospital"),IF(X468="Accepted",0,R468),IF(ISNUMBER(Z468),R468-Z468,""))))</f>
        <v/>
      </c>
      <c r="AB468" s="23"/>
      <c r="AC468" s="25"/>
      <c r="AD468" s="23"/>
      <c r="AE468" s="23"/>
      <c r="AF468" s="24"/>
      <c r="AG468" s="23"/>
      <c r="AH468" s="24"/>
      <c r="AI468" s="29" t="str">
        <f aca="false">IF(X468="Not accepted","Maintained",IF(X468="Partially accepted","Partially maintained",IF(X468="Accepted","Reversed",IF(X468="Withdrawn by hospital","Withdrawn by hospital",""))))</f>
        <v/>
      </c>
      <c r="AJ468" s="28" t="str">
        <f aca="false">IF(AI468="","",W468)</f>
        <v/>
      </c>
      <c r="AK468" s="29" t="str">
        <f aca="false">IF(AND(ISNUMBER(T468),ISNUMBER(W468)),W468-T468,"")</f>
        <v/>
      </c>
      <c r="AL468" s="29" t="str">
        <f aca="false">IF(A468="","",SUMIF(Actions!$C$5:$C$1004,A468,Actions!$F$5:$F$1004))</f>
        <v/>
      </c>
      <c r="AM468" s="25"/>
    </row>
    <row r="469" customFormat="false" ht="15" hidden="false" customHeight="false" outlineLevel="0" collapsed="false">
      <c r="A469" s="23"/>
      <c r="B469" s="23"/>
      <c r="C469" s="23"/>
      <c r="D469" s="23"/>
      <c r="E469" s="23"/>
      <c r="F469" s="23"/>
      <c r="G469" s="23"/>
      <c r="H469" s="23"/>
      <c r="I469" s="23"/>
      <c r="J469" s="23"/>
      <c r="K469" s="24"/>
      <c r="L469" s="23"/>
      <c r="M469" s="25"/>
      <c r="N469" s="25"/>
      <c r="O469" s="23"/>
      <c r="P469" s="26"/>
      <c r="Q469" s="26"/>
      <c r="R469" s="27" t="str">
        <f aca="false">IF(AND(ISNUMBER(P469),ISNUMBER(Q469)),P469-Q469,"")</f>
        <v/>
      </c>
      <c r="S469" s="24"/>
      <c r="T469" s="28" t="str">
        <f aca="false">IF(S469&lt;&gt;"",S469,IF(B469="","",IFERROR(IF(INDEX(Batches!$G$5:$G$64,MATCH(B469,Batches!$A$5:$A$64,0))="","",INDEX(Batches!$G$5:$G$64,MATCH(B469,Batches!$A$5:$A$64,0))),"")))</f>
        <v/>
      </c>
      <c r="U469" s="23"/>
      <c r="V469" s="24"/>
      <c r="W469" s="28" t="str">
        <f aca="false">IF(OR(X469="",X469="Pending"),"",IF(V469&lt;&gt;"",V469,IFERROR(IF(INDEX(Batches!$H$5:$H$64,MATCH(B469,Batches!$A$5:$A$64,0))="","",INDEX(Batches!$H$5:$H$64,MATCH(B469,Batches!$A$5:$A$64,0))),"")))</f>
        <v/>
      </c>
      <c r="X469" s="23"/>
      <c r="Y469" s="23"/>
      <c r="Z469" s="26"/>
      <c r="AA469" s="27" t="str">
        <f aca="false">IF(R469="","",IF(X469="Not accepted",R469,IF(OR(X469="Accepted",X469="Withdrawn by hospital"),IF(X469="Accepted",0,R469),IF(ISNUMBER(Z469),R469-Z469,""))))</f>
        <v/>
      </c>
      <c r="AB469" s="23"/>
      <c r="AC469" s="25"/>
      <c r="AD469" s="23"/>
      <c r="AE469" s="23"/>
      <c r="AF469" s="24"/>
      <c r="AG469" s="23"/>
      <c r="AH469" s="24"/>
      <c r="AI469" s="29" t="str">
        <f aca="false">IF(X469="Not accepted","Maintained",IF(X469="Partially accepted","Partially maintained",IF(X469="Accepted","Reversed",IF(X469="Withdrawn by hospital","Withdrawn by hospital",""))))</f>
        <v/>
      </c>
      <c r="AJ469" s="28" t="str">
        <f aca="false">IF(AI469="","",W469)</f>
        <v/>
      </c>
      <c r="AK469" s="29" t="str">
        <f aca="false">IF(AND(ISNUMBER(T469),ISNUMBER(W469)),W469-T469,"")</f>
        <v/>
      </c>
      <c r="AL469" s="29" t="str">
        <f aca="false">IF(A469="","",SUMIF(Actions!$C$5:$C$1004,A469,Actions!$F$5:$F$1004))</f>
        <v/>
      </c>
      <c r="AM469" s="25"/>
    </row>
    <row r="470" customFormat="false" ht="15" hidden="false" customHeight="false" outlineLevel="0" collapsed="false">
      <c r="A470" s="23"/>
      <c r="B470" s="23"/>
      <c r="C470" s="23"/>
      <c r="D470" s="23"/>
      <c r="E470" s="23"/>
      <c r="F470" s="23"/>
      <c r="G470" s="23"/>
      <c r="H470" s="23"/>
      <c r="I470" s="23"/>
      <c r="J470" s="23"/>
      <c r="K470" s="24"/>
      <c r="L470" s="23"/>
      <c r="M470" s="25"/>
      <c r="N470" s="25"/>
      <c r="O470" s="23"/>
      <c r="P470" s="26"/>
      <c r="Q470" s="26"/>
      <c r="R470" s="27" t="str">
        <f aca="false">IF(AND(ISNUMBER(P470),ISNUMBER(Q470)),P470-Q470,"")</f>
        <v/>
      </c>
      <c r="S470" s="24"/>
      <c r="T470" s="28" t="str">
        <f aca="false">IF(S470&lt;&gt;"",S470,IF(B470="","",IFERROR(IF(INDEX(Batches!$G$5:$G$64,MATCH(B470,Batches!$A$5:$A$64,0))="","",INDEX(Batches!$G$5:$G$64,MATCH(B470,Batches!$A$5:$A$64,0))),"")))</f>
        <v/>
      </c>
      <c r="U470" s="23"/>
      <c r="V470" s="24"/>
      <c r="W470" s="28" t="str">
        <f aca="false">IF(OR(X470="",X470="Pending"),"",IF(V470&lt;&gt;"",V470,IFERROR(IF(INDEX(Batches!$H$5:$H$64,MATCH(B470,Batches!$A$5:$A$64,0))="","",INDEX(Batches!$H$5:$H$64,MATCH(B470,Batches!$A$5:$A$64,0))),"")))</f>
        <v/>
      </c>
      <c r="X470" s="23"/>
      <c r="Y470" s="23"/>
      <c r="Z470" s="26"/>
      <c r="AA470" s="27" t="str">
        <f aca="false">IF(R470="","",IF(X470="Not accepted",R470,IF(OR(X470="Accepted",X470="Withdrawn by hospital"),IF(X470="Accepted",0,R470),IF(ISNUMBER(Z470),R470-Z470,""))))</f>
        <v/>
      </c>
      <c r="AB470" s="23"/>
      <c r="AC470" s="25"/>
      <c r="AD470" s="23"/>
      <c r="AE470" s="23"/>
      <c r="AF470" s="24"/>
      <c r="AG470" s="23"/>
      <c r="AH470" s="24"/>
      <c r="AI470" s="29" t="str">
        <f aca="false">IF(X470="Not accepted","Maintained",IF(X470="Partially accepted","Partially maintained",IF(X470="Accepted","Reversed",IF(X470="Withdrawn by hospital","Withdrawn by hospital",""))))</f>
        <v/>
      </c>
      <c r="AJ470" s="28" t="str">
        <f aca="false">IF(AI470="","",W470)</f>
        <v/>
      </c>
      <c r="AK470" s="29" t="str">
        <f aca="false">IF(AND(ISNUMBER(T470),ISNUMBER(W470)),W470-T470,"")</f>
        <v/>
      </c>
      <c r="AL470" s="29" t="str">
        <f aca="false">IF(A470="","",SUMIF(Actions!$C$5:$C$1004,A470,Actions!$F$5:$F$1004))</f>
        <v/>
      </c>
      <c r="AM470" s="25"/>
    </row>
    <row r="471" customFormat="false" ht="15" hidden="false" customHeight="false" outlineLevel="0" collapsed="false">
      <c r="A471" s="23"/>
      <c r="B471" s="23"/>
      <c r="C471" s="23"/>
      <c r="D471" s="23"/>
      <c r="E471" s="23"/>
      <c r="F471" s="23"/>
      <c r="G471" s="23"/>
      <c r="H471" s="23"/>
      <c r="I471" s="23"/>
      <c r="J471" s="23"/>
      <c r="K471" s="24"/>
      <c r="L471" s="23"/>
      <c r="M471" s="25"/>
      <c r="N471" s="25"/>
      <c r="O471" s="23"/>
      <c r="P471" s="26"/>
      <c r="Q471" s="26"/>
      <c r="R471" s="27" t="str">
        <f aca="false">IF(AND(ISNUMBER(P471),ISNUMBER(Q471)),P471-Q471,"")</f>
        <v/>
      </c>
      <c r="S471" s="24"/>
      <c r="T471" s="28" t="str">
        <f aca="false">IF(S471&lt;&gt;"",S471,IF(B471="","",IFERROR(IF(INDEX(Batches!$G$5:$G$64,MATCH(B471,Batches!$A$5:$A$64,0))="","",INDEX(Batches!$G$5:$G$64,MATCH(B471,Batches!$A$5:$A$64,0))),"")))</f>
        <v/>
      </c>
      <c r="U471" s="23"/>
      <c r="V471" s="24"/>
      <c r="W471" s="28" t="str">
        <f aca="false">IF(OR(X471="",X471="Pending"),"",IF(V471&lt;&gt;"",V471,IFERROR(IF(INDEX(Batches!$H$5:$H$64,MATCH(B471,Batches!$A$5:$A$64,0))="","",INDEX(Batches!$H$5:$H$64,MATCH(B471,Batches!$A$5:$A$64,0))),"")))</f>
        <v/>
      </c>
      <c r="X471" s="23"/>
      <c r="Y471" s="23"/>
      <c r="Z471" s="26"/>
      <c r="AA471" s="27" t="str">
        <f aca="false">IF(R471="","",IF(X471="Not accepted",R471,IF(OR(X471="Accepted",X471="Withdrawn by hospital"),IF(X471="Accepted",0,R471),IF(ISNUMBER(Z471),R471-Z471,""))))</f>
        <v/>
      </c>
      <c r="AB471" s="23"/>
      <c r="AC471" s="25"/>
      <c r="AD471" s="23"/>
      <c r="AE471" s="23"/>
      <c r="AF471" s="24"/>
      <c r="AG471" s="23"/>
      <c r="AH471" s="24"/>
      <c r="AI471" s="29" t="str">
        <f aca="false">IF(X471="Not accepted","Maintained",IF(X471="Partially accepted","Partially maintained",IF(X471="Accepted","Reversed",IF(X471="Withdrawn by hospital","Withdrawn by hospital",""))))</f>
        <v/>
      </c>
      <c r="AJ471" s="28" t="str">
        <f aca="false">IF(AI471="","",W471)</f>
        <v/>
      </c>
      <c r="AK471" s="29" t="str">
        <f aca="false">IF(AND(ISNUMBER(T471),ISNUMBER(W471)),W471-T471,"")</f>
        <v/>
      </c>
      <c r="AL471" s="29" t="str">
        <f aca="false">IF(A471="","",SUMIF(Actions!$C$5:$C$1004,A471,Actions!$F$5:$F$1004))</f>
        <v/>
      </c>
      <c r="AM471" s="25"/>
    </row>
    <row r="472" customFormat="false" ht="15" hidden="false" customHeight="false" outlineLevel="0" collapsed="false">
      <c r="A472" s="23"/>
      <c r="B472" s="23"/>
      <c r="C472" s="23"/>
      <c r="D472" s="23"/>
      <c r="E472" s="23"/>
      <c r="F472" s="23"/>
      <c r="G472" s="23"/>
      <c r="H472" s="23"/>
      <c r="I472" s="23"/>
      <c r="J472" s="23"/>
      <c r="K472" s="24"/>
      <c r="L472" s="23"/>
      <c r="M472" s="25"/>
      <c r="N472" s="25"/>
      <c r="O472" s="23"/>
      <c r="P472" s="26"/>
      <c r="Q472" s="26"/>
      <c r="R472" s="27" t="str">
        <f aca="false">IF(AND(ISNUMBER(P472),ISNUMBER(Q472)),P472-Q472,"")</f>
        <v/>
      </c>
      <c r="S472" s="24"/>
      <c r="T472" s="28" t="str">
        <f aca="false">IF(S472&lt;&gt;"",S472,IF(B472="","",IFERROR(IF(INDEX(Batches!$G$5:$G$64,MATCH(B472,Batches!$A$5:$A$64,0))="","",INDEX(Batches!$G$5:$G$64,MATCH(B472,Batches!$A$5:$A$64,0))),"")))</f>
        <v/>
      </c>
      <c r="U472" s="23"/>
      <c r="V472" s="24"/>
      <c r="W472" s="28" t="str">
        <f aca="false">IF(OR(X472="",X472="Pending"),"",IF(V472&lt;&gt;"",V472,IFERROR(IF(INDEX(Batches!$H$5:$H$64,MATCH(B472,Batches!$A$5:$A$64,0))="","",INDEX(Batches!$H$5:$H$64,MATCH(B472,Batches!$A$5:$A$64,0))),"")))</f>
        <v/>
      </c>
      <c r="X472" s="23"/>
      <c r="Y472" s="23"/>
      <c r="Z472" s="26"/>
      <c r="AA472" s="27" t="str">
        <f aca="false">IF(R472="","",IF(X472="Not accepted",R472,IF(OR(X472="Accepted",X472="Withdrawn by hospital"),IF(X472="Accepted",0,R472),IF(ISNUMBER(Z472),R472-Z472,""))))</f>
        <v/>
      </c>
      <c r="AB472" s="23"/>
      <c r="AC472" s="25"/>
      <c r="AD472" s="23"/>
      <c r="AE472" s="23"/>
      <c r="AF472" s="24"/>
      <c r="AG472" s="23"/>
      <c r="AH472" s="24"/>
      <c r="AI472" s="29" t="str">
        <f aca="false">IF(X472="Not accepted","Maintained",IF(X472="Partially accepted","Partially maintained",IF(X472="Accepted","Reversed",IF(X472="Withdrawn by hospital","Withdrawn by hospital",""))))</f>
        <v/>
      </c>
      <c r="AJ472" s="28" t="str">
        <f aca="false">IF(AI472="","",W472)</f>
        <v/>
      </c>
      <c r="AK472" s="29" t="str">
        <f aca="false">IF(AND(ISNUMBER(T472),ISNUMBER(W472)),W472-T472,"")</f>
        <v/>
      </c>
      <c r="AL472" s="29" t="str">
        <f aca="false">IF(A472="","",SUMIF(Actions!$C$5:$C$1004,A472,Actions!$F$5:$F$1004))</f>
        <v/>
      </c>
      <c r="AM472" s="25"/>
    </row>
    <row r="473" customFormat="false" ht="15" hidden="false" customHeight="false" outlineLevel="0" collapsed="false">
      <c r="A473" s="23"/>
      <c r="B473" s="23"/>
      <c r="C473" s="23"/>
      <c r="D473" s="23"/>
      <c r="E473" s="23"/>
      <c r="F473" s="23"/>
      <c r="G473" s="23"/>
      <c r="H473" s="23"/>
      <c r="I473" s="23"/>
      <c r="J473" s="23"/>
      <c r="K473" s="24"/>
      <c r="L473" s="23"/>
      <c r="M473" s="25"/>
      <c r="N473" s="25"/>
      <c r="O473" s="23"/>
      <c r="P473" s="26"/>
      <c r="Q473" s="26"/>
      <c r="R473" s="27" t="str">
        <f aca="false">IF(AND(ISNUMBER(P473),ISNUMBER(Q473)),P473-Q473,"")</f>
        <v/>
      </c>
      <c r="S473" s="24"/>
      <c r="T473" s="28" t="str">
        <f aca="false">IF(S473&lt;&gt;"",S473,IF(B473="","",IFERROR(IF(INDEX(Batches!$G$5:$G$64,MATCH(B473,Batches!$A$5:$A$64,0))="","",INDEX(Batches!$G$5:$G$64,MATCH(B473,Batches!$A$5:$A$64,0))),"")))</f>
        <v/>
      </c>
      <c r="U473" s="23"/>
      <c r="V473" s="24"/>
      <c r="W473" s="28" t="str">
        <f aca="false">IF(OR(X473="",X473="Pending"),"",IF(V473&lt;&gt;"",V473,IFERROR(IF(INDEX(Batches!$H$5:$H$64,MATCH(B473,Batches!$A$5:$A$64,0))="","",INDEX(Batches!$H$5:$H$64,MATCH(B473,Batches!$A$5:$A$64,0))),"")))</f>
        <v/>
      </c>
      <c r="X473" s="23"/>
      <c r="Y473" s="23"/>
      <c r="Z473" s="26"/>
      <c r="AA473" s="27" t="str">
        <f aca="false">IF(R473="","",IF(X473="Not accepted",R473,IF(OR(X473="Accepted",X473="Withdrawn by hospital"),IF(X473="Accepted",0,R473),IF(ISNUMBER(Z473),R473-Z473,""))))</f>
        <v/>
      </c>
      <c r="AB473" s="23"/>
      <c r="AC473" s="25"/>
      <c r="AD473" s="23"/>
      <c r="AE473" s="23"/>
      <c r="AF473" s="24"/>
      <c r="AG473" s="23"/>
      <c r="AH473" s="24"/>
      <c r="AI473" s="29" t="str">
        <f aca="false">IF(X473="Not accepted","Maintained",IF(X473="Partially accepted","Partially maintained",IF(X473="Accepted","Reversed",IF(X473="Withdrawn by hospital","Withdrawn by hospital",""))))</f>
        <v/>
      </c>
      <c r="AJ473" s="28" t="str">
        <f aca="false">IF(AI473="","",W473)</f>
        <v/>
      </c>
      <c r="AK473" s="29" t="str">
        <f aca="false">IF(AND(ISNUMBER(T473),ISNUMBER(W473)),W473-T473,"")</f>
        <v/>
      </c>
      <c r="AL473" s="29" t="str">
        <f aca="false">IF(A473="","",SUMIF(Actions!$C$5:$C$1004,A473,Actions!$F$5:$F$1004))</f>
        <v/>
      </c>
      <c r="AM473" s="25"/>
    </row>
    <row r="474" customFormat="false" ht="15" hidden="false" customHeight="false" outlineLevel="0" collapsed="false">
      <c r="A474" s="23"/>
      <c r="B474" s="23"/>
      <c r="C474" s="23"/>
      <c r="D474" s="23"/>
      <c r="E474" s="23"/>
      <c r="F474" s="23"/>
      <c r="G474" s="23"/>
      <c r="H474" s="23"/>
      <c r="I474" s="23"/>
      <c r="J474" s="23"/>
      <c r="K474" s="24"/>
      <c r="L474" s="23"/>
      <c r="M474" s="25"/>
      <c r="N474" s="25"/>
      <c r="O474" s="23"/>
      <c r="P474" s="26"/>
      <c r="Q474" s="26"/>
      <c r="R474" s="27" t="str">
        <f aca="false">IF(AND(ISNUMBER(P474),ISNUMBER(Q474)),P474-Q474,"")</f>
        <v/>
      </c>
      <c r="S474" s="24"/>
      <c r="T474" s="28" t="str">
        <f aca="false">IF(S474&lt;&gt;"",S474,IF(B474="","",IFERROR(IF(INDEX(Batches!$G$5:$G$64,MATCH(B474,Batches!$A$5:$A$64,0))="","",INDEX(Batches!$G$5:$G$64,MATCH(B474,Batches!$A$5:$A$64,0))),"")))</f>
        <v/>
      </c>
      <c r="U474" s="23"/>
      <c r="V474" s="24"/>
      <c r="W474" s="28" t="str">
        <f aca="false">IF(OR(X474="",X474="Pending"),"",IF(V474&lt;&gt;"",V474,IFERROR(IF(INDEX(Batches!$H$5:$H$64,MATCH(B474,Batches!$A$5:$A$64,0))="","",INDEX(Batches!$H$5:$H$64,MATCH(B474,Batches!$A$5:$A$64,0))),"")))</f>
        <v/>
      </c>
      <c r="X474" s="23"/>
      <c r="Y474" s="23"/>
      <c r="Z474" s="26"/>
      <c r="AA474" s="27" t="str">
        <f aca="false">IF(R474="","",IF(X474="Not accepted",R474,IF(OR(X474="Accepted",X474="Withdrawn by hospital"),IF(X474="Accepted",0,R474),IF(ISNUMBER(Z474),R474-Z474,""))))</f>
        <v/>
      </c>
      <c r="AB474" s="23"/>
      <c r="AC474" s="25"/>
      <c r="AD474" s="23"/>
      <c r="AE474" s="23"/>
      <c r="AF474" s="24"/>
      <c r="AG474" s="23"/>
      <c r="AH474" s="24"/>
      <c r="AI474" s="29" t="str">
        <f aca="false">IF(X474="Not accepted","Maintained",IF(X474="Partially accepted","Partially maintained",IF(X474="Accepted","Reversed",IF(X474="Withdrawn by hospital","Withdrawn by hospital",""))))</f>
        <v/>
      </c>
      <c r="AJ474" s="28" t="str">
        <f aca="false">IF(AI474="","",W474)</f>
        <v/>
      </c>
      <c r="AK474" s="29" t="str">
        <f aca="false">IF(AND(ISNUMBER(T474),ISNUMBER(W474)),W474-T474,"")</f>
        <v/>
      </c>
      <c r="AL474" s="29" t="str">
        <f aca="false">IF(A474="","",SUMIF(Actions!$C$5:$C$1004,A474,Actions!$F$5:$F$1004))</f>
        <v/>
      </c>
      <c r="AM474" s="25"/>
    </row>
    <row r="475" customFormat="false" ht="15" hidden="false" customHeight="false" outlineLevel="0" collapsed="false">
      <c r="A475" s="23"/>
      <c r="B475" s="23"/>
      <c r="C475" s="23"/>
      <c r="D475" s="23"/>
      <c r="E475" s="23"/>
      <c r="F475" s="23"/>
      <c r="G475" s="23"/>
      <c r="H475" s="23"/>
      <c r="I475" s="23"/>
      <c r="J475" s="23"/>
      <c r="K475" s="24"/>
      <c r="L475" s="23"/>
      <c r="M475" s="25"/>
      <c r="N475" s="25"/>
      <c r="O475" s="23"/>
      <c r="P475" s="26"/>
      <c r="Q475" s="26"/>
      <c r="R475" s="27" t="str">
        <f aca="false">IF(AND(ISNUMBER(P475),ISNUMBER(Q475)),P475-Q475,"")</f>
        <v/>
      </c>
      <c r="S475" s="24"/>
      <c r="T475" s="28" t="str">
        <f aca="false">IF(S475&lt;&gt;"",S475,IF(B475="","",IFERROR(IF(INDEX(Batches!$G$5:$G$64,MATCH(B475,Batches!$A$5:$A$64,0))="","",INDEX(Batches!$G$5:$G$64,MATCH(B475,Batches!$A$5:$A$64,0))),"")))</f>
        <v/>
      </c>
      <c r="U475" s="23"/>
      <c r="V475" s="24"/>
      <c r="W475" s="28" t="str">
        <f aca="false">IF(OR(X475="",X475="Pending"),"",IF(V475&lt;&gt;"",V475,IFERROR(IF(INDEX(Batches!$H$5:$H$64,MATCH(B475,Batches!$A$5:$A$64,0))="","",INDEX(Batches!$H$5:$H$64,MATCH(B475,Batches!$A$5:$A$64,0))),"")))</f>
        <v/>
      </c>
      <c r="X475" s="23"/>
      <c r="Y475" s="23"/>
      <c r="Z475" s="26"/>
      <c r="AA475" s="27" t="str">
        <f aca="false">IF(R475="","",IF(X475="Not accepted",R475,IF(OR(X475="Accepted",X475="Withdrawn by hospital"),IF(X475="Accepted",0,R475),IF(ISNUMBER(Z475),R475-Z475,""))))</f>
        <v/>
      </c>
      <c r="AB475" s="23"/>
      <c r="AC475" s="25"/>
      <c r="AD475" s="23"/>
      <c r="AE475" s="23"/>
      <c r="AF475" s="24"/>
      <c r="AG475" s="23"/>
      <c r="AH475" s="24"/>
      <c r="AI475" s="29" t="str">
        <f aca="false">IF(X475="Not accepted","Maintained",IF(X475="Partially accepted","Partially maintained",IF(X475="Accepted","Reversed",IF(X475="Withdrawn by hospital","Withdrawn by hospital",""))))</f>
        <v/>
      </c>
      <c r="AJ475" s="28" t="str">
        <f aca="false">IF(AI475="","",W475)</f>
        <v/>
      </c>
      <c r="AK475" s="29" t="str">
        <f aca="false">IF(AND(ISNUMBER(T475),ISNUMBER(W475)),W475-T475,"")</f>
        <v/>
      </c>
      <c r="AL475" s="29" t="str">
        <f aca="false">IF(A475="","",SUMIF(Actions!$C$5:$C$1004,A475,Actions!$F$5:$F$1004))</f>
        <v/>
      </c>
      <c r="AM475" s="25"/>
    </row>
    <row r="476" customFormat="false" ht="15" hidden="false" customHeight="false" outlineLevel="0" collapsed="false">
      <c r="A476" s="23"/>
      <c r="B476" s="23"/>
      <c r="C476" s="23"/>
      <c r="D476" s="23"/>
      <c r="E476" s="23"/>
      <c r="F476" s="23"/>
      <c r="G476" s="23"/>
      <c r="H476" s="23"/>
      <c r="I476" s="23"/>
      <c r="J476" s="23"/>
      <c r="K476" s="24"/>
      <c r="L476" s="23"/>
      <c r="M476" s="25"/>
      <c r="N476" s="25"/>
      <c r="O476" s="23"/>
      <c r="P476" s="26"/>
      <c r="Q476" s="26"/>
      <c r="R476" s="27" t="str">
        <f aca="false">IF(AND(ISNUMBER(P476),ISNUMBER(Q476)),P476-Q476,"")</f>
        <v/>
      </c>
      <c r="S476" s="24"/>
      <c r="T476" s="28" t="str">
        <f aca="false">IF(S476&lt;&gt;"",S476,IF(B476="","",IFERROR(IF(INDEX(Batches!$G$5:$G$64,MATCH(B476,Batches!$A$5:$A$64,0))="","",INDEX(Batches!$G$5:$G$64,MATCH(B476,Batches!$A$5:$A$64,0))),"")))</f>
        <v/>
      </c>
      <c r="U476" s="23"/>
      <c r="V476" s="24"/>
      <c r="W476" s="28" t="str">
        <f aca="false">IF(OR(X476="",X476="Pending"),"",IF(V476&lt;&gt;"",V476,IFERROR(IF(INDEX(Batches!$H$5:$H$64,MATCH(B476,Batches!$A$5:$A$64,0))="","",INDEX(Batches!$H$5:$H$64,MATCH(B476,Batches!$A$5:$A$64,0))),"")))</f>
        <v/>
      </c>
      <c r="X476" s="23"/>
      <c r="Y476" s="23"/>
      <c r="Z476" s="26"/>
      <c r="AA476" s="27" t="str">
        <f aca="false">IF(R476="","",IF(X476="Not accepted",R476,IF(OR(X476="Accepted",X476="Withdrawn by hospital"),IF(X476="Accepted",0,R476),IF(ISNUMBER(Z476),R476-Z476,""))))</f>
        <v/>
      </c>
      <c r="AB476" s="23"/>
      <c r="AC476" s="25"/>
      <c r="AD476" s="23"/>
      <c r="AE476" s="23"/>
      <c r="AF476" s="24"/>
      <c r="AG476" s="23"/>
      <c r="AH476" s="24"/>
      <c r="AI476" s="29" t="str">
        <f aca="false">IF(X476="Not accepted","Maintained",IF(X476="Partially accepted","Partially maintained",IF(X476="Accepted","Reversed",IF(X476="Withdrawn by hospital","Withdrawn by hospital",""))))</f>
        <v/>
      </c>
      <c r="AJ476" s="28" t="str">
        <f aca="false">IF(AI476="","",W476)</f>
        <v/>
      </c>
      <c r="AK476" s="29" t="str">
        <f aca="false">IF(AND(ISNUMBER(T476),ISNUMBER(W476)),W476-T476,"")</f>
        <v/>
      </c>
      <c r="AL476" s="29" t="str">
        <f aca="false">IF(A476="","",SUMIF(Actions!$C$5:$C$1004,A476,Actions!$F$5:$F$1004))</f>
        <v/>
      </c>
      <c r="AM476" s="25"/>
    </row>
    <row r="477" customFormat="false" ht="15" hidden="false" customHeight="false" outlineLevel="0" collapsed="false">
      <c r="A477" s="23"/>
      <c r="B477" s="23"/>
      <c r="C477" s="23"/>
      <c r="D477" s="23"/>
      <c r="E477" s="23"/>
      <c r="F477" s="23"/>
      <c r="G477" s="23"/>
      <c r="H477" s="23"/>
      <c r="I477" s="23"/>
      <c r="J477" s="23"/>
      <c r="K477" s="24"/>
      <c r="L477" s="23"/>
      <c r="M477" s="25"/>
      <c r="N477" s="25"/>
      <c r="O477" s="23"/>
      <c r="P477" s="26"/>
      <c r="Q477" s="26"/>
      <c r="R477" s="27" t="str">
        <f aca="false">IF(AND(ISNUMBER(P477),ISNUMBER(Q477)),P477-Q477,"")</f>
        <v/>
      </c>
      <c r="S477" s="24"/>
      <c r="T477" s="28" t="str">
        <f aca="false">IF(S477&lt;&gt;"",S477,IF(B477="","",IFERROR(IF(INDEX(Batches!$G$5:$G$64,MATCH(B477,Batches!$A$5:$A$64,0))="","",INDEX(Batches!$G$5:$G$64,MATCH(B477,Batches!$A$5:$A$64,0))),"")))</f>
        <v/>
      </c>
      <c r="U477" s="23"/>
      <c r="V477" s="24"/>
      <c r="W477" s="28" t="str">
        <f aca="false">IF(OR(X477="",X477="Pending"),"",IF(V477&lt;&gt;"",V477,IFERROR(IF(INDEX(Batches!$H$5:$H$64,MATCH(B477,Batches!$A$5:$A$64,0))="","",INDEX(Batches!$H$5:$H$64,MATCH(B477,Batches!$A$5:$A$64,0))),"")))</f>
        <v/>
      </c>
      <c r="X477" s="23"/>
      <c r="Y477" s="23"/>
      <c r="Z477" s="26"/>
      <c r="AA477" s="27" t="str">
        <f aca="false">IF(R477="","",IF(X477="Not accepted",R477,IF(OR(X477="Accepted",X477="Withdrawn by hospital"),IF(X477="Accepted",0,R477),IF(ISNUMBER(Z477),R477-Z477,""))))</f>
        <v/>
      </c>
      <c r="AB477" s="23"/>
      <c r="AC477" s="25"/>
      <c r="AD477" s="23"/>
      <c r="AE477" s="23"/>
      <c r="AF477" s="24"/>
      <c r="AG477" s="23"/>
      <c r="AH477" s="24"/>
      <c r="AI477" s="29" t="str">
        <f aca="false">IF(X477="Not accepted","Maintained",IF(X477="Partially accepted","Partially maintained",IF(X477="Accepted","Reversed",IF(X477="Withdrawn by hospital","Withdrawn by hospital",""))))</f>
        <v/>
      </c>
      <c r="AJ477" s="28" t="str">
        <f aca="false">IF(AI477="","",W477)</f>
        <v/>
      </c>
      <c r="AK477" s="29" t="str">
        <f aca="false">IF(AND(ISNUMBER(T477),ISNUMBER(W477)),W477-T477,"")</f>
        <v/>
      </c>
      <c r="AL477" s="29" t="str">
        <f aca="false">IF(A477="","",SUMIF(Actions!$C$5:$C$1004,A477,Actions!$F$5:$F$1004))</f>
        <v/>
      </c>
      <c r="AM477" s="25"/>
    </row>
    <row r="478" customFormat="false" ht="15" hidden="false" customHeight="false" outlineLevel="0" collapsed="false">
      <c r="A478" s="23"/>
      <c r="B478" s="23"/>
      <c r="C478" s="23"/>
      <c r="D478" s="23"/>
      <c r="E478" s="23"/>
      <c r="F478" s="23"/>
      <c r="G478" s="23"/>
      <c r="H478" s="23"/>
      <c r="I478" s="23"/>
      <c r="J478" s="23"/>
      <c r="K478" s="24"/>
      <c r="L478" s="23"/>
      <c r="M478" s="25"/>
      <c r="N478" s="25"/>
      <c r="O478" s="23"/>
      <c r="P478" s="26"/>
      <c r="Q478" s="26"/>
      <c r="R478" s="27" t="str">
        <f aca="false">IF(AND(ISNUMBER(P478),ISNUMBER(Q478)),P478-Q478,"")</f>
        <v/>
      </c>
      <c r="S478" s="24"/>
      <c r="T478" s="28" t="str">
        <f aca="false">IF(S478&lt;&gt;"",S478,IF(B478="","",IFERROR(IF(INDEX(Batches!$G$5:$G$64,MATCH(B478,Batches!$A$5:$A$64,0))="","",INDEX(Batches!$G$5:$G$64,MATCH(B478,Batches!$A$5:$A$64,0))),"")))</f>
        <v/>
      </c>
      <c r="U478" s="23"/>
      <c r="V478" s="24"/>
      <c r="W478" s="28" t="str">
        <f aca="false">IF(OR(X478="",X478="Pending"),"",IF(V478&lt;&gt;"",V478,IFERROR(IF(INDEX(Batches!$H$5:$H$64,MATCH(B478,Batches!$A$5:$A$64,0))="","",INDEX(Batches!$H$5:$H$64,MATCH(B478,Batches!$A$5:$A$64,0))),"")))</f>
        <v/>
      </c>
      <c r="X478" s="23"/>
      <c r="Y478" s="23"/>
      <c r="Z478" s="26"/>
      <c r="AA478" s="27" t="str">
        <f aca="false">IF(R478="","",IF(X478="Not accepted",R478,IF(OR(X478="Accepted",X478="Withdrawn by hospital"),IF(X478="Accepted",0,R478),IF(ISNUMBER(Z478),R478-Z478,""))))</f>
        <v/>
      </c>
      <c r="AB478" s="23"/>
      <c r="AC478" s="25"/>
      <c r="AD478" s="23"/>
      <c r="AE478" s="23"/>
      <c r="AF478" s="24"/>
      <c r="AG478" s="23"/>
      <c r="AH478" s="24"/>
      <c r="AI478" s="29" t="str">
        <f aca="false">IF(X478="Not accepted","Maintained",IF(X478="Partially accepted","Partially maintained",IF(X478="Accepted","Reversed",IF(X478="Withdrawn by hospital","Withdrawn by hospital",""))))</f>
        <v/>
      </c>
      <c r="AJ478" s="28" t="str">
        <f aca="false">IF(AI478="","",W478)</f>
        <v/>
      </c>
      <c r="AK478" s="29" t="str">
        <f aca="false">IF(AND(ISNUMBER(T478),ISNUMBER(W478)),W478-T478,"")</f>
        <v/>
      </c>
      <c r="AL478" s="29" t="str">
        <f aca="false">IF(A478="","",SUMIF(Actions!$C$5:$C$1004,A478,Actions!$F$5:$F$1004))</f>
        <v/>
      </c>
      <c r="AM478" s="25"/>
    </row>
    <row r="479" customFormat="false" ht="15" hidden="false" customHeight="false" outlineLevel="0" collapsed="false">
      <c r="A479" s="23"/>
      <c r="B479" s="23"/>
      <c r="C479" s="23"/>
      <c r="D479" s="23"/>
      <c r="E479" s="23"/>
      <c r="F479" s="23"/>
      <c r="G479" s="23"/>
      <c r="H479" s="23"/>
      <c r="I479" s="23"/>
      <c r="J479" s="23"/>
      <c r="K479" s="24"/>
      <c r="L479" s="23"/>
      <c r="M479" s="25"/>
      <c r="N479" s="25"/>
      <c r="O479" s="23"/>
      <c r="P479" s="26"/>
      <c r="Q479" s="26"/>
      <c r="R479" s="27" t="str">
        <f aca="false">IF(AND(ISNUMBER(P479),ISNUMBER(Q479)),P479-Q479,"")</f>
        <v/>
      </c>
      <c r="S479" s="24"/>
      <c r="T479" s="28" t="str">
        <f aca="false">IF(S479&lt;&gt;"",S479,IF(B479="","",IFERROR(IF(INDEX(Batches!$G$5:$G$64,MATCH(B479,Batches!$A$5:$A$64,0))="","",INDEX(Batches!$G$5:$G$64,MATCH(B479,Batches!$A$5:$A$64,0))),"")))</f>
        <v/>
      </c>
      <c r="U479" s="23"/>
      <c r="V479" s="24"/>
      <c r="W479" s="28" t="str">
        <f aca="false">IF(OR(X479="",X479="Pending"),"",IF(V479&lt;&gt;"",V479,IFERROR(IF(INDEX(Batches!$H$5:$H$64,MATCH(B479,Batches!$A$5:$A$64,0))="","",INDEX(Batches!$H$5:$H$64,MATCH(B479,Batches!$A$5:$A$64,0))),"")))</f>
        <v/>
      </c>
      <c r="X479" s="23"/>
      <c r="Y479" s="23"/>
      <c r="Z479" s="26"/>
      <c r="AA479" s="27" t="str">
        <f aca="false">IF(R479="","",IF(X479="Not accepted",R479,IF(OR(X479="Accepted",X479="Withdrawn by hospital"),IF(X479="Accepted",0,R479),IF(ISNUMBER(Z479),R479-Z479,""))))</f>
        <v/>
      </c>
      <c r="AB479" s="23"/>
      <c r="AC479" s="25"/>
      <c r="AD479" s="23"/>
      <c r="AE479" s="23"/>
      <c r="AF479" s="24"/>
      <c r="AG479" s="23"/>
      <c r="AH479" s="24"/>
      <c r="AI479" s="29" t="str">
        <f aca="false">IF(X479="Not accepted","Maintained",IF(X479="Partially accepted","Partially maintained",IF(X479="Accepted","Reversed",IF(X479="Withdrawn by hospital","Withdrawn by hospital",""))))</f>
        <v/>
      </c>
      <c r="AJ479" s="28" t="str">
        <f aca="false">IF(AI479="","",W479)</f>
        <v/>
      </c>
      <c r="AK479" s="29" t="str">
        <f aca="false">IF(AND(ISNUMBER(T479),ISNUMBER(W479)),W479-T479,"")</f>
        <v/>
      </c>
      <c r="AL479" s="29" t="str">
        <f aca="false">IF(A479="","",SUMIF(Actions!$C$5:$C$1004,A479,Actions!$F$5:$F$1004))</f>
        <v/>
      </c>
      <c r="AM479" s="25"/>
    </row>
    <row r="480" customFormat="false" ht="15" hidden="false" customHeight="false" outlineLevel="0" collapsed="false">
      <c r="A480" s="23"/>
      <c r="B480" s="23"/>
      <c r="C480" s="23"/>
      <c r="D480" s="23"/>
      <c r="E480" s="23"/>
      <c r="F480" s="23"/>
      <c r="G480" s="23"/>
      <c r="H480" s="23"/>
      <c r="I480" s="23"/>
      <c r="J480" s="23"/>
      <c r="K480" s="24"/>
      <c r="L480" s="23"/>
      <c r="M480" s="25"/>
      <c r="N480" s="25"/>
      <c r="O480" s="23"/>
      <c r="P480" s="26"/>
      <c r="Q480" s="26"/>
      <c r="R480" s="27" t="str">
        <f aca="false">IF(AND(ISNUMBER(P480),ISNUMBER(Q480)),P480-Q480,"")</f>
        <v/>
      </c>
      <c r="S480" s="24"/>
      <c r="T480" s="28" t="str">
        <f aca="false">IF(S480&lt;&gt;"",S480,IF(B480="","",IFERROR(IF(INDEX(Batches!$G$5:$G$64,MATCH(B480,Batches!$A$5:$A$64,0))="","",INDEX(Batches!$G$5:$G$64,MATCH(B480,Batches!$A$5:$A$64,0))),"")))</f>
        <v/>
      </c>
      <c r="U480" s="23"/>
      <c r="V480" s="24"/>
      <c r="W480" s="28" t="str">
        <f aca="false">IF(OR(X480="",X480="Pending"),"",IF(V480&lt;&gt;"",V480,IFERROR(IF(INDEX(Batches!$H$5:$H$64,MATCH(B480,Batches!$A$5:$A$64,0))="","",INDEX(Batches!$H$5:$H$64,MATCH(B480,Batches!$A$5:$A$64,0))),"")))</f>
        <v/>
      </c>
      <c r="X480" s="23"/>
      <c r="Y480" s="23"/>
      <c r="Z480" s="26"/>
      <c r="AA480" s="27" t="str">
        <f aca="false">IF(R480="","",IF(X480="Not accepted",R480,IF(OR(X480="Accepted",X480="Withdrawn by hospital"),IF(X480="Accepted",0,R480),IF(ISNUMBER(Z480),R480-Z480,""))))</f>
        <v/>
      </c>
      <c r="AB480" s="23"/>
      <c r="AC480" s="25"/>
      <c r="AD480" s="23"/>
      <c r="AE480" s="23"/>
      <c r="AF480" s="24"/>
      <c r="AG480" s="23"/>
      <c r="AH480" s="24"/>
      <c r="AI480" s="29" t="str">
        <f aca="false">IF(X480="Not accepted","Maintained",IF(X480="Partially accepted","Partially maintained",IF(X480="Accepted","Reversed",IF(X480="Withdrawn by hospital","Withdrawn by hospital",""))))</f>
        <v/>
      </c>
      <c r="AJ480" s="28" t="str">
        <f aca="false">IF(AI480="","",W480)</f>
        <v/>
      </c>
      <c r="AK480" s="29" t="str">
        <f aca="false">IF(AND(ISNUMBER(T480),ISNUMBER(W480)),W480-T480,"")</f>
        <v/>
      </c>
      <c r="AL480" s="29" t="str">
        <f aca="false">IF(A480="","",SUMIF(Actions!$C$5:$C$1004,A480,Actions!$F$5:$F$1004))</f>
        <v/>
      </c>
      <c r="AM480" s="25"/>
    </row>
    <row r="481" customFormat="false" ht="15" hidden="false" customHeight="false" outlineLevel="0" collapsed="false">
      <c r="A481" s="23"/>
      <c r="B481" s="23"/>
      <c r="C481" s="23"/>
      <c r="D481" s="23"/>
      <c r="E481" s="23"/>
      <c r="F481" s="23"/>
      <c r="G481" s="23"/>
      <c r="H481" s="23"/>
      <c r="I481" s="23"/>
      <c r="J481" s="23"/>
      <c r="K481" s="24"/>
      <c r="L481" s="23"/>
      <c r="M481" s="25"/>
      <c r="N481" s="25"/>
      <c r="O481" s="23"/>
      <c r="P481" s="26"/>
      <c r="Q481" s="26"/>
      <c r="R481" s="27" t="str">
        <f aca="false">IF(AND(ISNUMBER(P481),ISNUMBER(Q481)),P481-Q481,"")</f>
        <v/>
      </c>
      <c r="S481" s="24"/>
      <c r="T481" s="28" t="str">
        <f aca="false">IF(S481&lt;&gt;"",S481,IF(B481="","",IFERROR(IF(INDEX(Batches!$G$5:$G$64,MATCH(B481,Batches!$A$5:$A$64,0))="","",INDEX(Batches!$G$5:$G$64,MATCH(B481,Batches!$A$5:$A$64,0))),"")))</f>
        <v/>
      </c>
      <c r="U481" s="23"/>
      <c r="V481" s="24"/>
      <c r="W481" s="28" t="str">
        <f aca="false">IF(OR(X481="",X481="Pending"),"",IF(V481&lt;&gt;"",V481,IFERROR(IF(INDEX(Batches!$H$5:$H$64,MATCH(B481,Batches!$A$5:$A$64,0))="","",INDEX(Batches!$H$5:$H$64,MATCH(B481,Batches!$A$5:$A$64,0))),"")))</f>
        <v/>
      </c>
      <c r="X481" s="23"/>
      <c r="Y481" s="23"/>
      <c r="Z481" s="26"/>
      <c r="AA481" s="27" t="str">
        <f aca="false">IF(R481="","",IF(X481="Not accepted",R481,IF(OR(X481="Accepted",X481="Withdrawn by hospital"),IF(X481="Accepted",0,R481),IF(ISNUMBER(Z481),R481-Z481,""))))</f>
        <v/>
      </c>
      <c r="AB481" s="23"/>
      <c r="AC481" s="25"/>
      <c r="AD481" s="23"/>
      <c r="AE481" s="23"/>
      <c r="AF481" s="24"/>
      <c r="AG481" s="23"/>
      <c r="AH481" s="24"/>
      <c r="AI481" s="29" t="str">
        <f aca="false">IF(X481="Not accepted","Maintained",IF(X481="Partially accepted","Partially maintained",IF(X481="Accepted","Reversed",IF(X481="Withdrawn by hospital","Withdrawn by hospital",""))))</f>
        <v/>
      </c>
      <c r="AJ481" s="28" t="str">
        <f aca="false">IF(AI481="","",W481)</f>
        <v/>
      </c>
      <c r="AK481" s="29" t="str">
        <f aca="false">IF(AND(ISNUMBER(T481),ISNUMBER(W481)),W481-T481,"")</f>
        <v/>
      </c>
      <c r="AL481" s="29" t="str">
        <f aca="false">IF(A481="","",SUMIF(Actions!$C$5:$C$1004,A481,Actions!$F$5:$F$1004))</f>
        <v/>
      </c>
      <c r="AM481" s="25"/>
    </row>
    <row r="482" customFormat="false" ht="15" hidden="false" customHeight="false" outlineLevel="0" collapsed="false">
      <c r="A482" s="23"/>
      <c r="B482" s="23"/>
      <c r="C482" s="23"/>
      <c r="D482" s="23"/>
      <c r="E482" s="23"/>
      <c r="F482" s="23"/>
      <c r="G482" s="23"/>
      <c r="H482" s="23"/>
      <c r="I482" s="23"/>
      <c r="J482" s="23"/>
      <c r="K482" s="24"/>
      <c r="L482" s="23"/>
      <c r="M482" s="25"/>
      <c r="N482" s="25"/>
      <c r="O482" s="23"/>
      <c r="P482" s="26"/>
      <c r="Q482" s="26"/>
      <c r="R482" s="27" t="str">
        <f aca="false">IF(AND(ISNUMBER(P482),ISNUMBER(Q482)),P482-Q482,"")</f>
        <v/>
      </c>
      <c r="S482" s="24"/>
      <c r="T482" s="28" t="str">
        <f aca="false">IF(S482&lt;&gt;"",S482,IF(B482="","",IFERROR(IF(INDEX(Batches!$G$5:$G$64,MATCH(B482,Batches!$A$5:$A$64,0))="","",INDEX(Batches!$G$5:$G$64,MATCH(B482,Batches!$A$5:$A$64,0))),"")))</f>
        <v/>
      </c>
      <c r="U482" s="23"/>
      <c r="V482" s="24"/>
      <c r="W482" s="28" t="str">
        <f aca="false">IF(OR(X482="",X482="Pending"),"",IF(V482&lt;&gt;"",V482,IFERROR(IF(INDEX(Batches!$H$5:$H$64,MATCH(B482,Batches!$A$5:$A$64,0))="","",INDEX(Batches!$H$5:$H$64,MATCH(B482,Batches!$A$5:$A$64,0))),"")))</f>
        <v/>
      </c>
      <c r="X482" s="23"/>
      <c r="Y482" s="23"/>
      <c r="Z482" s="26"/>
      <c r="AA482" s="27" t="str">
        <f aca="false">IF(R482="","",IF(X482="Not accepted",R482,IF(OR(X482="Accepted",X482="Withdrawn by hospital"),IF(X482="Accepted",0,R482),IF(ISNUMBER(Z482),R482-Z482,""))))</f>
        <v/>
      </c>
      <c r="AB482" s="23"/>
      <c r="AC482" s="25"/>
      <c r="AD482" s="23"/>
      <c r="AE482" s="23"/>
      <c r="AF482" s="24"/>
      <c r="AG482" s="23"/>
      <c r="AH482" s="24"/>
      <c r="AI482" s="29" t="str">
        <f aca="false">IF(X482="Not accepted","Maintained",IF(X482="Partially accepted","Partially maintained",IF(X482="Accepted","Reversed",IF(X482="Withdrawn by hospital","Withdrawn by hospital",""))))</f>
        <v/>
      </c>
      <c r="AJ482" s="28" t="str">
        <f aca="false">IF(AI482="","",W482)</f>
        <v/>
      </c>
      <c r="AK482" s="29" t="str">
        <f aca="false">IF(AND(ISNUMBER(T482),ISNUMBER(W482)),W482-T482,"")</f>
        <v/>
      </c>
      <c r="AL482" s="29" t="str">
        <f aca="false">IF(A482="","",SUMIF(Actions!$C$5:$C$1004,A482,Actions!$F$5:$F$1004))</f>
        <v/>
      </c>
      <c r="AM482" s="25"/>
    </row>
    <row r="483" customFormat="false" ht="15" hidden="false" customHeight="false" outlineLevel="0" collapsed="false">
      <c r="A483" s="23"/>
      <c r="B483" s="23"/>
      <c r="C483" s="23"/>
      <c r="D483" s="23"/>
      <c r="E483" s="23"/>
      <c r="F483" s="23"/>
      <c r="G483" s="23"/>
      <c r="H483" s="23"/>
      <c r="I483" s="23"/>
      <c r="J483" s="23"/>
      <c r="K483" s="24"/>
      <c r="L483" s="23"/>
      <c r="M483" s="25"/>
      <c r="N483" s="25"/>
      <c r="O483" s="23"/>
      <c r="P483" s="26"/>
      <c r="Q483" s="26"/>
      <c r="R483" s="27" t="str">
        <f aca="false">IF(AND(ISNUMBER(P483),ISNUMBER(Q483)),P483-Q483,"")</f>
        <v/>
      </c>
      <c r="S483" s="24"/>
      <c r="T483" s="28" t="str">
        <f aca="false">IF(S483&lt;&gt;"",S483,IF(B483="","",IFERROR(IF(INDEX(Batches!$G$5:$G$64,MATCH(B483,Batches!$A$5:$A$64,0))="","",INDEX(Batches!$G$5:$G$64,MATCH(B483,Batches!$A$5:$A$64,0))),"")))</f>
        <v/>
      </c>
      <c r="U483" s="23"/>
      <c r="V483" s="24"/>
      <c r="W483" s="28" t="str">
        <f aca="false">IF(OR(X483="",X483="Pending"),"",IF(V483&lt;&gt;"",V483,IFERROR(IF(INDEX(Batches!$H$5:$H$64,MATCH(B483,Batches!$A$5:$A$64,0))="","",INDEX(Batches!$H$5:$H$64,MATCH(B483,Batches!$A$5:$A$64,0))),"")))</f>
        <v/>
      </c>
      <c r="X483" s="23"/>
      <c r="Y483" s="23"/>
      <c r="Z483" s="26"/>
      <c r="AA483" s="27" t="str">
        <f aca="false">IF(R483="","",IF(X483="Not accepted",R483,IF(OR(X483="Accepted",X483="Withdrawn by hospital"),IF(X483="Accepted",0,R483),IF(ISNUMBER(Z483),R483-Z483,""))))</f>
        <v/>
      </c>
      <c r="AB483" s="23"/>
      <c r="AC483" s="25"/>
      <c r="AD483" s="23"/>
      <c r="AE483" s="23"/>
      <c r="AF483" s="24"/>
      <c r="AG483" s="23"/>
      <c r="AH483" s="24"/>
      <c r="AI483" s="29" t="str">
        <f aca="false">IF(X483="Not accepted","Maintained",IF(X483="Partially accepted","Partially maintained",IF(X483="Accepted","Reversed",IF(X483="Withdrawn by hospital","Withdrawn by hospital",""))))</f>
        <v/>
      </c>
      <c r="AJ483" s="28" t="str">
        <f aca="false">IF(AI483="","",W483)</f>
        <v/>
      </c>
      <c r="AK483" s="29" t="str">
        <f aca="false">IF(AND(ISNUMBER(T483),ISNUMBER(W483)),W483-T483,"")</f>
        <v/>
      </c>
      <c r="AL483" s="29" t="str">
        <f aca="false">IF(A483="","",SUMIF(Actions!$C$5:$C$1004,A483,Actions!$F$5:$F$1004))</f>
        <v/>
      </c>
      <c r="AM483" s="25"/>
    </row>
    <row r="484" customFormat="false" ht="15" hidden="false" customHeight="false" outlineLevel="0" collapsed="false">
      <c r="A484" s="23"/>
      <c r="B484" s="23"/>
      <c r="C484" s="23"/>
      <c r="D484" s="23"/>
      <c r="E484" s="23"/>
      <c r="F484" s="23"/>
      <c r="G484" s="23"/>
      <c r="H484" s="23"/>
      <c r="I484" s="23"/>
      <c r="J484" s="23"/>
      <c r="K484" s="24"/>
      <c r="L484" s="23"/>
      <c r="M484" s="25"/>
      <c r="N484" s="25"/>
      <c r="O484" s="23"/>
      <c r="P484" s="26"/>
      <c r="Q484" s="26"/>
      <c r="R484" s="27" t="str">
        <f aca="false">IF(AND(ISNUMBER(P484),ISNUMBER(Q484)),P484-Q484,"")</f>
        <v/>
      </c>
      <c r="S484" s="24"/>
      <c r="T484" s="28" t="str">
        <f aca="false">IF(S484&lt;&gt;"",S484,IF(B484="","",IFERROR(IF(INDEX(Batches!$G$5:$G$64,MATCH(B484,Batches!$A$5:$A$64,0))="","",INDEX(Batches!$G$5:$G$64,MATCH(B484,Batches!$A$5:$A$64,0))),"")))</f>
        <v/>
      </c>
      <c r="U484" s="23"/>
      <c r="V484" s="24"/>
      <c r="W484" s="28" t="str">
        <f aca="false">IF(OR(X484="",X484="Pending"),"",IF(V484&lt;&gt;"",V484,IFERROR(IF(INDEX(Batches!$H$5:$H$64,MATCH(B484,Batches!$A$5:$A$64,0))="","",INDEX(Batches!$H$5:$H$64,MATCH(B484,Batches!$A$5:$A$64,0))),"")))</f>
        <v/>
      </c>
      <c r="X484" s="23"/>
      <c r="Y484" s="23"/>
      <c r="Z484" s="26"/>
      <c r="AA484" s="27" t="str">
        <f aca="false">IF(R484="","",IF(X484="Not accepted",R484,IF(OR(X484="Accepted",X484="Withdrawn by hospital"),IF(X484="Accepted",0,R484),IF(ISNUMBER(Z484),R484-Z484,""))))</f>
        <v/>
      </c>
      <c r="AB484" s="23"/>
      <c r="AC484" s="25"/>
      <c r="AD484" s="23"/>
      <c r="AE484" s="23"/>
      <c r="AF484" s="24"/>
      <c r="AG484" s="23"/>
      <c r="AH484" s="24"/>
      <c r="AI484" s="29" t="str">
        <f aca="false">IF(X484="Not accepted","Maintained",IF(X484="Partially accepted","Partially maintained",IF(X484="Accepted","Reversed",IF(X484="Withdrawn by hospital","Withdrawn by hospital",""))))</f>
        <v/>
      </c>
      <c r="AJ484" s="28" t="str">
        <f aca="false">IF(AI484="","",W484)</f>
        <v/>
      </c>
      <c r="AK484" s="29" t="str">
        <f aca="false">IF(AND(ISNUMBER(T484),ISNUMBER(W484)),W484-T484,"")</f>
        <v/>
      </c>
      <c r="AL484" s="29" t="str">
        <f aca="false">IF(A484="","",SUMIF(Actions!$C$5:$C$1004,A484,Actions!$F$5:$F$1004))</f>
        <v/>
      </c>
      <c r="AM484" s="25"/>
    </row>
    <row r="485" customFormat="false" ht="15" hidden="false" customHeight="false" outlineLevel="0" collapsed="false">
      <c r="A485" s="23"/>
      <c r="B485" s="23"/>
      <c r="C485" s="23"/>
      <c r="D485" s="23"/>
      <c r="E485" s="23"/>
      <c r="F485" s="23"/>
      <c r="G485" s="23"/>
      <c r="H485" s="23"/>
      <c r="I485" s="23"/>
      <c r="J485" s="23"/>
      <c r="K485" s="24"/>
      <c r="L485" s="23"/>
      <c r="M485" s="25"/>
      <c r="N485" s="25"/>
      <c r="O485" s="23"/>
      <c r="P485" s="26"/>
      <c r="Q485" s="26"/>
      <c r="R485" s="27" t="str">
        <f aca="false">IF(AND(ISNUMBER(P485),ISNUMBER(Q485)),P485-Q485,"")</f>
        <v/>
      </c>
      <c r="S485" s="24"/>
      <c r="T485" s="28" t="str">
        <f aca="false">IF(S485&lt;&gt;"",S485,IF(B485="","",IFERROR(IF(INDEX(Batches!$G$5:$G$64,MATCH(B485,Batches!$A$5:$A$64,0))="","",INDEX(Batches!$G$5:$G$64,MATCH(B485,Batches!$A$5:$A$64,0))),"")))</f>
        <v/>
      </c>
      <c r="U485" s="23"/>
      <c r="V485" s="24"/>
      <c r="W485" s="28" t="str">
        <f aca="false">IF(OR(X485="",X485="Pending"),"",IF(V485&lt;&gt;"",V485,IFERROR(IF(INDEX(Batches!$H$5:$H$64,MATCH(B485,Batches!$A$5:$A$64,0))="","",INDEX(Batches!$H$5:$H$64,MATCH(B485,Batches!$A$5:$A$64,0))),"")))</f>
        <v/>
      </c>
      <c r="X485" s="23"/>
      <c r="Y485" s="23"/>
      <c r="Z485" s="26"/>
      <c r="AA485" s="27" t="str">
        <f aca="false">IF(R485="","",IF(X485="Not accepted",R485,IF(OR(X485="Accepted",X485="Withdrawn by hospital"),IF(X485="Accepted",0,R485),IF(ISNUMBER(Z485),R485-Z485,""))))</f>
        <v/>
      </c>
      <c r="AB485" s="23"/>
      <c r="AC485" s="25"/>
      <c r="AD485" s="23"/>
      <c r="AE485" s="23"/>
      <c r="AF485" s="24"/>
      <c r="AG485" s="23"/>
      <c r="AH485" s="24"/>
      <c r="AI485" s="29" t="str">
        <f aca="false">IF(X485="Not accepted","Maintained",IF(X485="Partially accepted","Partially maintained",IF(X485="Accepted","Reversed",IF(X485="Withdrawn by hospital","Withdrawn by hospital",""))))</f>
        <v/>
      </c>
      <c r="AJ485" s="28" t="str">
        <f aca="false">IF(AI485="","",W485)</f>
        <v/>
      </c>
      <c r="AK485" s="29" t="str">
        <f aca="false">IF(AND(ISNUMBER(T485),ISNUMBER(W485)),W485-T485,"")</f>
        <v/>
      </c>
      <c r="AL485" s="29" t="str">
        <f aca="false">IF(A485="","",SUMIF(Actions!$C$5:$C$1004,A485,Actions!$F$5:$F$1004))</f>
        <v/>
      </c>
      <c r="AM485" s="25"/>
    </row>
    <row r="486" customFormat="false" ht="15" hidden="false" customHeight="false" outlineLevel="0" collapsed="false">
      <c r="A486" s="23"/>
      <c r="B486" s="23"/>
      <c r="C486" s="23"/>
      <c r="D486" s="23"/>
      <c r="E486" s="23"/>
      <c r="F486" s="23"/>
      <c r="G486" s="23"/>
      <c r="H486" s="23"/>
      <c r="I486" s="23"/>
      <c r="J486" s="23"/>
      <c r="K486" s="24"/>
      <c r="L486" s="23"/>
      <c r="M486" s="25"/>
      <c r="N486" s="25"/>
      <c r="O486" s="23"/>
      <c r="P486" s="26"/>
      <c r="Q486" s="26"/>
      <c r="R486" s="27" t="str">
        <f aca="false">IF(AND(ISNUMBER(P486),ISNUMBER(Q486)),P486-Q486,"")</f>
        <v/>
      </c>
      <c r="S486" s="24"/>
      <c r="T486" s="28" t="str">
        <f aca="false">IF(S486&lt;&gt;"",S486,IF(B486="","",IFERROR(IF(INDEX(Batches!$G$5:$G$64,MATCH(B486,Batches!$A$5:$A$64,0))="","",INDEX(Batches!$G$5:$G$64,MATCH(B486,Batches!$A$5:$A$64,0))),"")))</f>
        <v/>
      </c>
      <c r="U486" s="23"/>
      <c r="V486" s="24"/>
      <c r="W486" s="28" t="str">
        <f aca="false">IF(OR(X486="",X486="Pending"),"",IF(V486&lt;&gt;"",V486,IFERROR(IF(INDEX(Batches!$H$5:$H$64,MATCH(B486,Batches!$A$5:$A$64,0))="","",INDEX(Batches!$H$5:$H$64,MATCH(B486,Batches!$A$5:$A$64,0))),"")))</f>
        <v/>
      </c>
      <c r="X486" s="23"/>
      <c r="Y486" s="23"/>
      <c r="Z486" s="26"/>
      <c r="AA486" s="27" t="str">
        <f aca="false">IF(R486="","",IF(X486="Not accepted",R486,IF(OR(X486="Accepted",X486="Withdrawn by hospital"),IF(X486="Accepted",0,R486),IF(ISNUMBER(Z486),R486-Z486,""))))</f>
        <v/>
      </c>
      <c r="AB486" s="23"/>
      <c r="AC486" s="25"/>
      <c r="AD486" s="23"/>
      <c r="AE486" s="23"/>
      <c r="AF486" s="24"/>
      <c r="AG486" s="23"/>
      <c r="AH486" s="24"/>
      <c r="AI486" s="29" t="str">
        <f aca="false">IF(X486="Not accepted","Maintained",IF(X486="Partially accepted","Partially maintained",IF(X486="Accepted","Reversed",IF(X486="Withdrawn by hospital","Withdrawn by hospital",""))))</f>
        <v/>
      </c>
      <c r="AJ486" s="28" t="str">
        <f aca="false">IF(AI486="","",W486)</f>
        <v/>
      </c>
      <c r="AK486" s="29" t="str">
        <f aca="false">IF(AND(ISNUMBER(T486),ISNUMBER(W486)),W486-T486,"")</f>
        <v/>
      </c>
      <c r="AL486" s="29" t="str">
        <f aca="false">IF(A486="","",SUMIF(Actions!$C$5:$C$1004,A486,Actions!$F$5:$F$1004))</f>
        <v/>
      </c>
      <c r="AM486" s="25"/>
    </row>
    <row r="487" customFormat="false" ht="15" hidden="false" customHeight="false" outlineLevel="0" collapsed="false">
      <c r="A487" s="23"/>
      <c r="B487" s="23"/>
      <c r="C487" s="23"/>
      <c r="D487" s="23"/>
      <c r="E487" s="23"/>
      <c r="F487" s="23"/>
      <c r="G487" s="23"/>
      <c r="H487" s="23"/>
      <c r="I487" s="23"/>
      <c r="J487" s="23"/>
      <c r="K487" s="24"/>
      <c r="L487" s="23"/>
      <c r="M487" s="25"/>
      <c r="N487" s="25"/>
      <c r="O487" s="23"/>
      <c r="P487" s="26"/>
      <c r="Q487" s="26"/>
      <c r="R487" s="27" t="str">
        <f aca="false">IF(AND(ISNUMBER(P487),ISNUMBER(Q487)),P487-Q487,"")</f>
        <v/>
      </c>
      <c r="S487" s="24"/>
      <c r="T487" s="28" t="str">
        <f aca="false">IF(S487&lt;&gt;"",S487,IF(B487="","",IFERROR(IF(INDEX(Batches!$G$5:$G$64,MATCH(B487,Batches!$A$5:$A$64,0))="","",INDEX(Batches!$G$5:$G$64,MATCH(B487,Batches!$A$5:$A$64,0))),"")))</f>
        <v/>
      </c>
      <c r="U487" s="23"/>
      <c r="V487" s="24"/>
      <c r="W487" s="28" t="str">
        <f aca="false">IF(OR(X487="",X487="Pending"),"",IF(V487&lt;&gt;"",V487,IFERROR(IF(INDEX(Batches!$H$5:$H$64,MATCH(B487,Batches!$A$5:$A$64,0))="","",INDEX(Batches!$H$5:$H$64,MATCH(B487,Batches!$A$5:$A$64,0))),"")))</f>
        <v/>
      </c>
      <c r="X487" s="23"/>
      <c r="Y487" s="23"/>
      <c r="Z487" s="26"/>
      <c r="AA487" s="27" t="str">
        <f aca="false">IF(R487="","",IF(X487="Not accepted",R487,IF(OR(X487="Accepted",X487="Withdrawn by hospital"),IF(X487="Accepted",0,R487),IF(ISNUMBER(Z487),R487-Z487,""))))</f>
        <v/>
      </c>
      <c r="AB487" s="23"/>
      <c r="AC487" s="25"/>
      <c r="AD487" s="23"/>
      <c r="AE487" s="23"/>
      <c r="AF487" s="24"/>
      <c r="AG487" s="23"/>
      <c r="AH487" s="24"/>
      <c r="AI487" s="29" t="str">
        <f aca="false">IF(X487="Not accepted","Maintained",IF(X487="Partially accepted","Partially maintained",IF(X487="Accepted","Reversed",IF(X487="Withdrawn by hospital","Withdrawn by hospital",""))))</f>
        <v/>
      </c>
      <c r="AJ487" s="28" t="str">
        <f aca="false">IF(AI487="","",W487)</f>
        <v/>
      </c>
      <c r="AK487" s="29" t="str">
        <f aca="false">IF(AND(ISNUMBER(T487),ISNUMBER(W487)),W487-T487,"")</f>
        <v/>
      </c>
      <c r="AL487" s="29" t="str">
        <f aca="false">IF(A487="","",SUMIF(Actions!$C$5:$C$1004,A487,Actions!$F$5:$F$1004))</f>
        <v/>
      </c>
      <c r="AM487" s="25"/>
    </row>
    <row r="488" customFormat="false" ht="15" hidden="false" customHeight="false" outlineLevel="0" collapsed="false">
      <c r="A488" s="23"/>
      <c r="B488" s="23"/>
      <c r="C488" s="23"/>
      <c r="D488" s="23"/>
      <c r="E488" s="23"/>
      <c r="F488" s="23"/>
      <c r="G488" s="23"/>
      <c r="H488" s="23"/>
      <c r="I488" s="23"/>
      <c r="J488" s="23"/>
      <c r="K488" s="24"/>
      <c r="L488" s="23"/>
      <c r="M488" s="25"/>
      <c r="N488" s="25"/>
      <c r="O488" s="23"/>
      <c r="P488" s="26"/>
      <c r="Q488" s="26"/>
      <c r="R488" s="27" t="str">
        <f aca="false">IF(AND(ISNUMBER(P488),ISNUMBER(Q488)),P488-Q488,"")</f>
        <v/>
      </c>
      <c r="S488" s="24"/>
      <c r="T488" s="28" t="str">
        <f aca="false">IF(S488&lt;&gt;"",S488,IF(B488="","",IFERROR(IF(INDEX(Batches!$G$5:$G$64,MATCH(B488,Batches!$A$5:$A$64,0))="","",INDEX(Batches!$G$5:$G$64,MATCH(B488,Batches!$A$5:$A$64,0))),"")))</f>
        <v/>
      </c>
      <c r="U488" s="23"/>
      <c r="V488" s="24"/>
      <c r="W488" s="28" t="str">
        <f aca="false">IF(OR(X488="",X488="Pending"),"",IF(V488&lt;&gt;"",V488,IFERROR(IF(INDEX(Batches!$H$5:$H$64,MATCH(B488,Batches!$A$5:$A$64,0))="","",INDEX(Batches!$H$5:$H$64,MATCH(B488,Batches!$A$5:$A$64,0))),"")))</f>
        <v/>
      </c>
      <c r="X488" s="23"/>
      <c r="Y488" s="23"/>
      <c r="Z488" s="26"/>
      <c r="AA488" s="27" t="str">
        <f aca="false">IF(R488="","",IF(X488="Not accepted",R488,IF(OR(X488="Accepted",X488="Withdrawn by hospital"),IF(X488="Accepted",0,R488),IF(ISNUMBER(Z488),R488-Z488,""))))</f>
        <v/>
      </c>
      <c r="AB488" s="23"/>
      <c r="AC488" s="25"/>
      <c r="AD488" s="23"/>
      <c r="AE488" s="23"/>
      <c r="AF488" s="24"/>
      <c r="AG488" s="23"/>
      <c r="AH488" s="24"/>
      <c r="AI488" s="29" t="str">
        <f aca="false">IF(X488="Not accepted","Maintained",IF(X488="Partially accepted","Partially maintained",IF(X488="Accepted","Reversed",IF(X488="Withdrawn by hospital","Withdrawn by hospital",""))))</f>
        <v/>
      </c>
      <c r="AJ488" s="28" t="str">
        <f aca="false">IF(AI488="","",W488)</f>
        <v/>
      </c>
      <c r="AK488" s="29" t="str">
        <f aca="false">IF(AND(ISNUMBER(T488),ISNUMBER(W488)),W488-T488,"")</f>
        <v/>
      </c>
      <c r="AL488" s="29" t="str">
        <f aca="false">IF(A488="","",SUMIF(Actions!$C$5:$C$1004,A488,Actions!$F$5:$F$1004))</f>
        <v/>
      </c>
      <c r="AM488" s="25"/>
    </row>
    <row r="489" customFormat="false" ht="15" hidden="false" customHeight="false" outlineLevel="0" collapsed="false">
      <c r="A489" s="23"/>
      <c r="B489" s="23"/>
      <c r="C489" s="23"/>
      <c r="D489" s="23"/>
      <c r="E489" s="23"/>
      <c r="F489" s="23"/>
      <c r="G489" s="23"/>
      <c r="H489" s="23"/>
      <c r="I489" s="23"/>
      <c r="J489" s="23"/>
      <c r="K489" s="24"/>
      <c r="L489" s="23"/>
      <c r="M489" s="25"/>
      <c r="N489" s="25"/>
      <c r="O489" s="23"/>
      <c r="P489" s="26"/>
      <c r="Q489" s="26"/>
      <c r="R489" s="27" t="str">
        <f aca="false">IF(AND(ISNUMBER(P489),ISNUMBER(Q489)),P489-Q489,"")</f>
        <v/>
      </c>
      <c r="S489" s="24"/>
      <c r="T489" s="28" t="str">
        <f aca="false">IF(S489&lt;&gt;"",S489,IF(B489="","",IFERROR(IF(INDEX(Batches!$G$5:$G$64,MATCH(B489,Batches!$A$5:$A$64,0))="","",INDEX(Batches!$G$5:$G$64,MATCH(B489,Batches!$A$5:$A$64,0))),"")))</f>
        <v/>
      </c>
      <c r="U489" s="23"/>
      <c r="V489" s="24"/>
      <c r="W489" s="28" t="str">
        <f aca="false">IF(OR(X489="",X489="Pending"),"",IF(V489&lt;&gt;"",V489,IFERROR(IF(INDEX(Batches!$H$5:$H$64,MATCH(B489,Batches!$A$5:$A$64,0))="","",INDEX(Batches!$H$5:$H$64,MATCH(B489,Batches!$A$5:$A$64,0))),"")))</f>
        <v/>
      </c>
      <c r="X489" s="23"/>
      <c r="Y489" s="23"/>
      <c r="Z489" s="26"/>
      <c r="AA489" s="27" t="str">
        <f aca="false">IF(R489="","",IF(X489="Not accepted",R489,IF(OR(X489="Accepted",X489="Withdrawn by hospital"),IF(X489="Accepted",0,R489),IF(ISNUMBER(Z489),R489-Z489,""))))</f>
        <v/>
      </c>
      <c r="AB489" s="23"/>
      <c r="AC489" s="25"/>
      <c r="AD489" s="23"/>
      <c r="AE489" s="23"/>
      <c r="AF489" s="24"/>
      <c r="AG489" s="23"/>
      <c r="AH489" s="24"/>
      <c r="AI489" s="29" t="str">
        <f aca="false">IF(X489="Not accepted","Maintained",IF(X489="Partially accepted","Partially maintained",IF(X489="Accepted","Reversed",IF(X489="Withdrawn by hospital","Withdrawn by hospital",""))))</f>
        <v/>
      </c>
      <c r="AJ489" s="28" t="str">
        <f aca="false">IF(AI489="","",W489)</f>
        <v/>
      </c>
      <c r="AK489" s="29" t="str">
        <f aca="false">IF(AND(ISNUMBER(T489),ISNUMBER(W489)),W489-T489,"")</f>
        <v/>
      </c>
      <c r="AL489" s="29" t="str">
        <f aca="false">IF(A489="","",SUMIF(Actions!$C$5:$C$1004,A489,Actions!$F$5:$F$1004))</f>
        <v/>
      </c>
      <c r="AM489" s="25"/>
    </row>
    <row r="490" customFormat="false" ht="15" hidden="false" customHeight="false" outlineLevel="0" collapsed="false">
      <c r="A490" s="23"/>
      <c r="B490" s="23"/>
      <c r="C490" s="23"/>
      <c r="D490" s="23"/>
      <c r="E490" s="23"/>
      <c r="F490" s="23"/>
      <c r="G490" s="23"/>
      <c r="H490" s="23"/>
      <c r="I490" s="23"/>
      <c r="J490" s="23"/>
      <c r="K490" s="24"/>
      <c r="L490" s="23"/>
      <c r="M490" s="25"/>
      <c r="N490" s="25"/>
      <c r="O490" s="23"/>
      <c r="P490" s="26"/>
      <c r="Q490" s="26"/>
      <c r="R490" s="27" t="str">
        <f aca="false">IF(AND(ISNUMBER(P490),ISNUMBER(Q490)),P490-Q490,"")</f>
        <v/>
      </c>
      <c r="S490" s="24"/>
      <c r="T490" s="28" t="str">
        <f aca="false">IF(S490&lt;&gt;"",S490,IF(B490="","",IFERROR(IF(INDEX(Batches!$G$5:$G$64,MATCH(B490,Batches!$A$5:$A$64,0))="","",INDEX(Batches!$G$5:$G$64,MATCH(B490,Batches!$A$5:$A$64,0))),"")))</f>
        <v/>
      </c>
      <c r="U490" s="23"/>
      <c r="V490" s="24"/>
      <c r="W490" s="28" t="str">
        <f aca="false">IF(OR(X490="",X490="Pending"),"",IF(V490&lt;&gt;"",V490,IFERROR(IF(INDEX(Batches!$H$5:$H$64,MATCH(B490,Batches!$A$5:$A$64,0))="","",INDEX(Batches!$H$5:$H$64,MATCH(B490,Batches!$A$5:$A$64,0))),"")))</f>
        <v/>
      </c>
      <c r="X490" s="23"/>
      <c r="Y490" s="23"/>
      <c r="Z490" s="26"/>
      <c r="AA490" s="27" t="str">
        <f aca="false">IF(R490="","",IF(X490="Not accepted",R490,IF(OR(X490="Accepted",X490="Withdrawn by hospital"),IF(X490="Accepted",0,R490),IF(ISNUMBER(Z490),R490-Z490,""))))</f>
        <v/>
      </c>
      <c r="AB490" s="23"/>
      <c r="AC490" s="25"/>
      <c r="AD490" s="23"/>
      <c r="AE490" s="23"/>
      <c r="AF490" s="24"/>
      <c r="AG490" s="23"/>
      <c r="AH490" s="24"/>
      <c r="AI490" s="29" t="str">
        <f aca="false">IF(X490="Not accepted","Maintained",IF(X490="Partially accepted","Partially maintained",IF(X490="Accepted","Reversed",IF(X490="Withdrawn by hospital","Withdrawn by hospital",""))))</f>
        <v/>
      </c>
      <c r="AJ490" s="28" t="str">
        <f aca="false">IF(AI490="","",W490)</f>
        <v/>
      </c>
      <c r="AK490" s="29" t="str">
        <f aca="false">IF(AND(ISNUMBER(T490),ISNUMBER(W490)),W490-T490,"")</f>
        <v/>
      </c>
      <c r="AL490" s="29" t="str">
        <f aca="false">IF(A490="","",SUMIF(Actions!$C$5:$C$1004,A490,Actions!$F$5:$F$1004))</f>
        <v/>
      </c>
      <c r="AM490" s="25"/>
    </row>
    <row r="491" customFormat="false" ht="15" hidden="false" customHeight="false" outlineLevel="0" collapsed="false">
      <c r="A491" s="23"/>
      <c r="B491" s="23"/>
      <c r="C491" s="23"/>
      <c r="D491" s="23"/>
      <c r="E491" s="23"/>
      <c r="F491" s="23"/>
      <c r="G491" s="23"/>
      <c r="H491" s="23"/>
      <c r="I491" s="23"/>
      <c r="J491" s="23"/>
      <c r="K491" s="24"/>
      <c r="L491" s="23"/>
      <c r="M491" s="25"/>
      <c r="N491" s="25"/>
      <c r="O491" s="23"/>
      <c r="P491" s="26"/>
      <c r="Q491" s="26"/>
      <c r="R491" s="27" t="str">
        <f aca="false">IF(AND(ISNUMBER(P491),ISNUMBER(Q491)),P491-Q491,"")</f>
        <v/>
      </c>
      <c r="S491" s="24"/>
      <c r="T491" s="28" t="str">
        <f aca="false">IF(S491&lt;&gt;"",S491,IF(B491="","",IFERROR(IF(INDEX(Batches!$G$5:$G$64,MATCH(B491,Batches!$A$5:$A$64,0))="","",INDEX(Batches!$G$5:$G$64,MATCH(B491,Batches!$A$5:$A$64,0))),"")))</f>
        <v/>
      </c>
      <c r="U491" s="23"/>
      <c r="V491" s="24"/>
      <c r="W491" s="28" t="str">
        <f aca="false">IF(OR(X491="",X491="Pending"),"",IF(V491&lt;&gt;"",V491,IFERROR(IF(INDEX(Batches!$H$5:$H$64,MATCH(B491,Batches!$A$5:$A$64,0))="","",INDEX(Batches!$H$5:$H$64,MATCH(B491,Batches!$A$5:$A$64,0))),"")))</f>
        <v/>
      </c>
      <c r="X491" s="23"/>
      <c r="Y491" s="23"/>
      <c r="Z491" s="26"/>
      <c r="AA491" s="27" t="str">
        <f aca="false">IF(R491="","",IF(X491="Not accepted",R491,IF(OR(X491="Accepted",X491="Withdrawn by hospital"),IF(X491="Accepted",0,R491),IF(ISNUMBER(Z491),R491-Z491,""))))</f>
        <v/>
      </c>
      <c r="AB491" s="23"/>
      <c r="AC491" s="25"/>
      <c r="AD491" s="23"/>
      <c r="AE491" s="23"/>
      <c r="AF491" s="24"/>
      <c r="AG491" s="23"/>
      <c r="AH491" s="24"/>
      <c r="AI491" s="29" t="str">
        <f aca="false">IF(X491="Not accepted","Maintained",IF(X491="Partially accepted","Partially maintained",IF(X491="Accepted","Reversed",IF(X491="Withdrawn by hospital","Withdrawn by hospital",""))))</f>
        <v/>
      </c>
      <c r="AJ491" s="28" t="str">
        <f aca="false">IF(AI491="","",W491)</f>
        <v/>
      </c>
      <c r="AK491" s="29" t="str">
        <f aca="false">IF(AND(ISNUMBER(T491),ISNUMBER(W491)),W491-T491,"")</f>
        <v/>
      </c>
      <c r="AL491" s="29" t="str">
        <f aca="false">IF(A491="","",SUMIF(Actions!$C$5:$C$1004,A491,Actions!$F$5:$F$1004))</f>
        <v/>
      </c>
      <c r="AM491" s="25"/>
    </row>
    <row r="492" customFormat="false" ht="15" hidden="false" customHeight="false" outlineLevel="0" collapsed="false">
      <c r="A492" s="23"/>
      <c r="B492" s="23"/>
      <c r="C492" s="23"/>
      <c r="D492" s="23"/>
      <c r="E492" s="23"/>
      <c r="F492" s="23"/>
      <c r="G492" s="23"/>
      <c r="H492" s="23"/>
      <c r="I492" s="23"/>
      <c r="J492" s="23"/>
      <c r="K492" s="24"/>
      <c r="L492" s="23"/>
      <c r="M492" s="25"/>
      <c r="N492" s="25"/>
      <c r="O492" s="23"/>
      <c r="P492" s="26"/>
      <c r="Q492" s="26"/>
      <c r="R492" s="27" t="str">
        <f aca="false">IF(AND(ISNUMBER(P492),ISNUMBER(Q492)),P492-Q492,"")</f>
        <v/>
      </c>
      <c r="S492" s="24"/>
      <c r="T492" s="28" t="str">
        <f aca="false">IF(S492&lt;&gt;"",S492,IF(B492="","",IFERROR(IF(INDEX(Batches!$G$5:$G$64,MATCH(B492,Batches!$A$5:$A$64,0))="","",INDEX(Batches!$G$5:$G$64,MATCH(B492,Batches!$A$5:$A$64,0))),"")))</f>
        <v/>
      </c>
      <c r="U492" s="23"/>
      <c r="V492" s="24"/>
      <c r="W492" s="28" t="str">
        <f aca="false">IF(OR(X492="",X492="Pending"),"",IF(V492&lt;&gt;"",V492,IFERROR(IF(INDEX(Batches!$H$5:$H$64,MATCH(B492,Batches!$A$5:$A$64,0))="","",INDEX(Batches!$H$5:$H$64,MATCH(B492,Batches!$A$5:$A$64,0))),"")))</f>
        <v/>
      </c>
      <c r="X492" s="23"/>
      <c r="Y492" s="23"/>
      <c r="Z492" s="26"/>
      <c r="AA492" s="27" t="str">
        <f aca="false">IF(R492="","",IF(X492="Not accepted",R492,IF(OR(X492="Accepted",X492="Withdrawn by hospital"),IF(X492="Accepted",0,R492),IF(ISNUMBER(Z492),R492-Z492,""))))</f>
        <v/>
      </c>
      <c r="AB492" s="23"/>
      <c r="AC492" s="25"/>
      <c r="AD492" s="23"/>
      <c r="AE492" s="23"/>
      <c r="AF492" s="24"/>
      <c r="AG492" s="23"/>
      <c r="AH492" s="24"/>
      <c r="AI492" s="29" t="str">
        <f aca="false">IF(X492="Not accepted","Maintained",IF(X492="Partially accepted","Partially maintained",IF(X492="Accepted","Reversed",IF(X492="Withdrawn by hospital","Withdrawn by hospital",""))))</f>
        <v/>
      </c>
      <c r="AJ492" s="28" t="str">
        <f aca="false">IF(AI492="","",W492)</f>
        <v/>
      </c>
      <c r="AK492" s="29" t="str">
        <f aca="false">IF(AND(ISNUMBER(T492),ISNUMBER(W492)),W492-T492,"")</f>
        <v/>
      </c>
      <c r="AL492" s="29" t="str">
        <f aca="false">IF(A492="","",SUMIF(Actions!$C$5:$C$1004,A492,Actions!$F$5:$F$1004))</f>
        <v/>
      </c>
      <c r="AM492" s="25"/>
    </row>
    <row r="493" customFormat="false" ht="15" hidden="false" customHeight="false" outlineLevel="0" collapsed="false">
      <c r="A493" s="23"/>
      <c r="B493" s="23"/>
      <c r="C493" s="23"/>
      <c r="D493" s="23"/>
      <c r="E493" s="23"/>
      <c r="F493" s="23"/>
      <c r="G493" s="23"/>
      <c r="H493" s="23"/>
      <c r="I493" s="23"/>
      <c r="J493" s="23"/>
      <c r="K493" s="24"/>
      <c r="L493" s="23"/>
      <c r="M493" s="25"/>
      <c r="N493" s="25"/>
      <c r="O493" s="23"/>
      <c r="P493" s="26"/>
      <c r="Q493" s="26"/>
      <c r="R493" s="27" t="str">
        <f aca="false">IF(AND(ISNUMBER(P493),ISNUMBER(Q493)),P493-Q493,"")</f>
        <v/>
      </c>
      <c r="S493" s="24"/>
      <c r="T493" s="28" t="str">
        <f aca="false">IF(S493&lt;&gt;"",S493,IF(B493="","",IFERROR(IF(INDEX(Batches!$G$5:$G$64,MATCH(B493,Batches!$A$5:$A$64,0))="","",INDEX(Batches!$G$5:$G$64,MATCH(B493,Batches!$A$5:$A$64,0))),"")))</f>
        <v/>
      </c>
      <c r="U493" s="23"/>
      <c r="V493" s="24"/>
      <c r="W493" s="28" t="str">
        <f aca="false">IF(OR(X493="",X493="Pending"),"",IF(V493&lt;&gt;"",V493,IFERROR(IF(INDEX(Batches!$H$5:$H$64,MATCH(B493,Batches!$A$5:$A$64,0))="","",INDEX(Batches!$H$5:$H$64,MATCH(B493,Batches!$A$5:$A$64,0))),"")))</f>
        <v/>
      </c>
      <c r="X493" s="23"/>
      <c r="Y493" s="23"/>
      <c r="Z493" s="26"/>
      <c r="AA493" s="27" t="str">
        <f aca="false">IF(R493="","",IF(X493="Not accepted",R493,IF(OR(X493="Accepted",X493="Withdrawn by hospital"),IF(X493="Accepted",0,R493),IF(ISNUMBER(Z493),R493-Z493,""))))</f>
        <v/>
      </c>
      <c r="AB493" s="23"/>
      <c r="AC493" s="25"/>
      <c r="AD493" s="23"/>
      <c r="AE493" s="23"/>
      <c r="AF493" s="24"/>
      <c r="AG493" s="23"/>
      <c r="AH493" s="24"/>
      <c r="AI493" s="29" t="str">
        <f aca="false">IF(X493="Not accepted","Maintained",IF(X493="Partially accepted","Partially maintained",IF(X493="Accepted","Reversed",IF(X493="Withdrawn by hospital","Withdrawn by hospital",""))))</f>
        <v/>
      </c>
      <c r="AJ493" s="28" t="str">
        <f aca="false">IF(AI493="","",W493)</f>
        <v/>
      </c>
      <c r="AK493" s="29" t="str">
        <f aca="false">IF(AND(ISNUMBER(T493),ISNUMBER(W493)),W493-T493,"")</f>
        <v/>
      </c>
      <c r="AL493" s="29" t="str">
        <f aca="false">IF(A493="","",SUMIF(Actions!$C$5:$C$1004,A493,Actions!$F$5:$F$1004))</f>
        <v/>
      </c>
      <c r="AM493" s="25"/>
    </row>
    <row r="494" customFormat="false" ht="15" hidden="false" customHeight="false" outlineLevel="0" collapsed="false">
      <c r="A494" s="23"/>
      <c r="B494" s="23"/>
      <c r="C494" s="23"/>
      <c r="D494" s="23"/>
      <c r="E494" s="23"/>
      <c r="F494" s="23"/>
      <c r="G494" s="23"/>
      <c r="H494" s="23"/>
      <c r="I494" s="23"/>
      <c r="J494" s="23"/>
      <c r="K494" s="24"/>
      <c r="L494" s="23"/>
      <c r="M494" s="25"/>
      <c r="N494" s="25"/>
      <c r="O494" s="23"/>
      <c r="P494" s="26"/>
      <c r="Q494" s="26"/>
      <c r="R494" s="27" t="str">
        <f aca="false">IF(AND(ISNUMBER(P494),ISNUMBER(Q494)),P494-Q494,"")</f>
        <v/>
      </c>
      <c r="S494" s="24"/>
      <c r="T494" s="28" t="str">
        <f aca="false">IF(S494&lt;&gt;"",S494,IF(B494="","",IFERROR(IF(INDEX(Batches!$G$5:$G$64,MATCH(B494,Batches!$A$5:$A$64,0))="","",INDEX(Batches!$G$5:$G$64,MATCH(B494,Batches!$A$5:$A$64,0))),"")))</f>
        <v/>
      </c>
      <c r="U494" s="23"/>
      <c r="V494" s="24"/>
      <c r="W494" s="28" t="str">
        <f aca="false">IF(OR(X494="",X494="Pending"),"",IF(V494&lt;&gt;"",V494,IFERROR(IF(INDEX(Batches!$H$5:$H$64,MATCH(B494,Batches!$A$5:$A$64,0))="","",INDEX(Batches!$H$5:$H$64,MATCH(B494,Batches!$A$5:$A$64,0))),"")))</f>
        <v/>
      </c>
      <c r="X494" s="23"/>
      <c r="Y494" s="23"/>
      <c r="Z494" s="26"/>
      <c r="AA494" s="27" t="str">
        <f aca="false">IF(R494="","",IF(X494="Not accepted",R494,IF(OR(X494="Accepted",X494="Withdrawn by hospital"),IF(X494="Accepted",0,R494),IF(ISNUMBER(Z494),R494-Z494,""))))</f>
        <v/>
      </c>
      <c r="AB494" s="23"/>
      <c r="AC494" s="25"/>
      <c r="AD494" s="23"/>
      <c r="AE494" s="23"/>
      <c r="AF494" s="24"/>
      <c r="AG494" s="23"/>
      <c r="AH494" s="24"/>
      <c r="AI494" s="29" t="str">
        <f aca="false">IF(X494="Not accepted","Maintained",IF(X494="Partially accepted","Partially maintained",IF(X494="Accepted","Reversed",IF(X494="Withdrawn by hospital","Withdrawn by hospital",""))))</f>
        <v/>
      </c>
      <c r="AJ494" s="28" t="str">
        <f aca="false">IF(AI494="","",W494)</f>
        <v/>
      </c>
      <c r="AK494" s="29" t="str">
        <f aca="false">IF(AND(ISNUMBER(T494),ISNUMBER(W494)),W494-T494,"")</f>
        <v/>
      </c>
      <c r="AL494" s="29" t="str">
        <f aca="false">IF(A494="","",SUMIF(Actions!$C$5:$C$1004,A494,Actions!$F$5:$F$1004))</f>
        <v/>
      </c>
      <c r="AM494" s="25"/>
    </row>
    <row r="495" customFormat="false" ht="15" hidden="false" customHeight="false" outlineLevel="0" collapsed="false">
      <c r="A495" s="23"/>
      <c r="B495" s="23"/>
      <c r="C495" s="23"/>
      <c r="D495" s="23"/>
      <c r="E495" s="23"/>
      <c r="F495" s="23"/>
      <c r="G495" s="23"/>
      <c r="H495" s="23"/>
      <c r="I495" s="23"/>
      <c r="J495" s="23"/>
      <c r="K495" s="24"/>
      <c r="L495" s="23"/>
      <c r="M495" s="25"/>
      <c r="N495" s="25"/>
      <c r="O495" s="23"/>
      <c r="P495" s="26"/>
      <c r="Q495" s="26"/>
      <c r="R495" s="27" t="str">
        <f aca="false">IF(AND(ISNUMBER(P495),ISNUMBER(Q495)),P495-Q495,"")</f>
        <v/>
      </c>
      <c r="S495" s="24"/>
      <c r="T495" s="28" t="str">
        <f aca="false">IF(S495&lt;&gt;"",S495,IF(B495="","",IFERROR(IF(INDEX(Batches!$G$5:$G$64,MATCH(B495,Batches!$A$5:$A$64,0))="","",INDEX(Batches!$G$5:$G$64,MATCH(B495,Batches!$A$5:$A$64,0))),"")))</f>
        <v/>
      </c>
      <c r="U495" s="23"/>
      <c r="V495" s="24"/>
      <c r="W495" s="28" t="str">
        <f aca="false">IF(OR(X495="",X495="Pending"),"",IF(V495&lt;&gt;"",V495,IFERROR(IF(INDEX(Batches!$H$5:$H$64,MATCH(B495,Batches!$A$5:$A$64,0))="","",INDEX(Batches!$H$5:$H$64,MATCH(B495,Batches!$A$5:$A$64,0))),"")))</f>
        <v/>
      </c>
      <c r="X495" s="23"/>
      <c r="Y495" s="23"/>
      <c r="Z495" s="26"/>
      <c r="AA495" s="27" t="str">
        <f aca="false">IF(R495="","",IF(X495="Not accepted",R495,IF(OR(X495="Accepted",X495="Withdrawn by hospital"),IF(X495="Accepted",0,R495),IF(ISNUMBER(Z495),R495-Z495,""))))</f>
        <v/>
      </c>
      <c r="AB495" s="23"/>
      <c r="AC495" s="25"/>
      <c r="AD495" s="23"/>
      <c r="AE495" s="23"/>
      <c r="AF495" s="24"/>
      <c r="AG495" s="23"/>
      <c r="AH495" s="24"/>
      <c r="AI495" s="29" t="str">
        <f aca="false">IF(X495="Not accepted","Maintained",IF(X495="Partially accepted","Partially maintained",IF(X495="Accepted","Reversed",IF(X495="Withdrawn by hospital","Withdrawn by hospital",""))))</f>
        <v/>
      </c>
      <c r="AJ495" s="28" t="str">
        <f aca="false">IF(AI495="","",W495)</f>
        <v/>
      </c>
      <c r="AK495" s="29" t="str">
        <f aca="false">IF(AND(ISNUMBER(T495),ISNUMBER(W495)),W495-T495,"")</f>
        <v/>
      </c>
      <c r="AL495" s="29" t="str">
        <f aca="false">IF(A495="","",SUMIF(Actions!$C$5:$C$1004,A495,Actions!$F$5:$F$1004))</f>
        <v/>
      </c>
      <c r="AM495" s="25"/>
    </row>
    <row r="496" customFormat="false" ht="15" hidden="false" customHeight="false" outlineLevel="0" collapsed="false">
      <c r="A496" s="23"/>
      <c r="B496" s="23"/>
      <c r="C496" s="23"/>
      <c r="D496" s="23"/>
      <c r="E496" s="23"/>
      <c r="F496" s="23"/>
      <c r="G496" s="23"/>
      <c r="H496" s="23"/>
      <c r="I496" s="23"/>
      <c r="J496" s="23"/>
      <c r="K496" s="24"/>
      <c r="L496" s="23"/>
      <c r="M496" s="25"/>
      <c r="N496" s="25"/>
      <c r="O496" s="23"/>
      <c r="P496" s="26"/>
      <c r="Q496" s="26"/>
      <c r="R496" s="27" t="str">
        <f aca="false">IF(AND(ISNUMBER(P496),ISNUMBER(Q496)),P496-Q496,"")</f>
        <v/>
      </c>
      <c r="S496" s="24"/>
      <c r="T496" s="28" t="str">
        <f aca="false">IF(S496&lt;&gt;"",S496,IF(B496="","",IFERROR(IF(INDEX(Batches!$G$5:$G$64,MATCH(B496,Batches!$A$5:$A$64,0))="","",INDEX(Batches!$G$5:$G$64,MATCH(B496,Batches!$A$5:$A$64,0))),"")))</f>
        <v/>
      </c>
      <c r="U496" s="23"/>
      <c r="V496" s="24"/>
      <c r="W496" s="28" t="str">
        <f aca="false">IF(OR(X496="",X496="Pending"),"",IF(V496&lt;&gt;"",V496,IFERROR(IF(INDEX(Batches!$H$5:$H$64,MATCH(B496,Batches!$A$5:$A$64,0))="","",INDEX(Batches!$H$5:$H$64,MATCH(B496,Batches!$A$5:$A$64,0))),"")))</f>
        <v/>
      </c>
      <c r="X496" s="23"/>
      <c r="Y496" s="23"/>
      <c r="Z496" s="26"/>
      <c r="AA496" s="27" t="str">
        <f aca="false">IF(R496="","",IF(X496="Not accepted",R496,IF(OR(X496="Accepted",X496="Withdrawn by hospital"),IF(X496="Accepted",0,R496),IF(ISNUMBER(Z496),R496-Z496,""))))</f>
        <v/>
      </c>
      <c r="AB496" s="23"/>
      <c r="AC496" s="25"/>
      <c r="AD496" s="23"/>
      <c r="AE496" s="23"/>
      <c r="AF496" s="24"/>
      <c r="AG496" s="23"/>
      <c r="AH496" s="24"/>
      <c r="AI496" s="29" t="str">
        <f aca="false">IF(X496="Not accepted","Maintained",IF(X496="Partially accepted","Partially maintained",IF(X496="Accepted","Reversed",IF(X496="Withdrawn by hospital","Withdrawn by hospital",""))))</f>
        <v/>
      </c>
      <c r="AJ496" s="28" t="str">
        <f aca="false">IF(AI496="","",W496)</f>
        <v/>
      </c>
      <c r="AK496" s="29" t="str">
        <f aca="false">IF(AND(ISNUMBER(T496),ISNUMBER(W496)),W496-T496,"")</f>
        <v/>
      </c>
      <c r="AL496" s="29" t="str">
        <f aca="false">IF(A496="","",SUMIF(Actions!$C$5:$C$1004,A496,Actions!$F$5:$F$1004))</f>
        <v/>
      </c>
      <c r="AM496" s="25"/>
    </row>
    <row r="497" customFormat="false" ht="15" hidden="false" customHeight="false" outlineLevel="0" collapsed="false">
      <c r="A497" s="23"/>
      <c r="B497" s="23"/>
      <c r="C497" s="23"/>
      <c r="D497" s="23"/>
      <c r="E497" s="23"/>
      <c r="F497" s="23"/>
      <c r="G497" s="23"/>
      <c r="H497" s="23"/>
      <c r="I497" s="23"/>
      <c r="J497" s="23"/>
      <c r="K497" s="24"/>
      <c r="L497" s="23"/>
      <c r="M497" s="25"/>
      <c r="N497" s="25"/>
      <c r="O497" s="23"/>
      <c r="P497" s="26"/>
      <c r="Q497" s="26"/>
      <c r="R497" s="27" t="str">
        <f aca="false">IF(AND(ISNUMBER(P497),ISNUMBER(Q497)),P497-Q497,"")</f>
        <v/>
      </c>
      <c r="S497" s="24"/>
      <c r="T497" s="28" t="str">
        <f aca="false">IF(S497&lt;&gt;"",S497,IF(B497="","",IFERROR(IF(INDEX(Batches!$G$5:$G$64,MATCH(B497,Batches!$A$5:$A$64,0))="","",INDEX(Batches!$G$5:$G$64,MATCH(B497,Batches!$A$5:$A$64,0))),"")))</f>
        <v/>
      </c>
      <c r="U497" s="23"/>
      <c r="V497" s="24"/>
      <c r="W497" s="28" t="str">
        <f aca="false">IF(OR(X497="",X497="Pending"),"",IF(V497&lt;&gt;"",V497,IFERROR(IF(INDEX(Batches!$H$5:$H$64,MATCH(B497,Batches!$A$5:$A$64,0))="","",INDEX(Batches!$H$5:$H$64,MATCH(B497,Batches!$A$5:$A$64,0))),"")))</f>
        <v/>
      </c>
      <c r="X497" s="23"/>
      <c r="Y497" s="23"/>
      <c r="Z497" s="26"/>
      <c r="AA497" s="27" t="str">
        <f aca="false">IF(R497="","",IF(X497="Not accepted",R497,IF(OR(X497="Accepted",X497="Withdrawn by hospital"),IF(X497="Accepted",0,R497),IF(ISNUMBER(Z497),R497-Z497,""))))</f>
        <v/>
      </c>
      <c r="AB497" s="23"/>
      <c r="AC497" s="25"/>
      <c r="AD497" s="23"/>
      <c r="AE497" s="23"/>
      <c r="AF497" s="24"/>
      <c r="AG497" s="23"/>
      <c r="AH497" s="24"/>
      <c r="AI497" s="29" t="str">
        <f aca="false">IF(X497="Not accepted","Maintained",IF(X497="Partially accepted","Partially maintained",IF(X497="Accepted","Reversed",IF(X497="Withdrawn by hospital","Withdrawn by hospital",""))))</f>
        <v/>
      </c>
      <c r="AJ497" s="28" t="str">
        <f aca="false">IF(AI497="","",W497)</f>
        <v/>
      </c>
      <c r="AK497" s="29" t="str">
        <f aca="false">IF(AND(ISNUMBER(T497),ISNUMBER(W497)),W497-T497,"")</f>
        <v/>
      </c>
      <c r="AL497" s="29" t="str">
        <f aca="false">IF(A497="","",SUMIF(Actions!$C$5:$C$1004,A497,Actions!$F$5:$F$1004))</f>
        <v/>
      </c>
      <c r="AM497" s="25"/>
    </row>
    <row r="498" customFormat="false" ht="15" hidden="false" customHeight="false" outlineLevel="0" collapsed="false">
      <c r="A498" s="23"/>
      <c r="B498" s="23"/>
      <c r="C498" s="23"/>
      <c r="D498" s="23"/>
      <c r="E498" s="23"/>
      <c r="F498" s="23"/>
      <c r="G498" s="23"/>
      <c r="H498" s="23"/>
      <c r="I498" s="23"/>
      <c r="J498" s="23"/>
      <c r="K498" s="24"/>
      <c r="L498" s="23"/>
      <c r="M498" s="25"/>
      <c r="N498" s="25"/>
      <c r="O498" s="23"/>
      <c r="P498" s="26"/>
      <c r="Q498" s="26"/>
      <c r="R498" s="27" t="str">
        <f aca="false">IF(AND(ISNUMBER(P498),ISNUMBER(Q498)),P498-Q498,"")</f>
        <v/>
      </c>
      <c r="S498" s="24"/>
      <c r="T498" s="28" t="str">
        <f aca="false">IF(S498&lt;&gt;"",S498,IF(B498="","",IFERROR(IF(INDEX(Batches!$G$5:$G$64,MATCH(B498,Batches!$A$5:$A$64,0))="","",INDEX(Batches!$G$5:$G$64,MATCH(B498,Batches!$A$5:$A$64,0))),"")))</f>
        <v/>
      </c>
      <c r="U498" s="23"/>
      <c r="V498" s="24"/>
      <c r="W498" s="28" t="str">
        <f aca="false">IF(OR(X498="",X498="Pending"),"",IF(V498&lt;&gt;"",V498,IFERROR(IF(INDEX(Batches!$H$5:$H$64,MATCH(B498,Batches!$A$5:$A$64,0))="","",INDEX(Batches!$H$5:$H$64,MATCH(B498,Batches!$A$5:$A$64,0))),"")))</f>
        <v/>
      </c>
      <c r="X498" s="23"/>
      <c r="Y498" s="23"/>
      <c r="Z498" s="26"/>
      <c r="AA498" s="27" t="str">
        <f aca="false">IF(R498="","",IF(X498="Not accepted",R498,IF(OR(X498="Accepted",X498="Withdrawn by hospital"),IF(X498="Accepted",0,R498),IF(ISNUMBER(Z498),R498-Z498,""))))</f>
        <v/>
      </c>
      <c r="AB498" s="23"/>
      <c r="AC498" s="25"/>
      <c r="AD498" s="23"/>
      <c r="AE498" s="23"/>
      <c r="AF498" s="24"/>
      <c r="AG498" s="23"/>
      <c r="AH498" s="24"/>
      <c r="AI498" s="29" t="str">
        <f aca="false">IF(X498="Not accepted","Maintained",IF(X498="Partially accepted","Partially maintained",IF(X498="Accepted","Reversed",IF(X498="Withdrawn by hospital","Withdrawn by hospital",""))))</f>
        <v/>
      </c>
      <c r="AJ498" s="28" t="str">
        <f aca="false">IF(AI498="","",W498)</f>
        <v/>
      </c>
      <c r="AK498" s="29" t="str">
        <f aca="false">IF(AND(ISNUMBER(T498),ISNUMBER(W498)),W498-T498,"")</f>
        <v/>
      </c>
      <c r="AL498" s="29" t="str">
        <f aca="false">IF(A498="","",SUMIF(Actions!$C$5:$C$1004,A498,Actions!$F$5:$F$1004))</f>
        <v/>
      </c>
      <c r="AM498" s="25"/>
    </row>
    <row r="499" customFormat="false" ht="15" hidden="false" customHeight="false" outlineLevel="0" collapsed="false">
      <c r="A499" s="23"/>
      <c r="B499" s="23"/>
      <c r="C499" s="23"/>
      <c r="D499" s="23"/>
      <c r="E499" s="23"/>
      <c r="F499" s="23"/>
      <c r="G499" s="23"/>
      <c r="H499" s="23"/>
      <c r="I499" s="23"/>
      <c r="J499" s="23"/>
      <c r="K499" s="24"/>
      <c r="L499" s="23"/>
      <c r="M499" s="25"/>
      <c r="N499" s="25"/>
      <c r="O499" s="23"/>
      <c r="P499" s="26"/>
      <c r="Q499" s="26"/>
      <c r="R499" s="27" t="str">
        <f aca="false">IF(AND(ISNUMBER(P499),ISNUMBER(Q499)),P499-Q499,"")</f>
        <v/>
      </c>
      <c r="S499" s="24"/>
      <c r="T499" s="28" t="str">
        <f aca="false">IF(S499&lt;&gt;"",S499,IF(B499="","",IFERROR(IF(INDEX(Batches!$G$5:$G$64,MATCH(B499,Batches!$A$5:$A$64,0))="","",INDEX(Batches!$G$5:$G$64,MATCH(B499,Batches!$A$5:$A$64,0))),"")))</f>
        <v/>
      </c>
      <c r="U499" s="23"/>
      <c r="V499" s="24"/>
      <c r="W499" s="28" t="str">
        <f aca="false">IF(OR(X499="",X499="Pending"),"",IF(V499&lt;&gt;"",V499,IFERROR(IF(INDEX(Batches!$H$5:$H$64,MATCH(B499,Batches!$A$5:$A$64,0))="","",INDEX(Batches!$H$5:$H$64,MATCH(B499,Batches!$A$5:$A$64,0))),"")))</f>
        <v/>
      </c>
      <c r="X499" s="23"/>
      <c r="Y499" s="23"/>
      <c r="Z499" s="26"/>
      <c r="AA499" s="27" t="str">
        <f aca="false">IF(R499="","",IF(X499="Not accepted",R499,IF(OR(X499="Accepted",X499="Withdrawn by hospital"),IF(X499="Accepted",0,R499),IF(ISNUMBER(Z499),R499-Z499,""))))</f>
        <v/>
      </c>
      <c r="AB499" s="23"/>
      <c r="AC499" s="25"/>
      <c r="AD499" s="23"/>
      <c r="AE499" s="23"/>
      <c r="AF499" s="24"/>
      <c r="AG499" s="23"/>
      <c r="AH499" s="24"/>
      <c r="AI499" s="29" t="str">
        <f aca="false">IF(X499="Not accepted","Maintained",IF(X499="Partially accepted","Partially maintained",IF(X499="Accepted","Reversed",IF(X499="Withdrawn by hospital","Withdrawn by hospital",""))))</f>
        <v/>
      </c>
      <c r="AJ499" s="28" t="str">
        <f aca="false">IF(AI499="","",W499)</f>
        <v/>
      </c>
      <c r="AK499" s="29" t="str">
        <f aca="false">IF(AND(ISNUMBER(T499),ISNUMBER(W499)),W499-T499,"")</f>
        <v/>
      </c>
      <c r="AL499" s="29" t="str">
        <f aca="false">IF(A499="","",SUMIF(Actions!$C$5:$C$1004,A499,Actions!$F$5:$F$1004))</f>
        <v/>
      </c>
      <c r="AM499" s="25"/>
    </row>
    <row r="500" customFormat="false" ht="15" hidden="false" customHeight="false" outlineLevel="0" collapsed="false">
      <c r="A500" s="23"/>
      <c r="B500" s="23"/>
      <c r="C500" s="23"/>
      <c r="D500" s="23"/>
      <c r="E500" s="23"/>
      <c r="F500" s="23"/>
      <c r="G500" s="23"/>
      <c r="H500" s="23"/>
      <c r="I500" s="23"/>
      <c r="J500" s="23"/>
      <c r="K500" s="24"/>
      <c r="L500" s="23"/>
      <c r="M500" s="25"/>
      <c r="N500" s="25"/>
      <c r="O500" s="23"/>
      <c r="P500" s="26"/>
      <c r="Q500" s="26"/>
      <c r="R500" s="27" t="str">
        <f aca="false">IF(AND(ISNUMBER(P500),ISNUMBER(Q500)),P500-Q500,"")</f>
        <v/>
      </c>
      <c r="S500" s="24"/>
      <c r="T500" s="28" t="str">
        <f aca="false">IF(S500&lt;&gt;"",S500,IF(B500="","",IFERROR(IF(INDEX(Batches!$G$5:$G$64,MATCH(B500,Batches!$A$5:$A$64,0))="","",INDEX(Batches!$G$5:$G$64,MATCH(B500,Batches!$A$5:$A$64,0))),"")))</f>
        <v/>
      </c>
      <c r="U500" s="23"/>
      <c r="V500" s="24"/>
      <c r="W500" s="28" t="str">
        <f aca="false">IF(OR(X500="",X500="Pending"),"",IF(V500&lt;&gt;"",V500,IFERROR(IF(INDEX(Batches!$H$5:$H$64,MATCH(B500,Batches!$A$5:$A$64,0))="","",INDEX(Batches!$H$5:$H$64,MATCH(B500,Batches!$A$5:$A$64,0))),"")))</f>
        <v/>
      </c>
      <c r="X500" s="23"/>
      <c r="Y500" s="23"/>
      <c r="Z500" s="26"/>
      <c r="AA500" s="27" t="str">
        <f aca="false">IF(R500="","",IF(X500="Not accepted",R500,IF(OR(X500="Accepted",X500="Withdrawn by hospital"),IF(X500="Accepted",0,R500),IF(ISNUMBER(Z500),R500-Z500,""))))</f>
        <v/>
      </c>
      <c r="AB500" s="23"/>
      <c r="AC500" s="25"/>
      <c r="AD500" s="23"/>
      <c r="AE500" s="23"/>
      <c r="AF500" s="24"/>
      <c r="AG500" s="23"/>
      <c r="AH500" s="24"/>
      <c r="AI500" s="29" t="str">
        <f aca="false">IF(X500="Not accepted","Maintained",IF(X500="Partially accepted","Partially maintained",IF(X500="Accepted","Reversed",IF(X500="Withdrawn by hospital","Withdrawn by hospital",""))))</f>
        <v/>
      </c>
      <c r="AJ500" s="28" t="str">
        <f aca="false">IF(AI500="","",W500)</f>
        <v/>
      </c>
      <c r="AK500" s="29" t="str">
        <f aca="false">IF(AND(ISNUMBER(T500),ISNUMBER(W500)),W500-T500,"")</f>
        <v/>
      </c>
      <c r="AL500" s="29" t="str">
        <f aca="false">IF(A500="","",SUMIF(Actions!$C$5:$C$1004,A500,Actions!$F$5:$F$1004))</f>
        <v/>
      </c>
      <c r="AM500" s="25"/>
    </row>
    <row r="501" customFormat="false" ht="15" hidden="false" customHeight="false" outlineLevel="0" collapsed="false">
      <c r="A501" s="23"/>
      <c r="B501" s="23"/>
      <c r="C501" s="23"/>
      <c r="D501" s="23"/>
      <c r="E501" s="23"/>
      <c r="F501" s="23"/>
      <c r="G501" s="23"/>
      <c r="H501" s="23"/>
      <c r="I501" s="23"/>
      <c r="J501" s="23"/>
      <c r="K501" s="24"/>
      <c r="L501" s="23"/>
      <c r="M501" s="25"/>
      <c r="N501" s="25"/>
      <c r="O501" s="23"/>
      <c r="P501" s="26"/>
      <c r="Q501" s="26"/>
      <c r="R501" s="27" t="str">
        <f aca="false">IF(AND(ISNUMBER(P501),ISNUMBER(Q501)),P501-Q501,"")</f>
        <v/>
      </c>
      <c r="S501" s="24"/>
      <c r="T501" s="28" t="str">
        <f aca="false">IF(S501&lt;&gt;"",S501,IF(B501="","",IFERROR(IF(INDEX(Batches!$G$5:$G$64,MATCH(B501,Batches!$A$5:$A$64,0))="","",INDEX(Batches!$G$5:$G$64,MATCH(B501,Batches!$A$5:$A$64,0))),"")))</f>
        <v/>
      </c>
      <c r="U501" s="23"/>
      <c r="V501" s="24"/>
      <c r="W501" s="28" t="str">
        <f aca="false">IF(OR(X501="",X501="Pending"),"",IF(V501&lt;&gt;"",V501,IFERROR(IF(INDEX(Batches!$H$5:$H$64,MATCH(B501,Batches!$A$5:$A$64,0))="","",INDEX(Batches!$H$5:$H$64,MATCH(B501,Batches!$A$5:$A$64,0))),"")))</f>
        <v/>
      </c>
      <c r="X501" s="23"/>
      <c r="Y501" s="23"/>
      <c r="Z501" s="26"/>
      <c r="AA501" s="27" t="str">
        <f aca="false">IF(R501="","",IF(X501="Not accepted",R501,IF(OR(X501="Accepted",X501="Withdrawn by hospital"),IF(X501="Accepted",0,R501),IF(ISNUMBER(Z501),R501-Z501,""))))</f>
        <v/>
      </c>
      <c r="AB501" s="23"/>
      <c r="AC501" s="25"/>
      <c r="AD501" s="23"/>
      <c r="AE501" s="23"/>
      <c r="AF501" s="24"/>
      <c r="AG501" s="23"/>
      <c r="AH501" s="24"/>
      <c r="AI501" s="29" t="str">
        <f aca="false">IF(X501="Not accepted","Maintained",IF(X501="Partially accepted","Partially maintained",IF(X501="Accepted","Reversed",IF(X501="Withdrawn by hospital","Withdrawn by hospital",""))))</f>
        <v/>
      </c>
      <c r="AJ501" s="28" t="str">
        <f aca="false">IF(AI501="","",W501)</f>
        <v/>
      </c>
      <c r="AK501" s="29" t="str">
        <f aca="false">IF(AND(ISNUMBER(T501),ISNUMBER(W501)),W501-T501,"")</f>
        <v/>
      </c>
      <c r="AL501" s="29" t="str">
        <f aca="false">IF(A501="","",SUMIF(Actions!$C$5:$C$1004,A501,Actions!$F$5:$F$1004))</f>
        <v/>
      </c>
      <c r="AM501" s="25"/>
    </row>
    <row r="502" customFormat="false" ht="15" hidden="false" customHeight="false" outlineLevel="0" collapsed="false">
      <c r="A502" s="23"/>
      <c r="B502" s="23"/>
      <c r="C502" s="23"/>
      <c r="D502" s="23"/>
      <c r="E502" s="23"/>
      <c r="F502" s="23"/>
      <c r="G502" s="23"/>
      <c r="H502" s="23"/>
      <c r="I502" s="23"/>
      <c r="J502" s="23"/>
      <c r="K502" s="24"/>
      <c r="L502" s="23"/>
      <c r="M502" s="25"/>
      <c r="N502" s="25"/>
      <c r="O502" s="23"/>
      <c r="P502" s="26"/>
      <c r="Q502" s="26"/>
      <c r="R502" s="27" t="str">
        <f aca="false">IF(AND(ISNUMBER(P502),ISNUMBER(Q502)),P502-Q502,"")</f>
        <v/>
      </c>
      <c r="S502" s="24"/>
      <c r="T502" s="28" t="str">
        <f aca="false">IF(S502&lt;&gt;"",S502,IF(B502="","",IFERROR(IF(INDEX(Batches!$G$5:$G$64,MATCH(B502,Batches!$A$5:$A$64,0))="","",INDEX(Batches!$G$5:$G$64,MATCH(B502,Batches!$A$5:$A$64,0))),"")))</f>
        <v/>
      </c>
      <c r="U502" s="23"/>
      <c r="V502" s="24"/>
      <c r="W502" s="28" t="str">
        <f aca="false">IF(OR(X502="",X502="Pending"),"",IF(V502&lt;&gt;"",V502,IFERROR(IF(INDEX(Batches!$H$5:$H$64,MATCH(B502,Batches!$A$5:$A$64,0))="","",INDEX(Batches!$H$5:$H$64,MATCH(B502,Batches!$A$5:$A$64,0))),"")))</f>
        <v/>
      </c>
      <c r="X502" s="23"/>
      <c r="Y502" s="23"/>
      <c r="Z502" s="26"/>
      <c r="AA502" s="27" t="str">
        <f aca="false">IF(R502="","",IF(X502="Not accepted",R502,IF(OR(X502="Accepted",X502="Withdrawn by hospital"),IF(X502="Accepted",0,R502),IF(ISNUMBER(Z502),R502-Z502,""))))</f>
        <v/>
      </c>
      <c r="AB502" s="23"/>
      <c r="AC502" s="25"/>
      <c r="AD502" s="23"/>
      <c r="AE502" s="23"/>
      <c r="AF502" s="24"/>
      <c r="AG502" s="23"/>
      <c r="AH502" s="24"/>
      <c r="AI502" s="29" t="str">
        <f aca="false">IF(X502="Not accepted","Maintained",IF(X502="Partially accepted","Partially maintained",IF(X502="Accepted","Reversed",IF(X502="Withdrawn by hospital","Withdrawn by hospital",""))))</f>
        <v/>
      </c>
      <c r="AJ502" s="28" t="str">
        <f aca="false">IF(AI502="","",W502)</f>
        <v/>
      </c>
      <c r="AK502" s="29" t="str">
        <f aca="false">IF(AND(ISNUMBER(T502),ISNUMBER(W502)),W502-T502,"")</f>
        <v/>
      </c>
      <c r="AL502" s="29" t="str">
        <f aca="false">IF(A502="","",SUMIF(Actions!$C$5:$C$1004,A502,Actions!$F$5:$F$1004))</f>
        <v/>
      </c>
      <c r="AM502" s="25"/>
    </row>
    <row r="503" customFormat="false" ht="15" hidden="false" customHeight="false" outlineLevel="0" collapsed="false">
      <c r="A503" s="23"/>
      <c r="B503" s="23"/>
      <c r="C503" s="23"/>
      <c r="D503" s="23"/>
      <c r="E503" s="23"/>
      <c r="F503" s="23"/>
      <c r="G503" s="23"/>
      <c r="H503" s="23"/>
      <c r="I503" s="23"/>
      <c r="J503" s="23"/>
      <c r="K503" s="24"/>
      <c r="L503" s="23"/>
      <c r="M503" s="25"/>
      <c r="N503" s="25"/>
      <c r="O503" s="23"/>
      <c r="P503" s="26"/>
      <c r="Q503" s="26"/>
      <c r="R503" s="27" t="str">
        <f aca="false">IF(AND(ISNUMBER(P503),ISNUMBER(Q503)),P503-Q503,"")</f>
        <v/>
      </c>
      <c r="S503" s="24"/>
      <c r="T503" s="28" t="str">
        <f aca="false">IF(S503&lt;&gt;"",S503,IF(B503="","",IFERROR(IF(INDEX(Batches!$G$5:$G$64,MATCH(B503,Batches!$A$5:$A$64,0))="","",INDEX(Batches!$G$5:$G$64,MATCH(B503,Batches!$A$5:$A$64,0))),"")))</f>
        <v/>
      </c>
      <c r="U503" s="23"/>
      <c r="V503" s="24"/>
      <c r="W503" s="28" t="str">
        <f aca="false">IF(OR(X503="",X503="Pending"),"",IF(V503&lt;&gt;"",V503,IFERROR(IF(INDEX(Batches!$H$5:$H$64,MATCH(B503,Batches!$A$5:$A$64,0))="","",INDEX(Batches!$H$5:$H$64,MATCH(B503,Batches!$A$5:$A$64,0))),"")))</f>
        <v/>
      </c>
      <c r="X503" s="23"/>
      <c r="Y503" s="23"/>
      <c r="Z503" s="26"/>
      <c r="AA503" s="27" t="str">
        <f aca="false">IF(R503="","",IF(X503="Not accepted",R503,IF(OR(X503="Accepted",X503="Withdrawn by hospital"),IF(X503="Accepted",0,R503),IF(ISNUMBER(Z503),R503-Z503,""))))</f>
        <v/>
      </c>
      <c r="AB503" s="23"/>
      <c r="AC503" s="25"/>
      <c r="AD503" s="23"/>
      <c r="AE503" s="23"/>
      <c r="AF503" s="24"/>
      <c r="AG503" s="23"/>
      <c r="AH503" s="24"/>
      <c r="AI503" s="29" t="str">
        <f aca="false">IF(X503="Not accepted","Maintained",IF(X503="Partially accepted","Partially maintained",IF(X503="Accepted","Reversed",IF(X503="Withdrawn by hospital","Withdrawn by hospital",""))))</f>
        <v/>
      </c>
      <c r="AJ503" s="28" t="str">
        <f aca="false">IF(AI503="","",W503)</f>
        <v/>
      </c>
      <c r="AK503" s="29" t="str">
        <f aca="false">IF(AND(ISNUMBER(T503),ISNUMBER(W503)),W503-T503,"")</f>
        <v/>
      </c>
      <c r="AL503" s="29" t="str">
        <f aca="false">IF(A503="","",SUMIF(Actions!$C$5:$C$1004,A503,Actions!$F$5:$F$1004))</f>
        <v/>
      </c>
      <c r="AM503" s="25"/>
    </row>
    <row r="504" customFormat="false" ht="15" hidden="false" customHeight="false" outlineLevel="0" collapsed="false">
      <c r="A504" s="23"/>
      <c r="B504" s="23"/>
      <c r="C504" s="23"/>
      <c r="D504" s="23"/>
      <c r="E504" s="23"/>
      <c r="F504" s="23"/>
      <c r="G504" s="23"/>
      <c r="H504" s="23"/>
      <c r="I504" s="23"/>
      <c r="J504" s="23"/>
      <c r="K504" s="24"/>
      <c r="L504" s="23"/>
      <c r="M504" s="25"/>
      <c r="N504" s="25"/>
      <c r="O504" s="23"/>
      <c r="P504" s="26"/>
      <c r="Q504" s="26"/>
      <c r="R504" s="27" t="str">
        <f aca="false">IF(AND(ISNUMBER(P504),ISNUMBER(Q504)),P504-Q504,"")</f>
        <v/>
      </c>
      <c r="S504" s="24"/>
      <c r="T504" s="28" t="str">
        <f aca="false">IF(S504&lt;&gt;"",S504,IF(B504="","",IFERROR(IF(INDEX(Batches!$G$5:$G$64,MATCH(B504,Batches!$A$5:$A$64,0))="","",INDEX(Batches!$G$5:$G$64,MATCH(B504,Batches!$A$5:$A$64,0))),"")))</f>
        <v/>
      </c>
      <c r="U504" s="23"/>
      <c r="V504" s="24"/>
      <c r="W504" s="28" t="str">
        <f aca="false">IF(OR(X504="",X504="Pending"),"",IF(V504&lt;&gt;"",V504,IFERROR(IF(INDEX(Batches!$H$5:$H$64,MATCH(B504,Batches!$A$5:$A$64,0))="","",INDEX(Batches!$H$5:$H$64,MATCH(B504,Batches!$A$5:$A$64,0))),"")))</f>
        <v/>
      </c>
      <c r="X504" s="23"/>
      <c r="Y504" s="23"/>
      <c r="Z504" s="26"/>
      <c r="AA504" s="27" t="str">
        <f aca="false">IF(R504="","",IF(X504="Not accepted",R504,IF(OR(X504="Accepted",X504="Withdrawn by hospital"),IF(X504="Accepted",0,R504),IF(ISNUMBER(Z504),R504-Z504,""))))</f>
        <v/>
      </c>
      <c r="AB504" s="23"/>
      <c r="AC504" s="25"/>
      <c r="AD504" s="23"/>
      <c r="AE504" s="23"/>
      <c r="AF504" s="24"/>
      <c r="AG504" s="23"/>
      <c r="AH504" s="24"/>
      <c r="AI504" s="29" t="str">
        <f aca="false">IF(X504="Not accepted","Maintained",IF(X504="Partially accepted","Partially maintained",IF(X504="Accepted","Reversed",IF(X504="Withdrawn by hospital","Withdrawn by hospital",""))))</f>
        <v/>
      </c>
      <c r="AJ504" s="28" t="str">
        <f aca="false">IF(AI504="","",W504)</f>
        <v/>
      </c>
      <c r="AK504" s="29" t="str">
        <f aca="false">IF(AND(ISNUMBER(T504),ISNUMBER(W504)),W504-T504,"")</f>
        <v/>
      </c>
      <c r="AL504" s="29" t="str">
        <f aca="false">IF(A504="","",SUMIF(Actions!$C$5:$C$1004,A504,Actions!$F$5:$F$1004))</f>
        <v/>
      </c>
      <c r="AM504" s="25"/>
    </row>
    <row r="505" customFormat="false" ht="15" hidden="false" customHeight="false" outlineLevel="0" collapsed="false">
      <c r="A505" s="23"/>
      <c r="B505" s="23"/>
      <c r="C505" s="23"/>
      <c r="D505" s="23"/>
      <c r="E505" s="23"/>
      <c r="F505" s="23"/>
      <c r="G505" s="23"/>
      <c r="H505" s="23"/>
      <c r="I505" s="23"/>
      <c r="J505" s="23"/>
      <c r="K505" s="24"/>
      <c r="L505" s="23"/>
      <c r="M505" s="25"/>
      <c r="N505" s="25"/>
      <c r="O505" s="23"/>
      <c r="P505" s="26"/>
      <c r="Q505" s="26"/>
      <c r="R505" s="27" t="str">
        <f aca="false">IF(AND(ISNUMBER(P505),ISNUMBER(Q505)),P505-Q505,"")</f>
        <v/>
      </c>
      <c r="S505" s="24"/>
      <c r="T505" s="28" t="str">
        <f aca="false">IF(S505&lt;&gt;"",S505,IF(B505="","",IFERROR(IF(INDEX(Batches!$G$5:$G$64,MATCH(B505,Batches!$A$5:$A$64,0))="","",INDEX(Batches!$G$5:$G$64,MATCH(B505,Batches!$A$5:$A$64,0))),"")))</f>
        <v/>
      </c>
      <c r="U505" s="23"/>
      <c r="V505" s="24"/>
      <c r="W505" s="28" t="str">
        <f aca="false">IF(OR(X505="",X505="Pending"),"",IF(V505&lt;&gt;"",V505,IFERROR(IF(INDEX(Batches!$H$5:$H$64,MATCH(B505,Batches!$A$5:$A$64,0))="","",INDEX(Batches!$H$5:$H$64,MATCH(B505,Batches!$A$5:$A$64,0))),"")))</f>
        <v/>
      </c>
      <c r="X505" s="23"/>
      <c r="Y505" s="23"/>
      <c r="Z505" s="26"/>
      <c r="AA505" s="27" t="str">
        <f aca="false">IF(R505="","",IF(X505="Not accepted",R505,IF(OR(X505="Accepted",X505="Withdrawn by hospital"),IF(X505="Accepted",0,R505),IF(ISNUMBER(Z505),R505-Z505,""))))</f>
        <v/>
      </c>
      <c r="AB505" s="23"/>
      <c r="AC505" s="25"/>
      <c r="AD505" s="23"/>
      <c r="AE505" s="23"/>
      <c r="AF505" s="24"/>
      <c r="AG505" s="23"/>
      <c r="AH505" s="24"/>
      <c r="AI505" s="29" t="str">
        <f aca="false">IF(X505="Not accepted","Maintained",IF(X505="Partially accepted","Partially maintained",IF(X505="Accepted","Reversed",IF(X505="Withdrawn by hospital","Withdrawn by hospital",""))))</f>
        <v/>
      </c>
      <c r="AJ505" s="28" t="str">
        <f aca="false">IF(AI505="","",W505)</f>
        <v/>
      </c>
      <c r="AK505" s="29" t="str">
        <f aca="false">IF(AND(ISNUMBER(T505),ISNUMBER(W505)),W505-T505,"")</f>
        <v/>
      </c>
      <c r="AL505" s="29" t="str">
        <f aca="false">IF(A505="","",SUMIF(Actions!$C$5:$C$1004,A505,Actions!$F$5:$F$1004))</f>
        <v/>
      </c>
      <c r="AM505" s="25"/>
    </row>
    <row r="506" customFormat="false" ht="15" hidden="false" customHeight="false" outlineLevel="0" collapsed="false">
      <c r="A506" s="23"/>
      <c r="B506" s="23"/>
      <c r="C506" s="23"/>
      <c r="D506" s="23"/>
      <c r="E506" s="23"/>
      <c r="F506" s="23"/>
      <c r="G506" s="23"/>
      <c r="H506" s="23"/>
      <c r="I506" s="23"/>
      <c r="J506" s="23"/>
      <c r="K506" s="24"/>
      <c r="L506" s="23"/>
      <c r="M506" s="25"/>
      <c r="N506" s="25"/>
      <c r="O506" s="23"/>
      <c r="P506" s="26"/>
      <c r="Q506" s="26"/>
      <c r="R506" s="27" t="str">
        <f aca="false">IF(AND(ISNUMBER(P506),ISNUMBER(Q506)),P506-Q506,"")</f>
        <v/>
      </c>
      <c r="S506" s="24"/>
      <c r="T506" s="28" t="str">
        <f aca="false">IF(S506&lt;&gt;"",S506,IF(B506="","",IFERROR(IF(INDEX(Batches!$G$5:$G$64,MATCH(B506,Batches!$A$5:$A$64,0))="","",INDEX(Batches!$G$5:$G$64,MATCH(B506,Batches!$A$5:$A$64,0))),"")))</f>
        <v/>
      </c>
      <c r="U506" s="23"/>
      <c r="V506" s="24"/>
      <c r="W506" s="28" t="str">
        <f aca="false">IF(OR(X506="",X506="Pending"),"",IF(V506&lt;&gt;"",V506,IFERROR(IF(INDEX(Batches!$H$5:$H$64,MATCH(B506,Batches!$A$5:$A$64,0))="","",INDEX(Batches!$H$5:$H$64,MATCH(B506,Batches!$A$5:$A$64,0))),"")))</f>
        <v/>
      </c>
      <c r="X506" s="23"/>
      <c r="Y506" s="23"/>
      <c r="Z506" s="26"/>
      <c r="AA506" s="27" t="str">
        <f aca="false">IF(R506="","",IF(X506="Not accepted",R506,IF(OR(X506="Accepted",X506="Withdrawn by hospital"),IF(X506="Accepted",0,R506),IF(ISNUMBER(Z506),R506-Z506,""))))</f>
        <v/>
      </c>
      <c r="AB506" s="23"/>
      <c r="AC506" s="25"/>
      <c r="AD506" s="23"/>
      <c r="AE506" s="23"/>
      <c r="AF506" s="24"/>
      <c r="AG506" s="23"/>
      <c r="AH506" s="24"/>
      <c r="AI506" s="29" t="str">
        <f aca="false">IF(X506="Not accepted","Maintained",IF(X506="Partially accepted","Partially maintained",IF(X506="Accepted","Reversed",IF(X506="Withdrawn by hospital","Withdrawn by hospital",""))))</f>
        <v/>
      </c>
      <c r="AJ506" s="28" t="str">
        <f aca="false">IF(AI506="","",W506)</f>
        <v/>
      </c>
      <c r="AK506" s="29" t="str">
        <f aca="false">IF(AND(ISNUMBER(T506),ISNUMBER(W506)),W506-T506,"")</f>
        <v/>
      </c>
      <c r="AL506" s="29" t="str">
        <f aca="false">IF(A506="","",SUMIF(Actions!$C$5:$C$1004,A506,Actions!$F$5:$F$1004))</f>
        <v/>
      </c>
      <c r="AM506" s="25"/>
    </row>
    <row r="507" customFormat="false" ht="15" hidden="false" customHeight="false" outlineLevel="0" collapsed="false">
      <c r="A507" s="23"/>
      <c r="B507" s="23"/>
      <c r="C507" s="23"/>
      <c r="D507" s="23"/>
      <c r="E507" s="23"/>
      <c r="F507" s="23"/>
      <c r="G507" s="23"/>
      <c r="H507" s="23"/>
      <c r="I507" s="23"/>
      <c r="J507" s="23"/>
      <c r="K507" s="24"/>
      <c r="L507" s="23"/>
      <c r="M507" s="25"/>
      <c r="N507" s="25"/>
      <c r="O507" s="23"/>
      <c r="P507" s="26"/>
      <c r="Q507" s="26"/>
      <c r="R507" s="27" t="str">
        <f aca="false">IF(AND(ISNUMBER(P507),ISNUMBER(Q507)),P507-Q507,"")</f>
        <v/>
      </c>
      <c r="S507" s="24"/>
      <c r="T507" s="28" t="str">
        <f aca="false">IF(S507&lt;&gt;"",S507,IF(B507="","",IFERROR(IF(INDEX(Batches!$G$5:$G$64,MATCH(B507,Batches!$A$5:$A$64,0))="","",INDEX(Batches!$G$5:$G$64,MATCH(B507,Batches!$A$5:$A$64,0))),"")))</f>
        <v/>
      </c>
      <c r="U507" s="23"/>
      <c r="V507" s="24"/>
      <c r="W507" s="28" t="str">
        <f aca="false">IF(OR(X507="",X507="Pending"),"",IF(V507&lt;&gt;"",V507,IFERROR(IF(INDEX(Batches!$H$5:$H$64,MATCH(B507,Batches!$A$5:$A$64,0))="","",INDEX(Batches!$H$5:$H$64,MATCH(B507,Batches!$A$5:$A$64,0))),"")))</f>
        <v/>
      </c>
      <c r="X507" s="23"/>
      <c r="Y507" s="23"/>
      <c r="Z507" s="26"/>
      <c r="AA507" s="27" t="str">
        <f aca="false">IF(R507="","",IF(X507="Not accepted",R507,IF(OR(X507="Accepted",X507="Withdrawn by hospital"),IF(X507="Accepted",0,R507),IF(ISNUMBER(Z507),R507-Z507,""))))</f>
        <v/>
      </c>
      <c r="AB507" s="23"/>
      <c r="AC507" s="25"/>
      <c r="AD507" s="23"/>
      <c r="AE507" s="23"/>
      <c r="AF507" s="24"/>
      <c r="AG507" s="23"/>
      <c r="AH507" s="24"/>
      <c r="AI507" s="29" t="str">
        <f aca="false">IF(X507="Not accepted","Maintained",IF(X507="Partially accepted","Partially maintained",IF(X507="Accepted","Reversed",IF(X507="Withdrawn by hospital","Withdrawn by hospital",""))))</f>
        <v/>
      </c>
      <c r="AJ507" s="28" t="str">
        <f aca="false">IF(AI507="","",W507)</f>
        <v/>
      </c>
      <c r="AK507" s="29" t="str">
        <f aca="false">IF(AND(ISNUMBER(T507),ISNUMBER(W507)),W507-T507,"")</f>
        <v/>
      </c>
      <c r="AL507" s="29" t="str">
        <f aca="false">IF(A507="","",SUMIF(Actions!$C$5:$C$1004,A507,Actions!$F$5:$F$1004))</f>
        <v/>
      </c>
      <c r="AM507" s="25"/>
    </row>
    <row r="508" customFormat="false" ht="15" hidden="false" customHeight="false" outlineLevel="0" collapsed="false">
      <c r="A508" s="23"/>
      <c r="B508" s="23"/>
      <c r="C508" s="23"/>
      <c r="D508" s="23"/>
      <c r="E508" s="23"/>
      <c r="F508" s="23"/>
      <c r="G508" s="23"/>
      <c r="H508" s="23"/>
      <c r="I508" s="23"/>
      <c r="J508" s="23"/>
      <c r="K508" s="24"/>
      <c r="L508" s="23"/>
      <c r="M508" s="25"/>
      <c r="N508" s="25"/>
      <c r="O508" s="23"/>
      <c r="P508" s="26"/>
      <c r="Q508" s="26"/>
      <c r="R508" s="27" t="str">
        <f aca="false">IF(AND(ISNUMBER(P508),ISNUMBER(Q508)),P508-Q508,"")</f>
        <v/>
      </c>
      <c r="S508" s="24"/>
      <c r="T508" s="28" t="str">
        <f aca="false">IF(S508&lt;&gt;"",S508,IF(B508="","",IFERROR(IF(INDEX(Batches!$G$5:$G$64,MATCH(B508,Batches!$A$5:$A$64,0))="","",INDEX(Batches!$G$5:$G$64,MATCH(B508,Batches!$A$5:$A$64,0))),"")))</f>
        <v/>
      </c>
      <c r="U508" s="23"/>
      <c r="V508" s="24"/>
      <c r="W508" s="28" t="str">
        <f aca="false">IF(OR(X508="",X508="Pending"),"",IF(V508&lt;&gt;"",V508,IFERROR(IF(INDEX(Batches!$H$5:$H$64,MATCH(B508,Batches!$A$5:$A$64,0))="","",INDEX(Batches!$H$5:$H$64,MATCH(B508,Batches!$A$5:$A$64,0))),"")))</f>
        <v/>
      </c>
      <c r="X508" s="23"/>
      <c r="Y508" s="23"/>
      <c r="Z508" s="26"/>
      <c r="AA508" s="27" t="str">
        <f aca="false">IF(R508="","",IF(X508="Not accepted",R508,IF(OR(X508="Accepted",X508="Withdrawn by hospital"),IF(X508="Accepted",0,R508),IF(ISNUMBER(Z508),R508-Z508,""))))</f>
        <v/>
      </c>
      <c r="AB508" s="23"/>
      <c r="AC508" s="25"/>
      <c r="AD508" s="23"/>
      <c r="AE508" s="23"/>
      <c r="AF508" s="24"/>
      <c r="AG508" s="23"/>
      <c r="AH508" s="24"/>
      <c r="AI508" s="29" t="str">
        <f aca="false">IF(X508="Not accepted","Maintained",IF(X508="Partially accepted","Partially maintained",IF(X508="Accepted","Reversed",IF(X508="Withdrawn by hospital","Withdrawn by hospital",""))))</f>
        <v/>
      </c>
      <c r="AJ508" s="28" t="str">
        <f aca="false">IF(AI508="","",W508)</f>
        <v/>
      </c>
      <c r="AK508" s="29" t="str">
        <f aca="false">IF(AND(ISNUMBER(T508),ISNUMBER(W508)),W508-T508,"")</f>
        <v/>
      </c>
      <c r="AL508" s="29" t="str">
        <f aca="false">IF(A508="","",SUMIF(Actions!$C$5:$C$1004,A508,Actions!$F$5:$F$1004))</f>
        <v/>
      </c>
      <c r="AM508" s="25"/>
    </row>
    <row r="509" customFormat="false" ht="15" hidden="false" customHeight="false" outlineLevel="0" collapsed="false">
      <c r="A509" s="23"/>
      <c r="B509" s="23"/>
      <c r="C509" s="23"/>
      <c r="D509" s="23"/>
      <c r="E509" s="23"/>
      <c r="F509" s="23"/>
      <c r="G509" s="23"/>
      <c r="H509" s="23"/>
      <c r="I509" s="23"/>
      <c r="J509" s="23"/>
      <c r="K509" s="24"/>
      <c r="L509" s="23"/>
      <c r="M509" s="25"/>
      <c r="N509" s="25"/>
      <c r="O509" s="23"/>
      <c r="P509" s="26"/>
      <c r="Q509" s="26"/>
      <c r="R509" s="27" t="str">
        <f aca="false">IF(AND(ISNUMBER(P509),ISNUMBER(Q509)),P509-Q509,"")</f>
        <v/>
      </c>
      <c r="S509" s="24"/>
      <c r="T509" s="28" t="str">
        <f aca="false">IF(S509&lt;&gt;"",S509,IF(B509="","",IFERROR(IF(INDEX(Batches!$G$5:$G$64,MATCH(B509,Batches!$A$5:$A$64,0))="","",INDEX(Batches!$G$5:$G$64,MATCH(B509,Batches!$A$5:$A$64,0))),"")))</f>
        <v/>
      </c>
      <c r="U509" s="23"/>
      <c r="V509" s="24"/>
      <c r="W509" s="28" t="str">
        <f aca="false">IF(OR(X509="",X509="Pending"),"",IF(V509&lt;&gt;"",V509,IFERROR(IF(INDEX(Batches!$H$5:$H$64,MATCH(B509,Batches!$A$5:$A$64,0))="","",INDEX(Batches!$H$5:$H$64,MATCH(B509,Batches!$A$5:$A$64,0))),"")))</f>
        <v/>
      </c>
      <c r="X509" s="23"/>
      <c r="Y509" s="23"/>
      <c r="Z509" s="26"/>
      <c r="AA509" s="27" t="str">
        <f aca="false">IF(R509="","",IF(X509="Not accepted",R509,IF(OR(X509="Accepted",X509="Withdrawn by hospital"),IF(X509="Accepted",0,R509),IF(ISNUMBER(Z509),R509-Z509,""))))</f>
        <v/>
      </c>
      <c r="AB509" s="23"/>
      <c r="AC509" s="25"/>
      <c r="AD509" s="23"/>
      <c r="AE509" s="23"/>
      <c r="AF509" s="24"/>
      <c r="AG509" s="23"/>
      <c r="AH509" s="24"/>
      <c r="AI509" s="29" t="str">
        <f aca="false">IF(X509="Not accepted","Maintained",IF(X509="Partially accepted","Partially maintained",IF(X509="Accepted","Reversed",IF(X509="Withdrawn by hospital","Withdrawn by hospital",""))))</f>
        <v/>
      </c>
      <c r="AJ509" s="28" t="str">
        <f aca="false">IF(AI509="","",W509)</f>
        <v/>
      </c>
      <c r="AK509" s="29" t="str">
        <f aca="false">IF(AND(ISNUMBER(T509),ISNUMBER(W509)),W509-T509,"")</f>
        <v/>
      </c>
      <c r="AL509" s="29" t="str">
        <f aca="false">IF(A509="","",SUMIF(Actions!$C$5:$C$1004,A509,Actions!$F$5:$F$1004))</f>
        <v/>
      </c>
      <c r="AM509" s="25"/>
    </row>
    <row r="510" customFormat="false" ht="15" hidden="false" customHeight="false" outlineLevel="0" collapsed="false">
      <c r="A510" s="23"/>
      <c r="B510" s="23"/>
      <c r="C510" s="23"/>
      <c r="D510" s="23"/>
      <c r="E510" s="23"/>
      <c r="F510" s="23"/>
      <c r="G510" s="23"/>
      <c r="H510" s="23"/>
      <c r="I510" s="23"/>
      <c r="J510" s="23"/>
      <c r="K510" s="24"/>
      <c r="L510" s="23"/>
      <c r="M510" s="25"/>
      <c r="N510" s="25"/>
      <c r="O510" s="23"/>
      <c r="P510" s="26"/>
      <c r="Q510" s="26"/>
      <c r="R510" s="27" t="str">
        <f aca="false">IF(AND(ISNUMBER(P510),ISNUMBER(Q510)),P510-Q510,"")</f>
        <v/>
      </c>
      <c r="S510" s="24"/>
      <c r="T510" s="28" t="str">
        <f aca="false">IF(S510&lt;&gt;"",S510,IF(B510="","",IFERROR(IF(INDEX(Batches!$G$5:$G$64,MATCH(B510,Batches!$A$5:$A$64,0))="","",INDEX(Batches!$G$5:$G$64,MATCH(B510,Batches!$A$5:$A$64,0))),"")))</f>
        <v/>
      </c>
      <c r="U510" s="23"/>
      <c r="V510" s="24"/>
      <c r="W510" s="28" t="str">
        <f aca="false">IF(OR(X510="",X510="Pending"),"",IF(V510&lt;&gt;"",V510,IFERROR(IF(INDEX(Batches!$H$5:$H$64,MATCH(B510,Batches!$A$5:$A$64,0))="","",INDEX(Batches!$H$5:$H$64,MATCH(B510,Batches!$A$5:$A$64,0))),"")))</f>
        <v/>
      </c>
      <c r="X510" s="23"/>
      <c r="Y510" s="23"/>
      <c r="Z510" s="26"/>
      <c r="AA510" s="27" t="str">
        <f aca="false">IF(R510="","",IF(X510="Not accepted",R510,IF(OR(X510="Accepted",X510="Withdrawn by hospital"),IF(X510="Accepted",0,R510),IF(ISNUMBER(Z510),R510-Z510,""))))</f>
        <v/>
      </c>
      <c r="AB510" s="23"/>
      <c r="AC510" s="25"/>
      <c r="AD510" s="23"/>
      <c r="AE510" s="23"/>
      <c r="AF510" s="24"/>
      <c r="AG510" s="23"/>
      <c r="AH510" s="24"/>
      <c r="AI510" s="29" t="str">
        <f aca="false">IF(X510="Not accepted","Maintained",IF(X510="Partially accepted","Partially maintained",IF(X510="Accepted","Reversed",IF(X510="Withdrawn by hospital","Withdrawn by hospital",""))))</f>
        <v/>
      </c>
      <c r="AJ510" s="28" t="str">
        <f aca="false">IF(AI510="","",W510)</f>
        <v/>
      </c>
      <c r="AK510" s="29" t="str">
        <f aca="false">IF(AND(ISNUMBER(T510),ISNUMBER(W510)),W510-T510,"")</f>
        <v/>
      </c>
      <c r="AL510" s="29" t="str">
        <f aca="false">IF(A510="","",SUMIF(Actions!$C$5:$C$1004,A510,Actions!$F$5:$F$1004))</f>
        <v/>
      </c>
      <c r="AM510" s="25"/>
    </row>
    <row r="511" customFormat="false" ht="15" hidden="false" customHeight="false" outlineLevel="0" collapsed="false">
      <c r="A511" s="23"/>
      <c r="B511" s="23"/>
      <c r="C511" s="23"/>
      <c r="D511" s="23"/>
      <c r="E511" s="23"/>
      <c r="F511" s="23"/>
      <c r="G511" s="23"/>
      <c r="H511" s="23"/>
      <c r="I511" s="23"/>
      <c r="J511" s="23"/>
      <c r="K511" s="24"/>
      <c r="L511" s="23"/>
      <c r="M511" s="25"/>
      <c r="N511" s="25"/>
      <c r="O511" s="23"/>
      <c r="P511" s="26"/>
      <c r="Q511" s="26"/>
      <c r="R511" s="27" t="str">
        <f aca="false">IF(AND(ISNUMBER(P511),ISNUMBER(Q511)),P511-Q511,"")</f>
        <v/>
      </c>
      <c r="S511" s="24"/>
      <c r="T511" s="28" t="str">
        <f aca="false">IF(S511&lt;&gt;"",S511,IF(B511="","",IFERROR(IF(INDEX(Batches!$G$5:$G$64,MATCH(B511,Batches!$A$5:$A$64,0))="","",INDEX(Batches!$G$5:$G$64,MATCH(B511,Batches!$A$5:$A$64,0))),"")))</f>
        <v/>
      </c>
      <c r="U511" s="23"/>
      <c r="V511" s="24"/>
      <c r="W511" s="28" t="str">
        <f aca="false">IF(OR(X511="",X511="Pending"),"",IF(V511&lt;&gt;"",V511,IFERROR(IF(INDEX(Batches!$H$5:$H$64,MATCH(B511,Batches!$A$5:$A$64,0))="","",INDEX(Batches!$H$5:$H$64,MATCH(B511,Batches!$A$5:$A$64,0))),"")))</f>
        <v/>
      </c>
      <c r="X511" s="23"/>
      <c r="Y511" s="23"/>
      <c r="Z511" s="26"/>
      <c r="AA511" s="27" t="str">
        <f aca="false">IF(R511="","",IF(X511="Not accepted",R511,IF(OR(X511="Accepted",X511="Withdrawn by hospital"),IF(X511="Accepted",0,R511),IF(ISNUMBER(Z511),R511-Z511,""))))</f>
        <v/>
      </c>
      <c r="AB511" s="23"/>
      <c r="AC511" s="25"/>
      <c r="AD511" s="23"/>
      <c r="AE511" s="23"/>
      <c r="AF511" s="24"/>
      <c r="AG511" s="23"/>
      <c r="AH511" s="24"/>
      <c r="AI511" s="29" t="str">
        <f aca="false">IF(X511="Not accepted","Maintained",IF(X511="Partially accepted","Partially maintained",IF(X511="Accepted","Reversed",IF(X511="Withdrawn by hospital","Withdrawn by hospital",""))))</f>
        <v/>
      </c>
      <c r="AJ511" s="28" t="str">
        <f aca="false">IF(AI511="","",W511)</f>
        <v/>
      </c>
      <c r="AK511" s="29" t="str">
        <f aca="false">IF(AND(ISNUMBER(T511),ISNUMBER(W511)),W511-T511,"")</f>
        <v/>
      </c>
      <c r="AL511" s="29" t="str">
        <f aca="false">IF(A511="","",SUMIF(Actions!$C$5:$C$1004,A511,Actions!$F$5:$F$1004))</f>
        <v/>
      </c>
      <c r="AM511" s="25"/>
    </row>
    <row r="512" customFormat="false" ht="15" hidden="false" customHeight="false" outlineLevel="0" collapsed="false">
      <c r="A512" s="23"/>
      <c r="B512" s="23"/>
      <c r="C512" s="23"/>
      <c r="D512" s="23"/>
      <c r="E512" s="23"/>
      <c r="F512" s="23"/>
      <c r="G512" s="23"/>
      <c r="H512" s="23"/>
      <c r="I512" s="23"/>
      <c r="J512" s="23"/>
      <c r="K512" s="24"/>
      <c r="L512" s="23"/>
      <c r="M512" s="25"/>
      <c r="N512" s="25"/>
      <c r="O512" s="23"/>
      <c r="P512" s="26"/>
      <c r="Q512" s="26"/>
      <c r="R512" s="27" t="str">
        <f aca="false">IF(AND(ISNUMBER(P512),ISNUMBER(Q512)),P512-Q512,"")</f>
        <v/>
      </c>
      <c r="S512" s="24"/>
      <c r="T512" s="28" t="str">
        <f aca="false">IF(S512&lt;&gt;"",S512,IF(B512="","",IFERROR(IF(INDEX(Batches!$G$5:$G$64,MATCH(B512,Batches!$A$5:$A$64,0))="","",INDEX(Batches!$G$5:$G$64,MATCH(B512,Batches!$A$5:$A$64,0))),"")))</f>
        <v/>
      </c>
      <c r="U512" s="23"/>
      <c r="V512" s="24"/>
      <c r="W512" s="28" t="str">
        <f aca="false">IF(OR(X512="",X512="Pending"),"",IF(V512&lt;&gt;"",V512,IFERROR(IF(INDEX(Batches!$H$5:$H$64,MATCH(B512,Batches!$A$5:$A$64,0))="","",INDEX(Batches!$H$5:$H$64,MATCH(B512,Batches!$A$5:$A$64,0))),"")))</f>
        <v/>
      </c>
      <c r="X512" s="23"/>
      <c r="Y512" s="23"/>
      <c r="Z512" s="26"/>
      <c r="AA512" s="27" t="str">
        <f aca="false">IF(R512="","",IF(X512="Not accepted",R512,IF(OR(X512="Accepted",X512="Withdrawn by hospital"),IF(X512="Accepted",0,R512),IF(ISNUMBER(Z512),R512-Z512,""))))</f>
        <v/>
      </c>
      <c r="AB512" s="23"/>
      <c r="AC512" s="25"/>
      <c r="AD512" s="23"/>
      <c r="AE512" s="23"/>
      <c r="AF512" s="24"/>
      <c r="AG512" s="23"/>
      <c r="AH512" s="24"/>
      <c r="AI512" s="29" t="str">
        <f aca="false">IF(X512="Not accepted","Maintained",IF(X512="Partially accepted","Partially maintained",IF(X512="Accepted","Reversed",IF(X512="Withdrawn by hospital","Withdrawn by hospital",""))))</f>
        <v/>
      </c>
      <c r="AJ512" s="28" t="str">
        <f aca="false">IF(AI512="","",W512)</f>
        <v/>
      </c>
      <c r="AK512" s="29" t="str">
        <f aca="false">IF(AND(ISNUMBER(T512),ISNUMBER(W512)),W512-T512,"")</f>
        <v/>
      </c>
      <c r="AL512" s="29" t="str">
        <f aca="false">IF(A512="","",SUMIF(Actions!$C$5:$C$1004,A512,Actions!$F$5:$F$1004))</f>
        <v/>
      </c>
      <c r="AM512" s="25"/>
    </row>
    <row r="513" customFormat="false" ht="15" hidden="false" customHeight="false" outlineLevel="0" collapsed="false">
      <c r="A513" s="23"/>
      <c r="B513" s="23"/>
      <c r="C513" s="23"/>
      <c r="D513" s="23"/>
      <c r="E513" s="23"/>
      <c r="F513" s="23"/>
      <c r="G513" s="23"/>
      <c r="H513" s="23"/>
      <c r="I513" s="23"/>
      <c r="J513" s="23"/>
      <c r="K513" s="24"/>
      <c r="L513" s="23"/>
      <c r="M513" s="25"/>
      <c r="N513" s="25"/>
      <c r="O513" s="23"/>
      <c r="P513" s="26"/>
      <c r="Q513" s="26"/>
      <c r="R513" s="27" t="str">
        <f aca="false">IF(AND(ISNUMBER(P513),ISNUMBER(Q513)),P513-Q513,"")</f>
        <v/>
      </c>
      <c r="S513" s="24"/>
      <c r="T513" s="28" t="str">
        <f aca="false">IF(S513&lt;&gt;"",S513,IF(B513="","",IFERROR(IF(INDEX(Batches!$G$5:$G$64,MATCH(B513,Batches!$A$5:$A$64,0))="","",INDEX(Batches!$G$5:$G$64,MATCH(B513,Batches!$A$5:$A$64,0))),"")))</f>
        <v/>
      </c>
      <c r="U513" s="23"/>
      <c r="V513" s="24"/>
      <c r="W513" s="28" t="str">
        <f aca="false">IF(OR(X513="",X513="Pending"),"",IF(V513&lt;&gt;"",V513,IFERROR(IF(INDEX(Batches!$H$5:$H$64,MATCH(B513,Batches!$A$5:$A$64,0))="","",INDEX(Batches!$H$5:$H$64,MATCH(B513,Batches!$A$5:$A$64,0))),"")))</f>
        <v/>
      </c>
      <c r="X513" s="23"/>
      <c r="Y513" s="23"/>
      <c r="Z513" s="26"/>
      <c r="AA513" s="27" t="str">
        <f aca="false">IF(R513="","",IF(X513="Not accepted",R513,IF(OR(X513="Accepted",X513="Withdrawn by hospital"),IF(X513="Accepted",0,R513),IF(ISNUMBER(Z513),R513-Z513,""))))</f>
        <v/>
      </c>
      <c r="AB513" s="23"/>
      <c r="AC513" s="25"/>
      <c r="AD513" s="23"/>
      <c r="AE513" s="23"/>
      <c r="AF513" s="24"/>
      <c r="AG513" s="23"/>
      <c r="AH513" s="24"/>
      <c r="AI513" s="29" t="str">
        <f aca="false">IF(X513="Not accepted","Maintained",IF(X513="Partially accepted","Partially maintained",IF(X513="Accepted","Reversed",IF(X513="Withdrawn by hospital","Withdrawn by hospital",""))))</f>
        <v/>
      </c>
      <c r="AJ513" s="28" t="str">
        <f aca="false">IF(AI513="","",W513)</f>
        <v/>
      </c>
      <c r="AK513" s="29" t="str">
        <f aca="false">IF(AND(ISNUMBER(T513),ISNUMBER(W513)),W513-T513,"")</f>
        <v/>
      </c>
      <c r="AL513" s="29" t="str">
        <f aca="false">IF(A513="","",SUMIF(Actions!$C$5:$C$1004,A513,Actions!$F$5:$F$1004))</f>
        <v/>
      </c>
      <c r="AM513" s="25"/>
    </row>
    <row r="514" customFormat="false" ht="15" hidden="false" customHeight="false" outlineLevel="0" collapsed="false">
      <c r="A514" s="23"/>
      <c r="B514" s="23"/>
      <c r="C514" s="23"/>
      <c r="D514" s="23"/>
      <c r="E514" s="23"/>
      <c r="F514" s="23"/>
      <c r="G514" s="23"/>
      <c r="H514" s="23"/>
      <c r="I514" s="23"/>
      <c r="J514" s="23"/>
      <c r="K514" s="24"/>
      <c r="L514" s="23"/>
      <c r="M514" s="25"/>
      <c r="N514" s="25"/>
      <c r="O514" s="23"/>
      <c r="P514" s="26"/>
      <c r="Q514" s="26"/>
      <c r="R514" s="27" t="str">
        <f aca="false">IF(AND(ISNUMBER(P514),ISNUMBER(Q514)),P514-Q514,"")</f>
        <v/>
      </c>
      <c r="S514" s="24"/>
      <c r="T514" s="28" t="str">
        <f aca="false">IF(S514&lt;&gt;"",S514,IF(B514="","",IFERROR(IF(INDEX(Batches!$G$5:$G$64,MATCH(B514,Batches!$A$5:$A$64,0))="","",INDEX(Batches!$G$5:$G$64,MATCH(B514,Batches!$A$5:$A$64,0))),"")))</f>
        <v/>
      </c>
      <c r="U514" s="23"/>
      <c r="V514" s="24"/>
      <c r="W514" s="28" t="str">
        <f aca="false">IF(OR(X514="",X514="Pending"),"",IF(V514&lt;&gt;"",V514,IFERROR(IF(INDEX(Batches!$H$5:$H$64,MATCH(B514,Batches!$A$5:$A$64,0))="","",INDEX(Batches!$H$5:$H$64,MATCH(B514,Batches!$A$5:$A$64,0))),"")))</f>
        <v/>
      </c>
      <c r="X514" s="23"/>
      <c r="Y514" s="23"/>
      <c r="Z514" s="26"/>
      <c r="AA514" s="27" t="str">
        <f aca="false">IF(R514="","",IF(X514="Not accepted",R514,IF(OR(X514="Accepted",X514="Withdrawn by hospital"),IF(X514="Accepted",0,R514),IF(ISNUMBER(Z514),R514-Z514,""))))</f>
        <v/>
      </c>
      <c r="AB514" s="23"/>
      <c r="AC514" s="25"/>
      <c r="AD514" s="23"/>
      <c r="AE514" s="23"/>
      <c r="AF514" s="24"/>
      <c r="AG514" s="23"/>
      <c r="AH514" s="24"/>
      <c r="AI514" s="29" t="str">
        <f aca="false">IF(X514="Not accepted","Maintained",IF(X514="Partially accepted","Partially maintained",IF(X514="Accepted","Reversed",IF(X514="Withdrawn by hospital","Withdrawn by hospital",""))))</f>
        <v/>
      </c>
      <c r="AJ514" s="28" t="str">
        <f aca="false">IF(AI514="","",W514)</f>
        <v/>
      </c>
      <c r="AK514" s="29" t="str">
        <f aca="false">IF(AND(ISNUMBER(T514),ISNUMBER(W514)),W514-T514,"")</f>
        <v/>
      </c>
      <c r="AL514" s="29" t="str">
        <f aca="false">IF(A514="","",SUMIF(Actions!$C$5:$C$1004,A514,Actions!$F$5:$F$1004))</f>
        <v/>
      </c>
      <c r="AM514" s="25"/>
    </row>
    <row r="515" customFormat="false" ht="15" hidden="false" customHeight="false" outlineLevel="0" collapsed="false">
      <c r="A515" s="23"/>
      <c r="B515" s="23"/>
      <c r="C515" s="23"/>
      <c r="D515" s="23"/>
      <c r="E515" s="23"/>
      <c r="F515" s="23"/>
      <c r="G515" s="23"/>
      <c r="H515" s="23"/>
      <c r="I515" s="23"/>
      <c r="J515" s="23"/>
      <c r="K515" s="24"/>
      <c r="L515" s="23"/>
      <c r="M515" s="25"/>
      <c r="N515" s="25"/>
      <c r="O515" s="23"/>
      <c r="P515" s="26"/>
      <c r="Q515" s="26"/>
      <c r="R515" s="27" t="str">
        <f aca="false">IF(AND(ISNUMBER(P515),ISNUMBER(Q515)),P515-Q515,"")</f>
        <v/>
      </c>
      <c r="S515" s="24"/>
      <c r="T515" s="28" t="str">
        <f aca="false">IF(S515&lt;&gt;"",S515,IF(B515="","",IFERROR(IF(INDEX(Batches!$G$5:$G$64,MATCH(B515,Batches!$A$5:$A$64,0))="","",INDEX(Batches!$G$5:$G$64,MATCH(B515,Batches!$A$5:$A$64,0))),"")))</f>
        <v/>
      </c>
      <c r="U515" s="23"/>
      <c r="V515" s="24"/>
      <c r="W515" s="28" t="str">
        <f aca="false">IF(OR(X515="",X515="Pending"),"",IF(V515&lt;&gt;"",V515,IFERROR(IF(INDEX(Batches!$H$5:$H$64,MATCH(B515,Batches!$A$5:$A$64,0))="","",INDEX(Batches!$H$5:$H$64,MATCH(B515,Batches!$A$5:$A$64,0))),"")))</f>
        <v/>
      </c>
      <c r="X515" s="23"/>
      <c r="Y515" s="23"/>
      <c r="Z515" s="26"/>
      <c r="AA515" s="27" t="str">
        <f aca="false">IF(R515="","",IF(X515="Not accepted",R515,IF(OR(X515="Accepted",X515="Withdrawn by hospital"),IF(X515="Accepted",0,R515),IF(ISNUMBER(Z515),R515-Z515,""))))</f>
        <v/>
      </c>
      <c r="AB515" s="23"/>
      <c r="AC515" s="25"/>
      <c r="AD515" s="23"/>
      <c r="AE515" s="23"/>
      <c r="AF515" s="24"/>
      <c r="AG515" s="23"/>
      <c r="AH515" s="24"/>
      <c r="AI515" s="29" t="str">
        <f aca="false">IF(X515="Not accepted","Maintained",IF(X515="Partially accepted","Partially maintained",IF(X515="Accepted","Reversed",IF(X515="Withdrawn by hospital","Withdrawn by hospital",""))))</f>
        <v/>
      </c>
      <c r="AJ515" s="28" t="str">
        <f aca="false">IF(AI515="","",W515)</f>
        <v/>
      </c>
      <c r="AK515" s="29" t="str">
        <f aca="false">IF(AND(ISNUMBER(T515),ISNUMBER(W515)),W515-T515,"")</f>
        <v/>
      </c>
      <c r="AL515" s="29" t="str">
        <f aca="false">IF(A515="","",SUMIF(Actions!$C$5:$C$1004,A515,Actions!$F$5:$F$1004))</f>
        <v/>
      </c>
      <c r="AM515" s="25"/>
    </row>
    <row r="516" customFormat="false" ht="15" hidden="false" customHeight="false" outlineLevel="0" collapsed="false">
      <c r="A516" s="23"/>
      <c r="B516" s="23"/>
      <c r="C516" s="23"/>
      <c r="D516" s="23"/>
      <c r="E516" s="23"/>
      <c r="F516" s="23"/>
      <c r="G516" s="23"/>
      <c r="H516" s="23"/>
      <c r="I516" s="23"/>
      <c r="J516" s="23"/>
      <c r="K516" s="24"/>
      <c r="L516" s="23"/>
      <c r="M516" s="25"/>
      <c r="N516" s="25"/>
      <c r="O516" s="23"/>
      <c r="P516" s="26"/>
      <c r="Q516" s="26"/>
      <c r="R516" s="27" t="str">
        <f aca="false">IF(AND(ISNUMBER(P516),ISNUMBER(Q516)),P516-Q516,"")</f>
        <v/>
      </c>
      <c r="S516" s="24"/>
      <c r="T516" s="28" t="str">
        <f aca="false">IF(S516&lt;&gt;"",S516,IF(B516="","",IFERROR(IF(INDEX(Batches!$G$5:$G$64,MATCH(B516,Batches!$A$5:$A$64,0))="","",INDEX(Batches!$G$5:$G$64,MATCH(B516,Batches!$A$5:$A$64,0))),"")))</f>
        <v/>
      </c>
      <c r="U516" s="23"/>
      <c r="V516" s="24"/>
      <c r="W516" s="28" t="str">
        <f aca="false">IF(OR(X516="",X516="Pending"),"",IF(V516&lt;&gt;"",V516,IFERROR(IF(INDEX(Batches!$H$5:$H$64,MATCH(B516,Batches!$A$5:$A$64,0))="","",INDEX(Batches!$H$5:$H$64,MATCH(B516,Batches!$A$5:$A$64,0))),"")))</f>
        <v/>
      </c>
      <c r="X516" s="23"/>
      <c r="Y516" s="23"/>
      <c r="Z516" s="26"/>
      <c r="AA516" s="27" t="str">
        <f aca="false">IF(R516="","",IF(X516="Not accepted",R516,IF(OR(X516="Accepted",X516="Withdrawn by hospital"),IF(X516="Accepted",0,R516),IF(ISNUMBER(Z516),R516-Z516,""))))</f>
        <v/>
      </c>
      <c r="AB516" s="23"/>
      <c r="AC516" s="25"/>
      <c r="AD516" s="23"/>
      <c r="AE516" s="23"/>
      <c r="AF516" s="24"/>
      <c r="AG516" s="23"/>
      <c r="AH516" s="24"/>
      <c r="AI516" s="29" t="str">
        <f aca="false">IF(X516="Not accepted","Maintained",IF(X516="Partially accepted","Partially maintained",IF(X516="Accepted","Reversed",IF(X516="Withdrawn by hospital","Withdrawn by hospital",""))))</f>
        <v/>
      </c>
      <c r="AJ516" s="28" t="str">
        <f aca="false">IF(AI516="","",W516)</f>
        <v/>
      </c>
      <c r="AK516" s="29" t="str">
        <f aca="false">IF(AND(ISNUMBER(T516),ISNUMBER(W516)),W516-T516,"")</f>
        <v/>
      </c>
      <c r="AL516" s="29" t="str">
        <f aca="false">IF(A516="","",SUMIF(Actions!$C$5:$C$1004,A516,Actions!$F$5:$F$1004))</f>
        <v/>
      </c>
      <c r="AM516" s="25"/>
    </row>
    <row r="517" customFormat="false" ht="15" hidden="false" customHeight="false" outlineLevel="0" collapsed="false">
      <c r="A517" s="23"/>
      <c r="B517" s="23"/>
      <c r="C517" s="23"/>
      <c r="D517" s="23"/>
      <c r="E517" s="23"/>
      <c r="F517" s="23"/>
      <c r="G517" s="23"/>
      <c r="H517" s="23"/>
      <c r="I517" s="23"/>
      <c r="J517" s="23"/>
      <c r="K517" s="24"/>
      <c r="L517" s="23"/>
      <c r="M517" s="25"/>
      <c r="N517" s="25"/>
      <c r="O517" s="23"/>
      <c r="P517" s="26"/>
      <c r="Q517" s="26"/>
      <c r="R517" s="27" t="str">
        <f aca="false">IF(AND(ISNUMBER(P517),ISNUMBER(Q517)),P517-Q517,"")</f>
        <v/>
      </c>
      <c r="S517" s="24"/>
      <c r="T517" s="28" t="str">
        <f aca="false">IF(S517&lt;&gt;"",S517,IF(B517="","",IFERROR(IF(INDEX(Batches!$G$5:$G$64,MATCH(B517,Batches!$A$5:$A$64,0))="","",INDEX(Batches!$G$5:$G$64,MATCH(B517,Batches!$A$5:$A$64,0))),"")))</f>
        <v/>
      </c>
      <c r="U517" s="23"/>
      <c r="V517" s="24"/>
      <c r="W517" s="28" t="str">
        <f aca="false">IF(OR(X517="",X517="Pending"),"",IF(V517&lt;&gt;"",V517,IFERROR(IF(INDEX(Batches!$H$5:$H$64,MATCH(B517,Batches!$A$5:$A$64,0))="","",INDEX(Batches!$H$5:$H$64,MATCH(B517,Batches!$A$5:$A$64,0))),"")))</f>
        <v/>
      </c>
      <c r="X517" s="23"/>
      <c r="Y517" s="23"/>
      <c r="Z517" s="26"/>
      <c r="AA517" s="27" t="str">
        <f aca="false">IF(R517="","",IF(X517="Not accepted",R517,IF(OR(X517="Accepted",X517="Withdrawn by hospital"),IF(X517="Accepted",0,R517),IF(ISNUMBER(Z517),R517-Z517,""))))</f>
        <v/>
      </c>
      <c r="AB517" s="23"/>
      <c r="AC517" s="25"/>
      <c r="AD517" s="23"/>
      <c r="AE517" s="23"/>
      <c r="AF517" s="24"/>
      <c r="AG517" s="23"/>
      <c r="AH517" s="24"/>
      <c r="AI517" s="29" t="str">
        <f aca="false">IF(X517="Not accepted","Maintained",IF(X517="Partially accepted","Partially maintained",IF(X517="Accepted","Reversed",IF(X517="Withdrawn by hospital","Withdrawn by hospital",""))))</f>
        <v/>
      </c>
      <c r="AJ517" s="28" t="str">
        <f aca="false">IF(AI517="","",W517)</f>
        <v/>
      </c>
      <c r="AK517" s="29" t="str">
        <f aca="false">IF(AND(ISNUMBER(T517),ISNUMBER(W517)),W517-T517,"")</f>
        <v/>
      </c>
      <c r="AL517" s="29" t="str">
        <f aca="false">IF(A517="","",SUMIF(Actions!$C$5:$C$1004,A517,Actions!$F$5:$F$1004))</f>
        <v/>
      </c>
      <c r="AM517" s="25"/>
    </row>
    <row r="518" customFormat="false" ht="15" hidden="false" customHeight="false" outlineLevel="0" collapsed="false">
      <c r="A518" s="23"/>
      <c r="B518" s="23"/>
      <c r="C518" s="23"/>
      <c r="D518" s="23"/>
      <c r="E518" s="23"/>
      <c r="F518" s="23"/>
      <c r="G518" s="23"/>
      <c r="H518" s="23"/>
      <c r="I518" s="23"/>
      <c r="J518" s="23"/>
      <c r="K518" s="24"/>
      <c r="L518" s="23"/>
      <c r="M518" s="25"/>
      <c r="N518" s="25"/>
      <c r="O518" s="23"/>
      <c r="P518" s="26"/>
      <c r="Q518" s="26"/>
      <c r="R518" s="27" t="str">
        <f aca="false">IF(AND(ISNUMBER(P518),ISNUMBER(Q518)),P518-Q518,"")</f>
        <v/>
      </c>
      <c r="S518" s="24"/>
      <c r="T518" s="28" t="str">
        <f aca="false">IF(S518&lt;&gt;"",S518,IF(B518="","",IFERROR(IF(INDEX(Batches!$G$5:$G$64,MATCH(B518,Batches!$A$5:$A$64,0))="","",INDEX(Batches!$G$5:$G$64,MATCH(B518,Batches!$A$5:$A$64,0))),"")))</f>
        <v/>
      </c>
      <c r="U518" s="23"/>
      <c r="V518" s="24"/>
      <c r="W518" s="28" t="str">
        <f aca="false">IF(OR(X518="",X518="Pending"),"",IF(V518&lt;&gt;"",V518,IFERROR(IF(INDEX(Batches!$H$5:$H$64,MATCH(B518,Batches!$A$5:$A$64,0))="","",INDEX(Batches!$H$5:$H$64,MATCH(B518,Batches!$A$5:$A$64,0))),"")))</f>
        <v/>
      </c>
      <c r="X518" s="23"/>
      <c r="Y518" s="23"/>
      <c r="Z518" s="26"/>
      <c r="AA518" s="27" t="str">
        <f aca="false">IF(R518="","",IF(X518="Not accepted",R518,IF(OR(X518="Accepted",X518="Withdrawn by hospital"),IF(X518="Accepted",0,R518),IF(ISNUMBER(Z518),R518-Z518,""))))</f>
        <v/>
      </c>
      <c r="AB518" s="23"/>
      <c r="AC518" s="25"/>
      <c r="AD518" s="23"/>
      <c r="AE518" s="23"/>
      <c r="AF518" s="24"/>
      <c r="AG518" s="23"/>
      <c r="AH518" s="24"/>
      <c r="AI518" s="29" t="str">
        <f aca="false">IF(X518="Not accepted","Maintained",IF(X518="Partially accepted","Partially maintained",IF(X518="Accepted","Reversed",IF(X518="Withdrawn by hospital","Withdrawn by hospital",""))))</f>
        <v/>
      </c>
      <c r="AJ518" s="28" t="str">
        <f aca="false">IF(AI518="","",W518)</f>
        <v/>
      </c>
      <c r="AK518" s="29" t="str">
        <f aca="false">IF(AND(ISNUMBER(T518),ISNUMBER(W518)),W518-T518,"")</f>
        <v/>
      </c>
      <c r="AL518" s="29" t="str">
        <f aca="false">IF(A518="","",SUMIF(Actions!$C$5:$C$1004,A518,Actions!$F$5:$F$1004))</f>
        <v/>
      </c>
      <c r="AM518" s="25"/>
    </row>
    <row r="519" customFormat="false" ht="15" hidden="false" customHeight="false" outlineLevel="0" collapsed="false">
      <c r="A519" s="23"/>
      <c r="B519" s="23"/>
      <c r="C519" s="23"/>
      <c r="D519" s="23"/>
      <c r="E519" s="23"/>
      <c r="F519" s="23"/>
      <c r="G519" s="23"/>
      <c r="H519" s="23"/>
      <c r="I519" s="23"/>
      <c r="J519" s="23"/>
      <c r="K519" s="24"/>
      <c r="L519" s="23"/>
      <c r="M519" s="25"/>
      <c r="N519" s="25"/>
      <c r="O519" s="23"/>
      <c r="P519" s="26"/>
      <c r="Q519" s="26"/>
      <c r="R519" s="27" t="str">
        <f aca="false">IF(AND(ISNUMBER(P519),ISNUMBER(Q519)),P519-Q519,"")</f>
        <v/>
      </c>
      <c r="S519" s="24"/>
      <c r="T519" s="28" t="str">
        <f aca="false">IF(S519&lt;&gt;"",S519,IF(B519="","",IFERROR(IF(INDEX(Batches!$G$5:$G$64,MATCH(B519,Batches!$A$5:$A$64,0))="","",INDEX(Batches!$G$5:$G$64,MATCH(B519,Batches!$A$5:$A$64,0))),"")))</f>
        <v/>
      </c>
      <c r="U519" s="23"/>
      <c r="V519" s="24"/>
      <c r="W519" s="28" t="str">
        <f aca="false">IF(OR(X519="",X519="Pending"),"",IF(V519&lt;&gt;"",V519,IFERROR(IF(INDEX(Batches!$H$5:$H$64,MATCH(B519,Batches!$A$5:$A$64,0))="","",INDEX(Batches!$H$5:$H$64,MATCH(B519,Batches!$A$5:$A$64,0))),"")))</f>
        <v/>
      </c>
      <c r="X519" s="23"/>
      <c r="Y519" s="23"/>
      <c r="Z519" s="26"/>
      <c r="AA519" s="27" t="str">
        <f aca="false">IF(R519="","",IF(X519="Not accepted",R519,IF(OR(X519="Accepted",X519="Withdrawn by hospital"),IF(X519="Accepted",0,R519),IF(ISNUMBER(Z519),R519-Z519,""))))</f>
        <v/>
      </c>
      <c r="AB519" s="23"/>
      <c r="AC519" s="25"/>
      <c r="AD519" s="23"/>
      <c r="AE519" s="23"/>
      <c r="AF519" s="24"/>
      <c r="AG519" s="23"/>
      <c r="AH519" s="24"/>
      <c r="AI519" s="29" t="str">
        <f aca="false">IF(X519="Not accepted","Maintained",IF(X519="Partially accepted","Partially maintained",IF(X519="Accepted","Reversed",IF(X519="Withdrawn by hospital","Withdrawn by hospital",""))))</f>
        <v/>
      </c>
      <c r="AJ519" s="28" t="str">
        <f aca="false">IF(AI519="","",W519)</f>
        <v/>
      </c>
      <c r="AK519" s="29" t="str">
        <f aca="false">IF(AND(ISNUMBER(T519),ISNUMBER(W519)),W519-T519,"")</f>
        <v/>
      </c>
      <c r="AL519" s="29" t="str">
        <f aca="false">IF(A519="","",SUMIF(Actions!$C$5:$C$1004,A519,Actions!$F$5:$F$1004))</f>
        <v/>
      </c>
      <c r="AM519" s="25"/>
    </row>
    <row r="520" customFormat="false" ht="15" hidden="false" customHeight="false" outlineLevel="0" collapsed="false">
      <c r="A520" s="23"/>
      <c r="B520" s="23"/>
      <c r="C520" s="23"/>
      <c r="D520" s="23"/>
      <c r="E520" s="23"/>
      <c r="F520" s="23"/>
      <c r="G520" s="23"/>
      <c r="H520" s="23"/>
      <c r="I520" s="23"/>
      <c r="J520" s="23"/>
      <c r="K520" s="24"/>
      <c r="L520" s="23"/>
      <c r="M520" s="25"/>
      <c r="N520" s="25"/>
      <c r="O520" s="23"/>
      <c r="P520" s="26"/>
      <c r="Q520" s="26"/>
      <c r="R520" s="27" t="str">
        <f aca="false">IF(AND(ISNUMBER(P520),ISNUMBER(Q520)),P520-Q520,"")</f>
        <v/>
      </c>
      <c r="S520" s="24"/>
      <c r="T520" s="28" t="str">
        <f aca="false">IF(S520&lt;&gt;"",S520,IF(B520="","",IFERROR(IF(INDEX(Batches!$G$5:$G$64,MATCH(B520,Batches!$A$5:$A$64,0))="","",INDEX(Batches!$G$5:$G$64,MATCH(B520,Batches!$A$5:$A$64,0))),"")))</f>
        <v/>
      </c>
      <c r="U520" s="23"/>
      <c r="V520" s="24"/>
      <c r="W520" s="28" t="str">
        <f aca="false">IF(OR(X520="",X520="Pending"),"",IF(V520&lt;&gt;"",V520,IFERROR(IF(INDEX(Batches!$H$5:$H$64,MATCH(B520,Batches!$A$5:$A$64,0))="","",INDEX(Batches!$H$5:$H$64,MATCH(B520,Batches!$A$5:$A$64,0))),"")))</f>
        <v/>
      </c>
      <c r="X520" s="23"/>
      <c r="Y520" s="23"/>
      <c r="Z520" s="26"/>
      <c r="AA520" s="27" t="str">
        <f aca="false">IF(R520="","",IF(X520="Not accepted",R520,IF(OR(X520="Accepted",X520="Withdrawn by hospital"),IF(X520="Accepted",0,R520),IF(ISNUMBER(Z520),R520-Z520,""))))</f>
        <v/>
      </c>
      <c r="AB520" s="23"/>
      <c r="AC520" s="25"/>
      <c r="AD520" s="23"/>
      <c r="AE520" s="23"/>
      <c r="AF520" s="24"/>
      <c r="AG520" s="23"/>
      <c r="AH520" s="24"/>
      <c r="AI520" s="29" t="str">
        <f aca="false">IF(X520="Not accepted","Maintained",IF(X520="Partially accepted","Partially maintained",IF(X520="Accepted","Reversed",IF(X520="Withdrawn by hospital","Withdrawn by hospital",""))))</f>
        <v/>
      </c>
      <c r="AJ520" s="28" t="str">
        <f aca="false">IF(AI520="","",W520)</f>
        <v/>
      </c>
      <c r="AK520" s="29" t="str">
        <f aca="false">IF(AND(ISNUMBER(T520),ISNUMBER(W520)),W520-T520,"")</f>
        <v/>
      </c>
      <c r="AL520" s="29" t="str">
        <f aca="false">IF(A520="","",SUMIF(Actions!$C$5:$C$1004,A520,Actions!$F$5:$F$1004))</f>
        <v/>
      </c>
      <c r="AM520" s="25"/>
    </row>
    <row r="521" customFormat="false" ht="15" hidden="false" customHeight="false" outlineLevel="0" collapsed="false">
      <c r="A521" s="23"/>
      <c r="B521" s="23"/>
      <c r="C521" s="23"/>
      <c r="D521" s="23"/>
      <c r="E521" s="23"/>
      <c r="F521" s="23"/>
      <c r="G521" s="23"/>
      <c r="H521" s="23"/>
      <c r="I521" s="23"/>
      <c r="J521" s="23"/>
      <c r="K521" s="24"/>
      <c r="L521" s="23"/>
      <c r="M521" s="25"/>
      <c r="N521" s="25"/>
      <c r="O521" s="23"/>
      <c r="P521" s="26"/>
      <c r="Q521" s="26"/>
      <c r="R521" s="27" t="str">
        <f aca="false">IF(AND(ISNUMBER(P521),ISNUMBER(Q521)),P521-Q521,"")</f>
        <v/>
      </c>
      <c r="S521" s="24"/>
      <c r="T521" s="28" t="str">
        <f aca="false">IF(S521&lt;&gt;"",S521,IF(B521="","",IFERROR(IF(INDEX(Batches!$G$5:$G$64,MATCH(B521,Batches!$A$5:$A$64,0))="","",INDEX(Batches!$G$5:$G$64,MATCH(B521,Batches!$A$5:$A$64,0))),"")))</f>
        <v/>
      </c>
      <c r="U521" s="23"/>
      <c r="V521" s="24"/>
      <c r="W521" s="28" t="str">
        <f aca="false">IF(OR(X521="",X521="Pending"),"",IF(V521&lt;&gt;"",V521,IFERROR(IF(INDEX(Batches!$H$5:$H$64,MATCH(B521,Batches!$A$5:$A$64,0))="","",INDEX(Batches!$H$5:$H$64,MATCH(B521,Batches!$A$5:$A$64,0))),"")))</f>
        <v/>
      </c>
      <c r="X521" s="23"/>
      <c r="Y521" s="23"/>
      <c r="Z521" s="26"/>
      <c r="AA521" s="27" t="str">
        <f aca="false">IF(R521="","",IF(X521="Not accepted",R521,IF(OR(X521="Accepted",X521="Withdrawn by hospital"),IF(X521="Accepted",0,R521),IF(ISNUMBER(Z521),R521-Z521,""))))</f>
        <v/>
      </c>
      <c r="AB521" s="23"/>
      <c r="AC521" s="25"/>
      <c r="AD521" s="23"/>
      <c r="AE521" s="23"/>
      <c r="AF521" s="24"/>
      <c r="AG521" s="23"/>
      <c r="AH521" s="24"/>
      <c r="AI521" s="29" t="str">
        <f aca="false">IF(X521="Not accepted","Maintained",IF(X521="Partially accepted","Partially maintained",IF(X521="Accepted","Reversed",IF(X521="Withdrawn by hospital","Withdrawn by hospital",""))))</f>
        <v/>
      </c>
      <c r="AJ521" s="28" t="str">
        <f aca="false">IF(AI521="","",W521)</f>
        <v/>
      </c>
      <c r="AK521" s="29" t="str">
        <f aca="false">IF(AND(ISNUMBER(T521),ISNUMBER(W521)),W521-T521,"")</f>
        <v/>
      </c>
      <c r="AL521" s="29" t="str">
        <f aca="false">IF(A521="","",SUMIF(Actions!$C$5:$C$1004,A521,Actions!$F$5:$F$1004))</f>
        <v/>
      </c>
      <c r="AM521" s="25"/>
    </row>
    <row r="522" customFormat="false" ht="15" hidden="false" customHeight="false" outlineLevel="0" collapsed="false">
      <c r="A522" s="23"/>
      <c r="B522" s="23"/>
      <c r="C522" s="23"/>
      <c r="D522" s="23"/>
      <c r="E522" s="23"/>
      <c r="F522" s="23"/>
      <c r="G522" s="23"/>
      <c r="H522" s="23"/>
      <c r="I522" s="23"/>
      <c r="J522" s="23"/>
      <c r="K522" s="24"/>
      <c r="L522" s="23"/>
      <c r="M522" s="25"/>
      <c r="N522" s="25"/>
      <c r="O522" s="23"/>
      <c r="P522" s="26"/>
      <c r="Q522" s="26"/>
      <c r="R522" s="27" t="str">
        <f aca="false">IF(AND(ISNUMBER(P522),ISNUMBER(Q522)),P522-Q522,"")</f>
        <v/>
      </c>
      <c r="S522" s="24"/>
      <c r="T522" s="28" t="str">
        <f aca="false">IF(S522&lt;&gt;"",S522,IF(B522="","",IFERROR(IF(INDEX(Batches!$G$5:$G$64,MATCH(B522,Batches!$A$5:$A$64,0))="","",INDEX(Batches!$G$5:$G$64,MATCH(B522,Batches!$A$5:$A$64,0))),"")))</f>
        <v/>
      </c>
      <c r="U522" s="23"/>
      <c r="V522" s="24"/>
      <c r="W522" s="28" t="str">
        <f aca="false">IF(OR(X522="",X522="Pending"),"",IF(V522&lt;&gt;"",V522,IFERROR(IF(INDEX(Batches!$H$5:$H$64,MATCH(B522,Batches!$A$5:$A$64,0))="","",INDEX(Batches!$H$5:$H$64,MATCH(B522,Batches!$A$5:$A$64,0))),"")))</f>
        <v/>
      </c>
      <c r="X522" s="23"/>
      <c r="Y522" s="23"/>
      <c r="Z522" s="26"/>
      <c r="AA522" s="27" t="str">
        <f aca="false">IF(R522="","",IF(X522="Not accepted",R522,IF(OR(X522="Accepted",X522="Withdrawn by hospital"),IF(X522="Accepted",0,R522),IF(ISNUMBER(Z522),R522-Z522,""))))</f>
        <v/>
      </c>
      <c r="AB522" s="23"/>
      <c r="AC522" s="25"/>
      <c r="AD522" s="23"/>
      <c r="AE522" s="23"/>
      <c r="AF522" s="24"/>
      <c r="AG522" s="23"/>
      <c r="AH522" s="24"/>
      <c r="AI522" s="29" t="str">
        <f aca="false">IF(X522="Not accepted","Maintained",IF(X522="Partially accepted","Partially maintained",IF(X522="Accepted","Reversed",IF(X522="Withdrawn by hospital","Withdrawn by hospital",""))))</f>
        <v/>
      </c>
      <c r="AJ522" s="28" t="str">
        <f aca="false">IF(AI522="","",W522)</f>
        <v/>
      </c>
      <c r="AK522" s="29" t="str">
        <f aca="false">IF(AND(ISNUMBER(T522),ISNUMBER(W522)),W522-T522,"")</f>
        <v/>
      </c>
      <c r="AL522" s="29" t="str">
        <f aca="false">IF(A522="","",SUMIF(Actions!$C$5:$C$1004,A522,Actions!$F$5:$F$1004))</f>
        <v/>
      </c>
      <c r="AM522" s="25"/>
    </row>
    <row r="523" customFormat="false" ht="15" hidden="false" customHeight="false" outlineLevel="0" collapsed="false">
      <c r="A523" s="23"/>
      <c r="B523" s="23"/>
      <c r="C523" s="23"/>
      <c r="D523" s="23"/>
      <c r="E523" s="23"/>
      <c r="F523" s="23"/>
      <c r="G523" s="23"/>
      <c r="H523" s="23"/>
      <c r="I523" s="23"/>
      <c r="J523" s="23"/>
      <c r="K523" s="24"/>
      <c r="L523" s="23"/>
      <c r="M523" s="25"/>
      <c r="N523" s="25"/>
      <c r="O523" s="23"/>
      <c r="P523" s="26"/>
      <c r="Q523" s="26"/>
      <c r="R523" s="27" t="str">
        <f aca="false">IF(AND(ISNUMBER(P523),ISNUMBER(Q523)),P523-Q523,"")</f>
        <v/>
      </c>
      <c r="S523" s="24"/>
      <c r="T523" s="28" t="str">
        <f aca="false">IF(S523&lt;&gt;"",S523,IF(B523="","",IFERROR(IF(INDEX(Batches!$G$5:$G$64,MATCH(B523,Batches!$A$5:$A$64,0))="","",INDEX(Batches!$G$5:$G$64,MATCH(B523,Batches!$A$5:$A$64,0))),"")))</f>
        <v/>
      </c>
      <c r="U523" s="23"/>
      <c r="V523" s="24"/>
      <c r="W523" s="28" t="str">
        <f aca="false">IF(OR(X523="",X523="Pending"),"",IF(V523&lt;&gt;"",V523,IFERROR(IF(INDEX(Batches!$H$5:$H$64,MATCH(B523,Batches!$A$5:$A$64,0))="","",INDEX(Batches!$H$5:$H$64,MATCH(B523,Batches!$A$5:$A$64,0))),"")))</f>
        <v/>
      </c>
      <c r="X523" s="23"/>
      <c r="Y523" s="23"/>
      <c r="Z523" s="26"/>
      <c r="AA523" s="27" t="str">
        <f aca="false">IF(R523="","",IF(X523="Not accepted",R523,IF(OR(X523="Accepted",X523="Withdrawn by hospital"),IF(X523="Accepted",0,R523),IF(ISNUMBER(Z523),R523-Z523,""))))</f>
        <v/>
      </c>
      <c r="AB523" s="23"/>
      <c r="AC523" s="25"/>
      <c r="AD523" s="23"/>
      <c r="AE523" s="23"/>
      <c r="AF523" s="24"/>
      <c r="AG523" s="23"/>
      <c r="AH523" s="24"/>
      <c r="AI523" s="29" t="str">
        <f aca="false">IF(X523="Not accepted","Maintained",IF(X523="Partially accepted","Partially maintained",IF(X523="Accepted","Reversed",IF(X523="Withdrawn by hospital","Withdrawn by hospital",""))))</f>
        <v/>
      </c>
      <c r="AJ523" s="28" t="str">
        <f aca="false">IF(AI523="","",W523)</f>
        <v/>
      </c>
      <c r="AK523" s="29" t="str">
        <f aca="false">IF(AND(ISNUMBER(T523),ISNUMBER(W523)),W523-T523,"")</f>
        <v/>
      </c>
      <c r="AL523" s="29" t="str">
        <f aca="false">IF(A523="","",SUMIF(Actions!$C$5:$C$1004,A523,Actions!$F$5:$F$1004))</f>
        <v/>
      </c>
      <c r="AM523" s="25"/>
    </row>
    <row r="524" customFormat="false" ht="15" hidden="false" customHeight="false" outlineLevel="0" collapsed="false">
      <c r="A524" s="23"/>
      <c r="B524" s="23"/>
      <c r="C524" s="23"/>
      <c r="D524" s="23"/>
      <c r="E524" s="23"/>
      <c r="F524" s="23"/>
      <c r="G524" s="23"/>
      <c r="H524" s="23"/>
      <c r="I524" s="23"/>
      <c r="J524" s="23"/>
      <c r="K524" s="24"/>
      <c r="L524" s="23"/>
      <c r="M524" s="25"/>
      <c r="N524" s="25"/>
      <c r="O524" s="23"/>
      <c r="P524" s="26"/>
      <c r="Q524" s="26"/>
      <c r="R524" s="27" t="str">
        <f aca="false">IF(AND(ISNUMBER(P524),ISNUMBER(Q524)),P524-Q524,"")</f>
        <v/>
      </c>
      <c r="S524" s="24"/>
      <c r="T524" s="28" t="str">
        <f aca="false">IF(S524&lt;&gt;"",S524,IF(B524="","",IFERROR(IF(INDEX(Batches!$G$5:$G$64,MATCH(B524,Batches!$A$5:$A$64,0))="","",INDEX(Batches!$G$5:$G$64,MATCH(B524,Batches!$A$5:$A$64,0))),"")))</f>
        <v/>
      </c>
      <c r="U524" s="23"/>
      <c r="V524" s="24"/>
      <c r="W524" s="28" t="str">
        <f aca="false">IF(OR(X524="",X524="Pending"),"",IF(V524&lt;&gt;"",V524,IFERROR(IF(INDEX(Batches!$H$5:$H$64,MATCH(B524,Batches!$A$5:$A$64,0))="","",INDEX(Batches!$H$5:$H$64,MATCH(B524,Batches!$A$5:$A$64,0))),"")))</f>
        <v/>
      </c>
      <c r="X524" s="23"/>
      <c r="Y524" s="23"/>
      <c r="Z524" s="26"/>
      <c r="AA524" s="27" t="str">
        <f aca="false">IF(R524="","",IF(X524="Not accepted",R524,IF(OR(X524="Accepted",X524="Withdrawn by hospital"),IF(X524="Accepted",0,R524),IF(ISNUMBER(Z524),R524-Z524,""))))</f>
        <v/>
      </c>
      <c r="AB524" s="23"/>
      <c r="AC524" s="25"/>
      <c r="AD524" s="23"/>
      <c r="AE524" s="23"/>
      <c r="AF524" s="24"/>
      <c r="AG524" s="23"/>
      <c r="AH524" s="24"/>
      <c r="AI524" s="29" t="str">
        <f aca="false">IF(X524="Not accepted","Maintained",IF(X524="Partially accepted","Partially maintained",IF(X524="Accepted","Reversed",IF(X524="Withdrawn by hospital","Withdrawn by hospital",""))))</f>
        <v/>
      </c>
      <c r="AJ524" s="28" t="str">
        <f aca="false">IF(AI524="","",W524)</f>
        <v/>
      </c>
      <c r="AK524" s="29" t="str">
        <f aca="false">IF(AND(ISNUMBER(T524),ISNUMBER(W524)),W524-T524,"")</f>
        <v/>
      </c>
      <c r="AL524" s="29" t="str">
        <f aca="false">IF(A524="","",SUMIF(Actions!$C$5:$C$1004,A524,Actions!$F$5:$F$1004))</f>
        <v/>
      </c>
      <c r="AM524" s="25"/>
    </row>
    <row r="525" customFormat="false" ht="15" hidden="false" customHeight="false" outlineLevel="0" collapsed="false">
      <c r="A525" s="23"/>
      <c r="B525" s="23"/>
      <c r="C525" s="23"/>
      <c r="D525" s="23"/>
      <c r="E525" s="23"/>
      <c r="F525" s="23"/>
      <c r="G525" s="23"/>
      <c r="H525" s="23"/>
      <c r="I525" s="23"/>
      <c r="J525" s="23"/>
      <c r="K525" s="24"/>
      <c r="L525" s="23"/>
      <c r="M525" s="25"/>
      <c r="N525" s="25"/>
      <c r="O525" s="23"/>
      <c r="P525" s="26"/>
      <c r="Q525" s="26"/>
      <c r="R525" s="27" t="str">
        <f aca="false">IF(AND(ISNUMBER(P525),ISNUMBER(Q525)),P525-Q525,"")</f>
        <v/>
      </c>
      <c r="S525" s="24"/>
      <c r="T525" s="28" t="str">
        <f aca="false">IF(S525&lt;&gt;"",S525,IF(B525="","",IFERROR(IF(INDEX(Batches!$G$5:$G$64,MATCH(B525,Batches!$A$5:$A$64,0))="","",INDEX(Batches!$G$5:$G$64,MATCH(B525,Batches!$A$5:$A$64,0))),"")))</f>
        <v/>
      </c>
      <c r="U525" s="23"/>
      <c r="V525" s="24"/>
      <c r="W525" s="28" t="str">
        <f aca="false">IF(OR(X525="",X525="Pending"),"",IF(V525&lt;&gt;"",V525,IFERROR(IF(INDEX(Batches!$H$5:$H$64,MATCH(B525,Batches!$A$5:$A$64,0))="","",INDEX(Batches!$H$5:$H$64,MATCH(B525,Batches!$A$5:$A$64,0))),"")))</f>
        <v/>
      </c>
      <c r="X525" s="23"/>
      <c r="Y525" s="23"/>
      <c r="Z525" s="26"/>
      <c r="AA525" s="27" t="str">
        <f aca="false">IF(R525="","",IF(X525="Not accepted",R525,IF(OR(X525="Accepted",X525="Withdrawn by hospital"),IF(X525="Accepted",0,R525),IF(ISNUMBER(Z525),R525-Z525,""))))</f>
        <v/>
      </c>
      <c r="AB525" s="23"/>
      <c r="AC525" s="25"/>
      <c r="AD525" s="23"/>
      <c r="AE525" s="23"/>
      <c r="AF525" s="24"/>
      <c r="AG525" s="23"/>
      <c r="AH525" s="24"/>
      <c r="AI525" s="29" t="str">
        <f aca="false">IF(X525="Not accepted","Maintained",IF(X525="Partially accepted","Partially maintained",IF(X525="Accepted","Reversed",IF(X525="Withdrawn by hospital","Withdrawn by hospital",""))))</f>
        <v/>
      </c>
      <c r="AJ525" s="28" t="str">
        <f aca="false">IF(AI525="","",W525)</f>
        <v/>
      </c>
      <c r="AK525" s="29" t="str">
        <f aca="false">IF(AND(ISNUMBER(T525),ISNUMBER(W525)),W525-T525,"")</f>
        <v/>
      </c>
      <c r="AL525" s="29" t="str">
        <f aca="false">IF(A525="","",SUMIF(Actions!$C$5:$C$1004,A525,Actions!$F$5:$F$1004))</f>
        <v/>
      </c>
      <c r="AM525" s="25"/>
    </row>
    <row r="526" customFormat="false" ht="15" hidden="false" customHeight="false" outlineLevel="0" collapsed="false">
      <c r="A526" s="23"/>
      <c r="B526" s="23"/>
      <c r="C526" s="23"/>
      <c r="D526" s="23"/>
      <c r="E526" s="23"/>
      <c r="F526" s="23"/>
      <c r="G526" s="23"/>
      <c r="H526" s="23"/>
      <c r="I526" s="23"/>
      <c r="J526" s="23"/>
      <c r="K526" s="24"/>
      <c r="L526" s="23"/>
      <c r="M526" s="25"/>
      <c r="N526" s="25"/>
      <c r="O526" s="23"/>
      <c r="P526" s="26"/>
      <c r="Q526" s="26"/>
      <c r="R526" s="27" t="str">
        <f aca="false">IF(AND(ISNUMBER(P526),ISNUMBER(Q526)),P526-Q526,"")</f>
        <v/>
      </c>
      <c r="S526" s="24"/>
      <c r="T526" s="28" t="str">
        <f aca="false">IF(S526&lt;&gt;"",S526,IF(B526="","",IFERROR(IF(INDEX(Batches!$G$5:$G$64,MATCH(B526,Batches!$A$5:$A$64,0))="","",INDEX(Batches!$G$5:$G$64,MATCH(B526,Batches!$A$5:$A$64,0))),"")))</f>
        <v/>
      </c>
      <c r="U526" s="23"/>
      <c r="V526" s="24"/>
      <c r="W526" s="28" t="str">
        <f aca="false">IF(OR(X526="",X526="Pending"),"",IF(V526&lt;&gt;"",V526,IFERROR(IF(INDEX(Batches!$H$5:$H$64,MATCH(B526,Batches!$A$5:$A$64,0))="","",INDEX(Batches!$H$5:$H$64,MATCH(B526,Batches!$A$5:$A$64,0))),"")))</f>
        <v/>
      </c>
      <c r="X526" s="23"/>
      <c r="Y526" s="23"/>
      <c r="Z526" s="26"/>
      <c r="AA526" s="27" t="str">
        <f aca="false">IF(R526="","",IF(X526="Not accepted",R526,IF(OR(X526="Accepted",X526="Withdrawn by hospital"),IF(X526="Accepted",0,R526),IF(ISNUMBER(Z526),R526-Z526,""))))</f>
        <v/>
      </c>
      <c r="AB526" s="23"/>
      <c r="AC526" s="25"/>
      <c r="AD526" s="23"/>
      <c r="AE526" s="23"/>
      <c r="AF526" s="24"/>
      <c r="AG526" s="23"/>
      <c r="AH526" s="24"/>
      <c r="AI526" s="29" t="str">
        <f aca="false">IF(X526="Not accepted","Maintained",IF(X526="Partially accepted","Partially maintained",IF(X526="Accepted","Reversed",IF(X526="Withdrawn by hospital","Withdrawn by hospital",""))))</f>
        <v/>
      </c>
      <c r="AJ526" s="28" t="str">
        <f aca="false">IF(AI526="","",W526)</f>
        <v/>
      </c>
      <c r="AK526" s="29" t="str">
        <f aca="false">IF(AND(ISNUMBER(T526),ISNUMBER(W526)),W526-T526,"")</f>
        <v/>
      </c>
      <c r="AL526" s="29" t="str">
        <f aca="false">IF(A526="","",SUMIF(Actions!$C$5:$C$1004,A526,Actions!$F$5:$F$1004))</f>
        <v/>
      </c>
      <c r="AM526" s="25"/>
    </row>
    <row r="527" customFormat="false" ht="15" hidden="false" customHeight="false" outlineLevel="0" collapsed="false">
      <c r="A527" s="23"/>
      <c r="B527" s="23"/>
      <c r="C527" s="23"/>
      <c r="D527" s="23"/>
      <c r="E527" s="23"/>
      <c r="F527" s="23"/>
      <c r="G527" s="23"/>
      <c r="H527" s="23"/>
      <c r="I527" s="23"/>
      <c r="J527" s="23"/>
      <c r="K527" s="24"/>
      <c r="L527" s="23"/>
      <c r="M527" s="25"/>
      <c r="N527" s="25"/>
      <c r="O527" s="23"/>
      <c r="P527" s="26"/>
      <c r="Q527" s="26"/>
      <c r="R527" s="27" t="str">
        <f aca="false">IF(AND(ISNUMBER(P527),ISNUMBER(Q527)),P527-Q527,"")</f>
        <v/>
      </c>
      <c r="S527" s="24"/>
      <c r="T527" s="28" t="str">
        <f aca="false">IF(S527&lt;&gt;"",S527,IF(B527="","",IFERROR(IF(INDEX(Batches!$G$5:$G$64,MATCH(B527,Batches!$A$5:$A$64,0))="","",INDEX(Batches!$G$5:$G$64,MATCH(B527,Batches!$A$5:$A$64,0))),"")))</f>
        <v/>
      </c>
      <c r="U527" s="23"/>
      <c r="V527" s="24"/>
      <c r="W527" s="28" t="str">
        <f aca="false">IF(OR(X527="",X527="Pending"),"",IF(V527&lt;&gt;"",V527,IFERROR(IF(INDEX(Batches!$H$5:$H$64,MATCH(B527,Batches!$A$5:$A$64,0))="","",INDEX(Batches!$H$5:$H$64,MATCH(B527,Batches!$A$5:$A$64,0))),"")))</f>
        <v/>
      </c>
      <c r="X527" s="23"/>
      <c r="Y527" s="23"/>
      <c r="Z527" s="26"/>
      <c r="AA527" s="27" t="str">
        <f aca="false">IF(R527="","",IF(X527="Not accepted",R527,IF(OR(X527="Accepted",X527="Withdrawn by hospital"),IF(X527="Accepted",0,R527),IF(ISNUMBER(Z527),R527-Z527,""))))</f>
        <v/>
      </c>
      <c r="AB527" s="23"/>
      <c r="AC527" s="25"/>
      <c r="AD527" s="23"/>
      <c r="AE527" s="23"/>
      <c r="AF527" s="24"/>
      <c r="AG527" s="23"/>
      <c r="AH527" s="24"/>
      <c r="AI527" s="29" t="str">
        <f aca="false">IF(X527="Not accepted","Maintained",IF(X527="Partially accepted","Partially maintained",IF(X527="Accepted","Reversed",IF(X527="Withdrawn by hospital","Withdrawn by hospital",""))))</f>
        <v/>
      </c>
      <c r="AJ527" s="28" t="str">
        <f aca="false">IF(AI527="","",W527)</f>
        <v/>
      </c>
      <c r="AK527" s="29" t="str">
        <f aca="false">IF(AND(ISNUMBER(T527),ISNUMBER(W527)),W527-T527,"")</f>
        <v/>
      </c>
      <c r="AL527" s="29" t="str">
        <f aca="false">IF(A527="","",SUMIF(Actions!$C$5:$C$1004,A527,Actions!$F$5:$F$1004))</f>
        <v/>
      </c>
      <c r="AM527" s="25"/>
    </row>
    <row r="528" customFormat="false" ht="15" hidden="false" customHeight="false" outlineLevel="0" collapsed="false">
      <c r="A528" s="23"/>
      <c r="B528" s="23"/>
      <c r="C528" s="23"/>
      <c r="D528" s="23"/>
      <c r="E528" s="23"/>
      <c r="F528" s="23"/>
      <c r="G528" s="23"/>
      <c r="H528" s="23"/>
      <c r="I528" s="23"/>
      <c r="J528" s="23"/>
      <c r="K528" s="24"/>
      <c r="L528" s="23"/>
      <c r="M528" s="25"/>
      <c r="N528" s="25"/>
      <c r="O528" s="23"/>
      <c r="P528" s="26"/>
      <c r="Q528" s="26"/>
      <c r="R528" s="27" t="str">
        <f aca="false">IF(AND(ISNUMBER(P528),ISNUMBER(Q528)),P528-Q528,"")</f>
        <v/>
      </c>
      <c r="S528" s="24"/>
      <c r="T528" s="28" t="str">
        <f aca="false">IF(S528&lt;&gt;"",S528,IF(B528="","",IFERROR(IF(INDEX(Batches!$G$5:$G$64,MATCH(B528,Batches!$A$5:$A$64,0))="","",INDEX(Batches!$G$5:$G$64,MATCH(B528,Batches!$A$5:$A$64,0))),"")))</f>
        <v/>
      </c>
      <c r="U528" s="23"/>
      <c r="V528" s="24"/>
      <c r="W528" s="28" t="str">
        <f aca="false">IF(OR(X528="",X528="Pending"),"",IF(V528&lt;&gt;"",V528,IFERROR(IF(INDEX(Batches!$H$5:$H$64,MATCH(B528,Batches!$A$5:$A$64,0))="","",INDEX(Batches!$H$5:$H$64,MATCH(B528,Batches!$A$5:$A$64,0))),"")))</f>
        <v/>
      </c>
      <c r="X528" s="23"/>
      <c r="Y528" s="23"/>
      <c r="Z528" s="26"/>
      <c r="AA528" s="27" t="str">
        <f aca="false">IF(R528="","",IF(X528="Not accepted",R528,IF(OR(X528="Accepted",X528="Withdrawn by hospital"),IF(X528="Accepted",0,R528),IF(ISNUMBER(Z528),R528-Z528,""))))</f>
        <v/>
      </c>
      <c r="AB528" s="23"/>
      <c r="AC528" s="25"/>
      <c r="AD528" s="23"/>
      <c r="AE528" s="23"/>
      <c r="AF528" s="24"/>
      <c r="AG528" s="23"/>
      <c r="AH528" s="24"/>
      <c r="AI528" s="29" t="str">
        <f aca="false">IF(X528="Not accepted","Maintained",IF(X528="Partially accepted","Partially maintained",IF(X528="Accepted","Reversed",IF(X528="Withdrawn by hospital","Withdrawn by hospital",""))))</f>
        <v/>
      </c>
      <c r="AJ528" s="28" t="str">
        <f aca="false">IF(AI528="","",W528)</f>
        <v/>
      </c>
      <c r="AK528" s="29" t="str">
        <f aca="false">IF(AND(ISNUMBER(T528),ISNUMBER(W528)),W528-T528,"")</f>
        <v/>
      </c>
      <c r="AL528" s="29" t="str">
        <f aca="false">IF(A528="","",SUMIF(Actions!$C$5:$C$1004,A528,Actions!$F$5:$F$1004))</f>
        <v/>
      </c>
      <c r="AM528" s="25"/>
    </row>
    <row r="529" customFormat="false" ht="15" hidden="false" customHeight="false" outlineLevel="0" collapsed="false">
      <c r="A529" s="23"/>
      <c r="B529" s="23"/>
      <c r="C529" s="23"/>
      <c r="D529" s="23"/>
      <c r="E529" s="23"/>
      <c r="F529" s="23"/>
      <c r="G529" s="23"/>
      <c r="H529" s="23"/>
      <c r="I529" s="23"/>
      <c r="J529" s="23"/>
      <c r="K529" s="24"/>
      <c r="L529" s="23"/>
      <c r="M529" s="25"/>
      <c r="N529" s="25"/>
      <c r="O529" s="23"/>
      <c r="P529" s="26"/>
      <c r="Q529" s="26"/>
      <c r="R529" s="27" t="str">
        <f aca="false">IF(AND(ISNUMBER(P529),ISNUMBER(Q529)),P529-Q529,"")</f>
        <v/>
      </c>
      <c r="S529" s="24"/>
      <c r="T529" s="28" t="str">
        <f aca="false">IF(S529&lt;&gt;"",S529,IF(B529="","",IFERROR(IF(INDEX(Batches!$G$5:$G$64,MATCH(B529,Batches!$A$5:$A$64,0))="","",INDEX(Batches!$G$5:$G$64,MATCH(B529,Batches!$A$5:$A$64,0))),"")))</f>
        <v/>
      </c>
      <c r="U529" s="23"/>
      <c r="V529" s="24"/>
      <c r="W529" s="28" t="str">
        <f aca="false">IF(OR(X529="",X529="Pending"),"",IF(V529&lt;&gt;"",V529,IFERROR(IF(INDEX(Batches!$H$5:$H$64,MATCH(B529,Batches!$A$5:$A$64,0))="","",INDEX(Batches!$H$5:$H$64,MATCH(B529,Batches!$A$5:$A$64,0))),"")))</f>
        <v/>
      </c>
      <c r="X529" s="23"/>
      <c r="Y529" s="23"/>
      <c r="Z529" s="26"/>
      <c r="AA529" s="27" t="str">
        <f aca="false">IF(R529="","",IF(X529="Not accepted",R529,IF(OR(X529="Accepted",X529="Withdrawn by hospital"),IF(X529="Accepted",0,R529),IF(ISNUMBER(Z529),R529-Z529,""))))</f>
        <v/>
      </c>
      <c r="AB529" s="23"/>
      <c r="AC529" s="25"/>
      <c r="AD529" s="23"/>
      <c r="AE529" s="23"/>
      <c r="AF529" s="24"/>
      <c r="AG529" s="23"/>
      <c r="AH529" s="24"/>
      <c r="AI529" s="29" t="str">
        <f aca="false">IF(X529="Not accepted","Maintained",IF(X529="Partially accepted","Partially maintained",IF(X529="Accepted","Reversed",IF(X529="Withdrawn by hospital","Withdrawn by hospital",""))))</f>
        <v/>
      </c>
      <c r="AJ529" s="28" t="str">
        <f aca="false">IF(AI529="","",W529)</f>
        <v/>
      </c>
      <c r="AK529" s="29" t="str">
        <f aca="false">IF(AND(ISNUMBER(T529),ISNUMBER(W529)),W529-T529,"")</f>
        <v/>
      </c>
      <c r="AL529" s="29" t="str">
        <f aca="false">IF(A529="","",SUMIF(Actions!$C$5:$C$1004,A529,Actions!$F$5:$F$1004))</f>
        <v/>
      </c>
      <c r="AM529" s="25"/>
    </row>
    <row r="530" customFormat="false" ht="15" hidden="false" customHeight="false" outlineLevel="0" collapsed="false">
      <c r="A530" s="23"/>
      <c r="B530" s="23"/>
      <c r="C530" s="23"/>
      <c r="D530" s="23"/>
      <c r="E530" s="23"/>
      <c r="F530" s="23"/>
      <c r="G530" s="23"/>
      <c r="H530" s="23"/>
      <c r="I530" s="23"/>
      <c r="J530" s="23"/>
      <c r="K530" s="24"/>
      <c r="L530" s="23"/>
      <c r="M530" s="25"/>
      <c r="N530" s="25"/>
      <c r="O530" s="23"/>
      <c r="P530" s="26"/>
      <c r="Q530" s="26"/>
      <c r="R530" s="27" t="str">
        <f aca="false">IF(AND(ISNUMBER(P530),ISNUMBER(Q530)),P530-Q530,"")</f>
        <v/>
      </c>
      <c r="S530" s="24"/>
      <c r="T530" s="28" t="str">
        <f aca="false">IF(S530&lt;&gt;"",S530,IF(B530="","",IFERROR(IF(INDEX(Batches!$G$5:$G$64,MATCH(B530,Batches!$A$5:$A$64,0))="","",INDEX(Batches!$G$5:$G$64,MATCH(B530,Batches!$A$5:$A$64,0))),"")))</f>
        <v/>
      </c>
      <c r="U530" s="23"/>
      <c r="V530" s="24"/>
      <c r="W530" s="28" t="str">
        <f aca="false">IF(OR(X530="",X530="Pending"),"",IF(V530&lt;&gt;"",V530,IFERROR(IF(INDEX(Batches!$H$5:$H$64,MATCH(B530,Batches!$A$5:$A$64,0))="","",INDEX(Batches!$H$5:$H$64,MATCH(B530,Batches!$A$5:$A$64,0))),"")))</f>
        <v/>
      </c>
      <c r="X530" s="23"/>
      <c r="Y530" s="23"/>
      <c r="Z530" s="26"/>
      <c r="AA530" s="27" t="str">
        <f aca="false">IF(R530="","",IF(X530="Not accepted",R530,IF(OR(X530="Accepted",X530="Withdrawn by hospital"),IF(X530="Accepted",0,R530),IF(ISNUMBER(Z530),R530-Z530,""))))</f>
        <v/>
      </c>
      <c r="AB530" s="23"/>
      <c r="AC530" s="25"/>
      <c r="AD530" s="23"/>
      <c r="AE530" s="23"/>
      <c r="AF530" s="24"/>
      <c r="AG530" s="23"/>
      <c r="AH530" s="24"/>
      <c r="AI530" s="29" t="str">
        <f aca="false">IF(X530="Not accepted","Maintained",IF(X530="Partially accepted","Partially maintained",IF(X530="Accepted","Reversed",IF(X530="Withdrawn by hospital","Withdrawn by hospital",""))))</f>
        <v/>
      </c>
      <c r="AJ530" s="28" t="str">
        <f aca="false">IF(AI530="","",W530)</f>
        <v/>
      </c>
      <c r="AK530" s="29" t="str">
        <f aca="false">IF(AND(ISNUMBER(T530),ISNUMBER(W530)),W530-T530,"")</f>
        <v/>
      </c>
      <c r="AL530" s="29" t="str">
        <f aca="false">IF(A530="","",SUMIF(Actions!$C$5:$C$1004,A530,Actions!$F$5:$F$1004))</f>
        <v/>
      </c>
      <c r="AM530" s="25"/>
    </row>
    <row r="531" customFormat="false" ht="15" hidden="false" customHeight="false" outlineLevel="0" collapsed="false">
      <c r="A531" s="23"/>
      <c r="B531" s="23"/>
      <c r="C531" s="23"/>
      <c r="D531" s="23"/>
      <c r="E531" s="23"/>
      <c r="F531" s="23"/>
      <c r="G531" s="23"/>
      <c r="H531" s="23"/>
      <c r="I531" s="23"/>
      <c r="J531" s="23"/>
      <c r="K531" s="24"/>
      <c r="L531" s="23"/>
      <c r="M531" s="25"/>
      <c r="N531" s="25"/>
      <c r="O531" s="23"/>
      <c r="P531" s="26"/>
      <c r="Q531" s="26"/>
      <c r="R531" s="27" t="str">
        <f aca="false">IF(AND(ISNUMBER(P531),ISNUMBER(Q531)),P531-Q531,"")</f>
        <v/>
      </c>
      <c r="S531" s="24"/>
      <c r="T531" s="28" t="str">
        <f aca="false">IF(S531&lt;&gt;"",S531,IF(B531="","",IFERROR(IF(INDEX(Batches!$G$5:$G$64,MATCH(B531,Batches!$A$5:$A$64,0))="","",INDEX(Batches!$G$5:$G$64,MATCH(B531,Batches!$A$5:$A$64,0))),"")))</f>
        <v/>
      </c>
      <c r="U531" s="23"/>
      <c r="V531" s="24"/>
      <c r="W531" s="28" t="str">
        <f aca="false">IF(OR(X531="",X531="Pending"),"",IF(V531&lt;&gt;"",V531,IFERROR(IF(INDEX(Batches!$H$5:$H$64,MATCH(B531,Batches!$A$5:$A$64,0))="","",INDEX(Batches!$H$5:$H$64,MATCH(B531,Batches!$A$5:$A$64,0))),"")))</f>
        <v/>
      </c>
      <c r="X531" s="23"/>
      <c r="Y531" s="23"/>
      <c r="Z531" s="26"/>
      <c r="AA531" s="27" t="str">
        <f aca="false">IF(R531="","",IF(X531="Not accepted",R531,IF(OR(X531="Accepted",X531="Withdrawn by hospital"),IF(X531="Accepted",0,R531),IF(ISNUMBER(Z531),R531-Z531,""))))</f>
        <v/>
      </c>
      <c r="AB531" s="23"/>
      <c r="AC531" s="25"/>
      <c r="AD531" s="23"/>
      <c r="AE531" s="23"/>
      <c r="AF531" s="24"/>
      <c r="AG531" s="23"/>
      <c r="AH531" s="24"/>
      <c r="AI531" s="29" t="str">
        <f aca="false">IF(X531="Not accepted","Maintained",IF(X531="Partially accepted","Partially maintained",IF(X531="Accepted","Reversed",IF(X531="Withdrawn by hospital","Withdrawn by hospital",""))))</f>
        <v/>
      </c>
      <c r="AJ531" s="28" t="str">
        <f aca="false">IF(AI531="","",W531)</f>
        <v/>
      </c>
      <c r="AK531" s="29" t="str">
        <f aca="false">IF(AND(ISNUMBER(T531),ISNUMBER(W531)),W531-T531,"")</f>
        <v/>
      </c>
      <c r="AL531" s="29" t="str">
        <f aca="false">IF(A531="","",SUMIF(Actions!$C$5:$C$1004,A531,Actions!$F$5:$F$1004))</f>
        <v/>
      </c>
      <c r="AM531" s="25"/>
    </row>
    <row r="532" customFormat="false" ht="15" hidden="false" customHeight="false" outlineLevel="0" collapsed="false">
      <c r="A532" s="23"/>
      <c r="B532" s="23"/>
      <c r="C532" s="23"/>
      <c r="D532" s="23"/>
      <c r="E532" s="23"/>
      <c r="F532" s="23"/>
      <c r="G532" s="23"/>
      <c r="H532" s="23"/>
      <c r="I532" s="23"/>
      <c r="J532" s="23"/>
      <c r="K532" s="24"/>
      <c r="L532" s="23"/>
      <c r="M532" s="25"/>
      <c r="N532" s="25"/>
      <c r="O532" s="23"/>
      <c r="P532" s="26"/>
      <c r="Q532" s="26"/>
      <c r="R532" s="27" t="str">
        <f aca="false">IF(AND(ISNUMBER(P532),ISNUMBER(Q532)),P532-Q532,"")</f>
        <v/>
      </c>
      <c r="S532" s="24"/>
      <c r="T532" s="28" t="str">
        <f aca="false">IF(S532&lt;&gt;"",S532,IF(B532="","",IFERROR(IF(INDEX(Batches!$G$5:$G$64,MATCH(B532,Batches!$A$5:$A$64,0))="","",INDEX(Batches!$G$5:$G$64,MATCH(B532,Batches!$A$5:$A$64,0))),"")))</f>
        <v/>
      </c>
      <c r="U532" s="23"/>
      <c r="V532" s="24"/>
      <c r="W532" s="28" t="str">
        <f aca="false">IF(OR(X532="",X532="Pending"),"",IF(V532&lt;&gt;"",V532,IFERROR(IF(INDEX(Batches!$H$5:$H$64,MATCH(B532,Batches!$A$5:$A$64,0))="","",INDEX(Batches!$H$5:$H$64,MATCH(B532,Batches!$A$5:$A$64,0))),"")))</f>
        <v/>
      </c>
      <c r="X532" s="23"/>
      <c r="Y532" s="23"/>
      <c r="Z532" s="26"/>
      <c r="AA532" s="27" t="str">
        <f aca="false">IF(R532="","",IF(X532="Not accepted",R532,IF(OR(X532="Accepted",X532="Withdrawn by hospital"),IF(X532="Accepted",0,R532),IF(ISNUMBER(Z532),R532-Z532,""))))</f>
        <v/>
      </c>
      <c r="AB532" s="23"/>
      <c r="AC532" s="25"/>
      <c r="AD532" s="23"/>
      <c r="AE532" s="23"/>
      <c r="AF532" s="24"/>
      <c r="AG532" s="23"/>
      <c r="AH532" s="24"/>
      <c r="AI532" s="29" t="str">
        <f aca="false">IF(X532="Not accepted","Maintained",IF(X532="Partially accepted","Partially maintained",IF(X532="Accepted","Reversed",IF(X532="Withdrawn by hospital","Withdrawn by hospital",""))))</f>
        <v/>
      </c>
      <c r="AJ532" s="28" t="str">
        <f aca="false">IF(AI532="","",W532)</f>
        <v/>
      </c>
      <c r="AK532" s="29" t="str">
        <f aca="false">IF(AND(ISNUMBER(T532),ISNUMBER(W532)),W532-T532,"")</f>
        <v/>
      </c>
      <c r="AL532" s="29" t="str">
        <f aca="false">IF(A532="","",SUMIF(Actions!$C$5:$C$1004,A532,Actions!$F$5:$F$1004))</f>
        <v/>
      </c>
      <c r="AM532" s="25"/>
    </row>
    <row r="533" customFormat="false" ht="15" hidden="false" customHeight="false" outlineLevel="0" collapsed="false">
      <c r="A533" s="23"/>
      <c r="B533" s="23"/>
      <c r="C533" s="23"/>
      <c r="D533" s="23"/>
      <c r="E533" s="23"/>
      <c r="F533" s="23"/>
      <c r="G533" s="23"/>
      <c r="H533" s="23"/>
      <c r="I533" s="23"/>
      <c r="J533" s="23"/>
      <c r="K533" s="24"/>
      <c r="L533" s="23"/>
      <c r="M533" s="25"/>
      <c r="N533" s="25"/>
      <c r="O533" s="23"/>
      <c r="P533" s="26"/>
      <c r="Q533" s="26"/>
      <c r="R533" s="27" t="str">
        <f aca="false">IF(AND(ISNUMBER(P533),ISNUMBER(Q533)),P533-Q533,"")</f>
        <v/>
      </c>
      <c r="S533" s="24"/>
      <c r="T533" s="28" t="str">
        <f aca="false">IF(S533&lt;&gt;"",S533,IF(B533="","",IFERROR(IF(INDEX(Batches!$G$5:$G$64,MATCH(B533,Batches!$A$5:$A$64,0))="","",INDEX(Batches!$G$5:$G$64,MATCH(B533,Batches!$A$5:$A$64,0))),"")))</f>
        <v/>
      </c>
      <c r="U533" s="23"/>
      <c r="V533" s="24"/>
      <c r="W533" s="28" t="str">
        <f aca="false">IF(OR(X533="",X533="Pending"),"",IF(V533&lt;&gt;"",V533,IFERROR(IF(INDEX(Batches!$H$5:$H$64,MATCH(B533,Batches!$A$5:$A$64,0))="","",INDEX(Batches!$H$5:$H$64,MATCH(B533,Batches!$A$5:$A$64,0))),"")))</f>
        <v/>
      </c>
      <c r="X533" s="23"/>
      <c r="Y533" s="23"/>
      <c r="Z533" s="26"/>
      <c r="AA533" s="27" t="str">
        <f aca="false">IF(R533="","",IF(X533="Not accepted",R533,IF(OR(X533="Accepted",X533="Withdrawn by hospital"),IF(X533="Accepted",0,R533),IF(ISNUMBER(Z533),R533-Z533,""))))</f>
        <v/>
      </c>
      <c r="AB533" s="23"/>
      <c r="AC533" s="25"/>
      <c r="AD533" s="23"/>
      <c r="AE533" s="23"/>
      <c r="AF533" s="24"/>
      <c r="AG533" s="23"/>
      <c r="AH533" s="24"/>
      <c r="AI533" s="29" t="str">
        <f aca="false">IF(X533="Not accepted","Maintained",IF(X533="Partially accepted","Partially maintained",IF(X533="Accepted","Reversed",IF(X533="Withdrawn by hospital","Withdrawn by hospital",""))))</f>
        <v/>
      </c>
      <c r="AJ533" s="28" t="str">
        <f aca="false">IF(AI533="","",W533)</f>
        <v/>
      </c>
      <c r="AK533" s="29" t="str">
        <f aca="false">IF(AND(ISNUMBER(T533),ISNUMBER(W533)),W533-T533,"")</f>
        <v/>
      </c>
      <c r="AL533" s="29" t="str">
        <f aca="false">IF(A533="","",SUMIF(Actions!$C$5:$C$1004,A533,Actions!$F$5:$F$1004))</f>
        <v/>
      </c>
      <c r="AM533" s="25"/>
    </row>
    <row r="534" customFormat="false" ht="15" hidden="false" customHeight="false" outlineLevel="0" collapsed="false">
      <c r="A534" s="23"/>
      <c r="B534" s="23"/>
      <c r="C534" s="23"/>
      <c r="D534" s="23"/>
      <c r="E534" s="23"/>
      <c r="F534" s="23"/>
      <c r="G534" s="23"/>
      <c r="H534" s="23"/>
      <c r="I534" s="23"/>
      <c r="J534" s="23"/>
      <c r="K534" s="24"/>
      <c r="L534" s="23"/>
      <c r="M534" s="25"/>
      <c r="N534" s="25"/>
      <c r="O534" s="23"/>
      <c r="P534" s="26"/>
      <c r="Q534" s="26"/>
      <c r="R534" s="27" t="str">
        <f aca="false">IF(AND(ISNUMBER(P534),ISNUMBER(Q534)),P534-Q534,"")</f>
        <v/>
      </c>
      <c r="S534" s="24"/>
      <c r="T534" s="28" t="str">
        <f aca="false">IF(S534&lt;&gt;"",S534,IF(B534="","",IFERROR(IF(INDEX(Batches!$G$5:$G$64,MATCH(B534,Batches!$A$5:$A$64,0))="","",INDEX(Batches!$G$5:$G$64,MATCH(B534,Batches!$A$5:$A$64,0))),"")))</f>
        <v/>
      </c>
      <c r="U534" s="23"/>
      <c r="V534" s="24"/>
      <c r="W534" s="28" t="str">
        <f aca="false">IF(OR(X534="",X534="Pending"),"",IF(V534&lt;&gt;"",V534,IFERROR(IF(INDEX(Batches!$H$5:$H$64,MATCH(B534,Batches!$A$5:$A$64,0))="","",INDEX(Batches!$H$5:$H$64,MATCH(B534,Batches!$A$5:$A$64,0))),"")))</f>
        <v/>
      </c>
      <c r="X534" s="23"/>
      <c r="Y534" s="23"/>
      <c r="Z534" s="26"/>
      <c r="AA534" s="27" t="str">
        <f aca="false">IF(R534="","",IF(X534="Not accepted",R534,IF(OR(X534="Accepted",X534="Withdrawn by hospital"),IF(X534="Accepted",0,R534),IF(ISNUMBER(Z534),R534-Z534,""))))</f>
        <v/>
      </c>
      <c r="AB534" s="23"/>
      <c r="AC534" s="25"/>
      <c r="AD534" s="23"/>
      <c r="AE534" s="23"/>
      <c r="AF534" s="24"/>
      <c r="AG534" s="23"/>
      <c r="AH534" s="24"/>
      <c r="AI534" s="29" t="str">
        <f aca="false">IF(X534="Not accepted","Maintained",IF(X534="Partially accepted","Partially maintained",IF(X534="Accepted","Reversed",IF(X534="Withdrawn by hospital","Withdrawn by hospital",""))))</f>
        <v/>
      </c>
      <c r="AJ534" s="28" t="str">
        <f aca="false">IF(AI534="","",W534)</f>
        <v/>
      </c>
      <c r="AK534" s="29" t="str">
        <f aca="false">IF(AND(ISNUMBER(T534),ISNUMBER(W534)),W534-T534,"")</f>
        <v/>
      </c>
      <c r="AL534" s="29" t="str">
        <f aca="false">IF(A534="","",SUMIF(Actions!$C$5:$C$1004,A534,Actions!$F$5:$F$1004))</f>
        <v/>
      </c>
      <c r="AM534" s="25"/>
    </row>
    <row r="535" customFormat="false" ht="15" hidden="false" customHeight="false" outlineLevel="0" collapsed="false">
      <c r="A535" s="23"/>
      <c r="B535" s="23"/>
      <c r="C535" s="23"/>
      <c r="D535" s="23"/>
      <c r="E535" s="23"/>
      <c r="F535" s="23"/>
      <c r="G535" s="23"/>
      <c r="H535" s="23"/>
      <c r="I535" s="23"/>
      <c r="J535" s="23"/>
      <c r="K535" s="24"/>
      <c r="L535" s="23"/>
      <c r="M535" s="25"/>
      <c r="N535" s="25"/>
      <c r="O535" s="23"/>
      <c r="P535" s="26"/>
      <c r="Q535" s="26"/>
      <c r="R535" s="27" t="str">
        <f aca="false">IF(AND(ISNUMBER(P535),ISNUMBER(Q535)),P535-Q535,"")</f>
        <v/>
      </c>
      <c r="S535" s="24"/>
      <c r="T535" s="28" t="str">
        <f aca="false">IF(S535&lt;&gt;"",S535,IF(B535="","",IFERROR(IF(INDEX(Batches!$G$5:$G$64,MATCH(B535,Batches!$A$5:$A$64,0))="","",INDEX(Batches!$G$5:$G$64,MATCH(B535,Batches!$A$5:$A$64,0))),"")))</f>
        <v/>
      </c>
      <c r="U535" s="23"/>
      <c r="V535" s="24"/>
      <c r="W535" s="28" t="str">
        <f aca="false">IF(OR(X535="",X535="Pending"),"",IF(V535&lt;&gt;"",V535,IFERROR(IF(INDEX(Batches!$H$5:$H$64,MATCH(B535,Batches!$A$5:$A$64,0))="","",INDEX(Batches!$H$5:$H$64,MATCH(B535,Batches!$A$5:$A$64,0))),"")))</f>
        <v/>
      </c>
      <c r="X535" s="23"/>
      <c r="Y535" s="23"/>
      <c r="Z535" s="26"/>
      <c r="AA535" s="27" t="str">
        <f aca="false">IF(R535="","",IF(X535="Not accepted",R535,IF(OR(X535="Accepted",X535="Withdrawn by hospital"),IF(X535="Accepted",0,R535),IF(ISNUMBER(Z535),R535-Z535,""))))</f>
        <v/>
      </c>
      <c r="AB535" s="23"/>
      <c r="AC535" s="25"/>
      <c r="AD535" s="23"/>
      <c r="AE535" s="23"/>
      <c r="AF535" s="24"/>
      <c r="AG535" s="23"/>
      <c r="AH535" s="24"/>
      <c r="AI535" s="29" t="str">
        <f aca="false">IF(X535="Not accepted","Maintained",IF(X535="Partially accepted","Partially maintained",IF(X535="Accepted","Reversed",IF(X535="Withdrawn by hospital","Withdrawn by hospital",""))))</f>
        <v/>
      </c>
      <c r="AJ535" s="28" t="str">
        <f aca="false">IF(AI535="","",W535)</f>
        <v/>
      </c>
      <c r="AK535" s="29" t="str">
        <f aca="false">IF(AND(ISNUMBER(T535),ISNUMBER(W535)),W535-T535,"")</f>
        <v/>
      </c>
      <c r="AL535" s="29" t="str">
        <f aca="false">IF(A535="","",SUMIF(Actions!$C$5:$C$1004,A535,Actions!$F$5:$F$1004))</f>
        <v/>
      </c>
      <c r="AM535" s="25"/>
    </row>
    <row r="536" customFormat="false" ht="15" hidden="false" customHeight="false" outlineLevel="0" collapsed="false">
      <c r="A536" s="23"/>
      <c r="B536" s="23"/>
      <c r="C536" s="23"/>
      <c r="D536" s="23"/>
      <c r="E536" s="23"/>
      <c r="F536" s="23"/>
      <c r="G536" s="23"/>
      <c r="H536" s="23"/>
      <c r="I536" s="23"/>
      <c r="J536" s="23"/>
      <c r="K536" s="24"/>
      <c r="L536" s="23"/>
      <c r="M536" s="25"/>
      <c r="N536" s="25"/>
      <c r="O536" s="23"/>
      <c r="P536" s="26"/>
      <c r="Q536" s="26"/>
      <c r="R536" s="27" t="str">
        <f aca="false">IF(AND(ISNUMBER(P536),ISNUMBER(Q536)),P536-Q536,"")</f>
        <v/>
      </c>
      <c r="S536" s="24"/>
      <c r="T536" s="28" t="str">
        <f aca="false">IF(S536&lt;&gt;"",S536,IF(B536="","",IFERROR(IF(INDEX(Batches!$G$5:$G$64,MATCH(B536,Batches!$A$5:$A$64,0))="","",INDEX(Batches!$G$5:$G$64,MATCH(B536,Batches!$A$5:$A$64,0))),"")))</f>
        <v/>
      </c>
      <c r="U536" s="23"/>
      <c r="V536" s="24"/>
      <c r="W536" s="28" t="str">
        <f aca="false">IF(OR(X536="",X536="Pending"),"",IF(V536&lt;&gt;"",V536,IFERROR(IF(INDEX(Batches!$H$5:$H$64,MATCH(B536,Batches!$A$5:$A$64,0))="","",INDEX(Batches!$H$5:$H$64,MATCH(B536,Batches!$A$5:$A$64,0))),"")))</f>
        <v/>
      </c>
      <c r="X536" s="23"/>
      <c r="Y536" s="23"/>
      <c r="Z536" s="26"/>
      <c r="AA536" s="27" t="str">
        <f aca="false">IF(R536="","",IF(X536="Not accepted",R536,IF(OR(X536="Accepted",X536="Withdrawn by hospital"),IF(X536="Accepted",0,R536),IF(ISNUMBER(Z536),R536-Z536,""))))</f>
        <v/>
      </c>
      <c r="AB536" s="23"/>
      <c r="AC536" s="25"/>
      <c r="AD536" s="23"/>
      <c r="AE536" s="23"/>
      <c r="AF536" s="24"/>
      <c r="AG536" s="23"/>
      <c r="AH536" s="24"/>
      <c r="AI536" s="29" t="str">
        <f aca="false">IF(X536="Not accepted","Maintained",IF(X536="Partially accepted","Partially maintained",IF(X536="Accepted","Reversed",IF(X536="Withdrawn by hospital","Withdrawn by hospital",""))))</f>
        <v/>
      </c>
      <c r="AJ536" s="28" t="str">
        <f aca="false">IF(AI536="","",W536)</f>
        <v/>
      </c>
      <c r="AK536" s="29" t="str">
        <f aca="false">IF(AND(ISNUMBER(T536),ISNUMBER(W536)),W536-T536,"")</f>
        <v/>
      </c>
      <c r="AL536" s="29" t="str">
        <f aca="false">IF(A536="","",SUMIF(Actions!$C$5:$C$1004,A536,Actions!$F$5:$F$1004))</f>
        <v/>
      </c>
      <c r="AM536" s="25"/>
    </row>
    <row r="537" customFormat="false" ht="15" hidden="false" customHeight="false" outlineLevel="0" collapsed="false">
      <c r="A537" s="23"/>
      <c r="B537" s="23"/>
      <c r="C537" s="23"/>
      <c r="D537" s="23"/>
      <c r="E537" s="23"/>
      <c r="F537" s="23"/>
      <c r="G537" s="23"/>
      <c r="H537" s="23"/>
      <c r="I537" s="23"/>
      <c r="J537" s="23"/>
      <c r="K537" s="24"/>
      <c r="L537" s="23"/>
      <c r="M537" s="25"/>
      <c r="N537" s="25"/>
      <c r="O537" s="23"/>
      <c r="P537" s="26"/>
      <c r="Q537" s="26"/>
      <c r="R537" s="27" t="str">
        <f aca="false">IF(AND(ISNUMBER(P537),ISNUMBER(Q537)),P537-Q537,"")</f>
        <v/>
      </c>
      <c r="S537" s="24"/>
      <c r="T537" s="28" t="str">
        <f aca="false">IF(S537&lt;&gt;"",S537,IF(B537="","",IFERROR(IF(INDEX(Batches!$G$5:$G$64,MATCH(B537,Batches!$A$5:$A$64,0))="","",INDEX(Batches!$G$5:$G$64,MATCH(B537,Batches!$A$5:$A$64,0))),"")))</f>
        <v/>
      </c>
      <c r="U537" s="23"/>
      <c r="V537" s="24"/>
      <c r="W537" s="28" t="str">
        <f aca="false">IF(OR(X537="",X537="Pending"),"",IF(V537&lt;&gt;"",V537,IFERROR(IF(INDEX(Batches!$H$5:$H$64,MATCH(B537,Batches!$A$5:$A$64,0))="","",INDEX(Batches!$H$5:$H$64,MATCH(B537,Batches!$A$5:$A$64,0))),"")))</f>
        <v/>
      </c>
      <c r="X537" s="23"/>
      <c r="Y537" s="23"/>
      <c r="Z537" s="26"/>
      <c r="AA537" s="27" t="str">
        <f aca="false">IF(R537="","",IF(X537="Not accepted",R537,IF(OR(X537="Accepted",X537="Withdrawn by hospital"),IF(X537="Accepted",0,R537),IF(ISNUMBER(Z537),R537-Z537,""))))</f>
        <v/>
      </c>
      <c r="AB537" s="23"/>
      <c r="AC537" s="25"/>
      <c r="AD537" s="23"/>
      <c r="AE537" s="23"/>
      <c r="AF537" s="24"/>
      <c r="AG537" s="23"/>
      <c r="AH537" s="24"/>
      <c r="AI537" s="29" t="str">
        <f aca="false">IF(X537="Not accepted","Maintained",IF(X537="Partially accepted","Partially maintained",IF(X537="Accepted","Reversed",IF(X537="Withdrawn by hospital","Withdrawn by hospital",""))))</f>
        <v/>
      </c>
      <c r="AJ537" s="28" t="str">
        <f aca="false">IF(AI537="","",W537)</f>
        <v/>
      </c>
      <c r="AK537" s="29" t="str">
        <f aca="false">IF(AND(ISNUMBER(T537),ISNUMBER(W537)),W537-T537,"")</f>
        <v/>
      </c>
      <c r="AL537" s="29" t="str">
        <f aca="false">IF(A537="","",SUMIF(Actions!$C$5:$C$1004,A537,Actions!$F$5:$F$1004))</f>
        <v/>
      </c>
      <c r="AM537" s="25"/>
    </row>
    <row r="538" customFormat="false" ht="15" hidden="false" customHeight="false" outlineLevel="0" collapsed="false">
      <c r="A538" s="23"/>
      <c r="B538" s="23"/>
      <c r="C538" s="23"/>
      <c r="D538" s="23"/>
      <c r="E538" s="23"/>
      <c r="F538" s="23"/>
      <c r="G538" s="23"/>
      <c r="H538" s="23"/>
      <c r="I538" s="23"/>
      <c r="J538" s="23"/>
      <c r="K538" s="24"/>
      <c r="L538" s="23"/>
      <c r="M538" s="25"/>
      <c r="N538" s="25"/>
      <c r="O538" s="23"/>
      <c r="P538" s="26"/>
      <c r="Q538" s="26"/>
      <c r="R538" s="27" t="str">
        <f aca="false">IF(AND(ISNUMBER(P538),ISNUMBER(Q538)),P538-Q538,"")</f>
        <v/>
      </c>
      <c r="S538" s="24"/>
      <c r="T538" s="28" t="str">
        <f aca="false">IF(S538&lt;&gt;"",S538,IF(B538="","",IFERROR(IF(INDEX(Batches!$G$5:$G$64,MATCH(B538,Batches!$A$5:$A$64,0))="","",INDEX(Batches!$G$5:$G$64,MATCH(B538,Batches!$A$5:$A$64,0))),"")))</f>
        <v/>
      </c>
      <c r="U538" s="23"/>
      <c r="V538" s="24"/>
      <c r="W538" s="28" t="str">
        <f aca="false">IF(OR(X538="",X538="Pending"),"",IF(V538&lt;&gt;"",V538,IFERROR(IF(INDEX(Batches!$H$5:$H$64,MATCH(B538,Batches!$A$5:$A$64,0))="","",INDEX(Batches!$H$5:$H$64,MATCH(B538,Batches!$A$5:$A$64,0))),"")))</f>
        <v/>
      </c>
      <c r="X538" s="23"/>
      <c r="Y538" s="23"/>
      <c r="Z538" s="26"/>
      <c r="AA538" s="27" t="str">
        <f aca="false">IF(R538="","",IF(X538="Not accepted",R538,IF(OR(X538="Accepted",X538="Withdrawn by hospital"),IF(X538="Accepted",0,R538),IF(ISNUMBER(Z538),R538-Z538,""))))</f>
        <v/>
      </c>
      <c r="AB538" s="23"/>
      <c r="AC538" s="25"/>
      <c r="AD538" s="23"/>
      <c r="AE538" s="23"/>
      <c r="AF538" s="24"/>
      <c r="AG538" s="23"/>
      <c r="AH538" s="24"/>
      <c r="AI538" s="29" t="str">
        <f aca="false">IF(X538="Not accepted","Maintained",IF(X538="Partially accepted","Partially maintained",IF(X538="Accepted","Reversed",IF(X538="Withdrawn by hospital","Withdrawn by hospital",""))))</f>
        <v/>
      </c>
      <c r="AJ538" s="28" t="str">
        <f aca="false">IF(AI538="","",W538)</f>
        <v/>
      </c>
      <c r="AK538" s="29" t="str">
        <f aca="false">IF(AND(ISNUMBER(T538),ISNUMBER(W538)),W538-T538,"")</f>
        <v/>
      </c>
      <c r="AL538" s="29" t="str">
        <f aca="false">IF(A538="","",SUMIF(Actions!$C$5:$C$1004,A538,Actions!$F$5:$F$1004))</f>
        <v/>
      </c>
      <c r="AM538" s="25"/>
    </row>
    <row r="539" customFormat="false" ht="15" hidden="false" customHeight="false" outlineLevel="0" collapsed="false">
      <c r="A539" s="23"/>
      <c r="B539" s="23"/>
      <c r="C539" s="23"/>
      <c r="D539" s="23"/>
      <c r="E539" s="23"/>
      <c r="F539" s="23"/>
      <c r="G539" s="23"/>
      <c r="H539" s="23"/>
      <c r="I539" s="23"/>
      <c r="J539" s="23"/>
      <c r="K539" s="24"/>
      <c r="L539" s="23"/>
      <c r="M539" s="25"/>
      <c r="N539" s="25"/>
      <c r="O539" s="23"/>
      <c r="P539" s="26"/>
      <c r="Q539" s="26"/>
      <c r="R539" s="27" t="str">
        <f aca="false">IF(AND(ISNUMBER(P539),ISNUMBER(Q539)),P539-Q539,"")</f>
        <v/>
      </c>
      <c r="S539" s="24"/>
      <c r="T539" s="28" t="str">
        <f aca="false">IF(S539&lt;&gt;"",S539,IF(B539="","",IFERROR(IF(INDEX(Batches!$G$5:$G$64,MATCH(B539,Batches!$A$5:$A$64,0))="","",INDEX(Batches!$G$5:$G$64,MATCH(B539,Batches!$A$5:$A$64,0))),"")))</f>
        <v/>
      </c>
      <c r="U539" s="23"/>
      <c r="V539" s="24"/>
      <c r="W539" s="28" t="str">
        <f aca="false">IF(OR(X539="",X539="Pending"),"",IF(V539&lt;&gt;"",V539,IFERROR(IF(INDEX(Batches!$H$5:$H$64,MATCH(B539,Batches!$A$5:$A$64,0))="","",INDEX(Batches!$H$5:$H$64,MATCH(B539,Batches!$A$5:$A$64,0))),"")))</f>
        <v/>
      </c>
      <c r="X539" s="23"/>
      <c r="Y539" s="23"/>
      <c r="Z539" s="26"/>
      <c r="AA539" s="27" t="str">
        <f aca="false">IF(R539="","",IF(X539="Not accepted",R539,IF(OR(X539="Accepted",X539="Withdrawn by hospital"),IF(X539="Accepted",0,R539),IF(ISNUMBER(Z539),R539-Z539,""))))</f>
        <v/>
      </c>
      <c r="AB539" s="23"/>
      <c r="AC539" s="25"/>
      <c r="AD539" s="23"/>
      <c r="AE539" s="23"/>
      <c r="AF539" s="24"/>
      <c r="AG539" s="23"/>
      <c r="AH539" s="24"/>
      <c r="AI539" s="29" t="str">
        <f aca="false">IF(X539="Not accepted","Maintained",IF(X539="Partially accepted","Partially maintained",IF(X539="Accepted","Reversed",IF(X539="Withdrawn by hospital","Withdrawn by hospital",""))))</f>
        <v/>
      </c>
      <c r="AJ539" s="28" t="str">
        <f aca="false">IF(AI539="","",W539)</f>
        <v/>
      </c>
      <c r="AK539" s="29" t="str">
        <f aca="false">IF(AND(ISNUMBER(T539),ISNUMBER(W539)),W539-T539,"")</f>
        <v/>
      </c>
      <c r="AL539" s="29" t="str">
        <f aca="false">IF(A539="","",SUMIF(Actions!$C$5:$C$1004,A539,Actions!$F$5:$F$1004))</f>
        <v/>
      </c>
      <c r="AM539" s="25"/>
    </row>
    <row r="540" customFormat="false" ht="15" hidden="false" customHeight="false" outlineLevel="0" collapsed="false">
      <c r="A540" s="23"/>
      <c r="B540" s="23"/>
      <c r="C540" s="23"/>
      <c r="D540" s="23"/>
      <c r="E540" s="23"/>
      <c r="F540" s="23"/>
      <c r="G540" s="23"/>
      <c r="H540" s="23"/>
      <c r="I540" s="23"/>
      <c r="J540" s="23"/>
      <c r="K540" s="24"/>
      <c r="L540" s="23"/>
      <c r="M540" s="25"/>
      <c r="N540" s="25"/>
      <c r="O540" s="23"/>
      <c r="P540" s="26"/>
      <c r="Q540" s="26"/>
      <c r="R540" s="27" t="str">
        <f aca="false">IF(AND(ISNUMBER(P540),ISNUMBER(Q540)),P540-Q540,"")</f>
        <v/>
      </c>
      <c r="S540" s="24"/>
      <c r="T540" s="28" t="str">
        <f aca="false">IF(S540&lt;&gt;"",S540,IF(B540="","",IFERROR(IF(INDEX(Batches!$G$5:$G$64,MATCH(B540,Batches!$A$5:$A$64,0))="","",INDEX(Batches!$G$5:$G$64,MATCH(B540,Batches!$A$5:$A$64,0))),"")))</f>
        <v/>
      </c>
      <c r="U540" s="23"/>
      <c r="V540" s="24"/>
      <c r="W540" s="28" t="str">
        <f aca="false">IF(OR(X540="",X540="Pending"),"",IF(V540&lt;&gt;"",V540,IFERROR(IF(INDEX(Batches!$H$5:$H$64,MATCH(B540,Batches!$A$5:$A$64,0))="","",INDEX(Batches!$H$5:$H$64,MATCH(B540,Batches!$A$5:$A$64,0))),"")))</f>
        <v/>
      </c>
      <c r="X540" s="23"/>
      <c r="Y540" s="23"/>
      <c r="Z540" s="26"/>
      <c r="AA540" s="27" t="str">
        <f aca="false">IF(R540="","",IF(X540="Not accepted",R540,IF(OR(X540="Accepted",X540="Withdrawn by hospital"),IF(X540="Accepted",0,R540),IF(ISNUMBER(Z540),R540-Z540,""))))</f>
        <v/>
      </c>
      <c r="AB540" s="23"/>
      <c r="AC540" s="25"/>
      <c r="AD540" s="23"/>
      <c r="AE540" s="23"/>
      <c r="AF540" s="24"/>
      <c r="AG540" s="23"/>
      <c r="AH540" s="24"/>
      <c r="AI540" s="29" t="str">
        <f aca="false">IF(X540="Not accepted","Maintained",IF(X540="Partially accepted","Partially maintained",IF(X540="Accepted","Reversed",IF(X540="Withdrawn by hospital","Withdrawn by hospital",""))))</f>
        <v/>
      </c>
      <c r="AJ540" s="28" t="str">
        <f aca="false">IF(AI540="","",W540)</f>
        <v/>
      </c>
      <c r="AK540" s="29" t="str">
        <f aca="false">IF(AND(ISNUMBER(T540),ISNUMBER(W540)),W540-T540,"")</f>
        <v/>
      </c>
      <c r="AL540" s="29" t="str">
        <f aca="false">IF(A540="","",SUMIF(Actions!$C$5:$C$1004,A540,Actions!$F$5:$F$1004))</f>
        <v/>
      </c>
      <c r="AM540" s="25"/>
    </row>
    <row r="541" customFormat="false" ht="15" hidden="false" customHeight="false" outlineLevel="0" collapsed="false">
      <c r="A541" s="23"/>
      <c r="B541" s="23"/>
      <c r="C541" s="23"/>
      <c r="D541" s="23"/>
      <c r="E541" s="23"/>
      <c r="F541" s="23"/>
      <c r="G541" s="23"/>
      <c r="H541" s="23"/>
      <c r="I541" s="23"/>
      <c r="J541" s="23"/>
      <c r="K541" s="24"/>
      <c r="L541" s="23"/>
      <c r="M541" s="25"/>
      <c r="N541" s="25"/>
      <c r="O541" s="23"/>
      <c r="P541" s="26"/>
      <c r="Q541" s="26"/>
      <c r="R541" s="27" t="str">
        <f aca="false">IF(AND(ISNUMBER(P541),ISNUMBER(Q541)),P541-Q541,"")</f>
        <v/>
      </c>
      <c r="S541" s="24"/>
      <c r="T541" s="28" t="str">
        <f aca="false">IF(S541&lt;&gt;"",S541,IF(B541="","",IFERROR(IF(INDEX(Batches!$G$5:$G$64,MATCH(B541,Batches!$A$5:$A$64,0))="","",INDEX(Batches!$G$5:$G$64,MATCH(B541,Batches!$A$5:$A$64,0))),"")))</f>
        <v/>
      </c>
      <c r="U541" s="23"/>
      <c r="V541" s="24"/>
      <c r="W541" s="28" t="str">
        <f aca="false">IF(OR(X541="",X541="Pending"),"",IF(V541&lt;&gt;"",V541,IFERROR(IF(INDEX(Batches!$H$5:$H$64,MATCH(B541,Batches!$A$5:$A$64,0))="","",INDEX(Batches!$H$5:$H$64,MATCH(B541,Batches!$A$5:$A$64,0))),"")))</f>
        <v/>
      </c>
      <c r="X541" s="23"/>
      <c r="Y541" s="23"/>
      <c r="Z541" s="26"/>
      <c r="AA541" s="27" t="str">
        <f aca="false">IF(R541="","",IF(X541="Not accepted",R541,IF(OR(X541="Accepted",X541="Withdrawn by hospital"),IF(X541="Accepted",0,R541),IF(ISNUMBER(Z541),R541-Z541,""))))</f>
        <v/>
      </c>
      <c r="AB541" s="23"/>
      <c r="AC541" s="25"/>
      <c r="AD541" s="23"/>
      <c r="AE541" s="23"/>
      <c r="AF541" s="24"/>
      <c r="AG541" s="23"/>
      <c r="AH541" s="24"/>
      <c r="AI541" s="29" t="str">
        <f aca="false">IF(X541="Not accepted","Maintained",IF(X541="Partially accepted","Partially maintained",IF(X541="Accepted","Reversed",IF(X541="Withdrawn by hospital","Withdrawn by hospital",""))))</f>
        <v/>
      </c>
      <c r="AJ541" s="28" t="str">
        <f aca="false">IF(AI541="","",W541)</f>
        <v/>
      </c>
      <c r="AK541" s="29" t="str">
        <f aca="false">IF(AND(ISNUMBER(T541),ISNUMBER(W541)),W541-T541,"")</f>
        <v/>
      </c>
      <c r="AL541" s="29" t="str">
        <f aca="false">IF(A541="","",SUMIF(Actions!$C$5:$C$1004,A541,Actions!$F$5:$F$1004))</f>
        <v/>
      </c>
      <c r="AM541" s="25"/>
    </row>
    <row r="542" customFormat="false" ht="15" hidden="false" customHeight="false" outlineLevel="0" collapsed="false">
      <c r="A542" s="23"/>
      <c r="B542" s="23"/>
      <c r="C542" s="23"/>
      <c r="D542" s="23"/>
      <c r="E542" s="23"/>
      <c r="F542" s="23"/>
      <c r="G542" s="23"/>
      <c r="H542" s="23"/>
      <c r="I542" s="23"/>
      <c r="J542" s="23"/>
      <c r="K542" s="24"/>
      <c r="L542" s="23"/>
      <c r="M542" s="25"/>
      <c r="N542" s="25"/>
      <c r="O542" s="23"/>
      <c r="P542" s="26"/>
      <c r="Q542" s="26"/>
      <c r="R542" s="27" t="str">
        <f aca="false">IF(AND(ISNUMBER(P542),ISNUMBER(Q542)),P542-Q542,"")</f>
        <v/>
      </c>
      <c r="S542" s="24"/>
      <c r="T542" s="28" t="str">
        <f aca="false">IF(S542&lt;&gt;"",S542,IF(B542="","",IFERROR(IF(INDEX(Batches!$G$5:$G$64,MATCH(B542,Batches!$A$5:$A$64,0))="","",INDEX(Batches!$G$5:$G$64,MATCH(B542,Batches!$A$5:$A$64,0))),"")))</f>
        <v/>
      </c>
      <c r="U542" s="23"/>
      <c r="V542" s="24"/>
      <c r="W542" s="28" t="str">
        <f aca="false">IF(OR(X542="",X542="Pending"),"",IF(V542&lt;&gt;"",V542,IFERROR(IF(INDEX(Batches!$H$5:$H$64,MATCH(B542,Batches!$A$5:$A$64,0))="","",INDEX(Batches!$H$5:$H$64,MATCH(B542,Batches!$A$5:$A$64,0))),"")))</f>
        <v/>
      </c>
      <c r="X542" s="23"/>
      <c r="Y542" s="23"/>
      <c r="Z542" s="26"/>
      <c r="AA542" s="27" t="str">
        <f aca="false">IF(R542="","",IF(X542="Not accepted",R542,IF(OR(X542="Accepted",X542="Withdrawn by hospital"),IF(X542="Accepted",0,R542),IF(ISNUMBER(Z542),R542-Z542,""))))</f>
        <v/>
      </c>
      <c r="AB542" s="23"/>
      <c r="AC542" s="25"/>
      <c r="AD542" s="23"/>
      <c r="AE542" s="23"/>
      <c r="AF542" s="24"/>
      <c r="AG542" s="23"/>
      <c r="AH542" s="24"/>
      <c r="AI542" s="29" t="str">
        <f aca="false">IF(X542="Not accepted","Maintained",IF(X542="Partially accepted","Partially maintained",IF(X542="Accepted","Reversed",IF(X542="Withdrawn by hospital","Withdrawn by hospital",""))))</f>
        <v/>
      </c>
      <c r="AJ542" s="28" t="str">
        <f aca="false">IF(AI542="","",W542)</f>
        <v/>
      </c>
      <c r="AK542" s="29" t="str">
        <f aca="false">IF(AND(ISNUMBER(T542),ISNUMBER(W542)),W542-T542,"")</f>
        <v/>
      </c>
      <c r="AL542" s="29" t="str">
        <f aca="false">IF(A542="","",SUMIF(Actions!$C$5:$C$1004,A542,Actions!$F$5:$F$1004))</f>
        <v/>
      </c>
      <c r="AM542" s="25"/>
    </row>
    <row r="543" customFormat="false" ht="15" hidden="false" customHeight="false" outlineLevel="0" collapsed="false">
      <c r="A543" s="23"/>
      <c r="B543" s="23"/>
      <c r="C543" s="23"/>
      <c r="D543" s="23"/>
      <c r="E543" s="23"/>
      <c r="F543" s="23"/>
      <c r="G543" s="23"/>
      <c r="H543" s="23"/>
      <c r="I543" s="23"/>
      <c r="J543" s="23"/>
      <c r="K543" s="24"/>
      <c r="L543" s="23"/>
      <c r="M543" s="25"/>
      <c r="N543" s="25"/>
      <c r="O543" s="23"/>
      <c r="P543" s="26"/>
      <c r="Q543" s="26"/>
      <c r="R543" s="27" t="str">
        <f aca="false">IF(AND(ISNUMBER(P543),ISNUMBER(Q543)),P543-Q543,"")</f>
        <v/>
      </c>
      <c r="S543" s="24"/>
      <c r="T543" s="28" t="str">
        <f aca="false">IF(S543&lt;&gt;"",S543,IF(B543="","",IFERROR(IF(INDEX(Batches!$G$5:$G$64,MATCH(B543,Batches!$A$5:$A$64,0))="","",INDEX(Batches!$G$5:$G$64,MATCH(B543,Batches!$A$5:$A$64,0))),"")))</f>
        <v/>
      </c>
      <c r="U543" s="23"/>
      <c r="V543" s="24"/>
      <c r="W543" s="28" t="str">
        <f aca="false">IF(OR(X543="",X543="Pending"),"",IF(V543&lt;&gt;"",V543,IFERROR(IF(INDEX(Batches!$H$5:$H$64,MATCH(B543,Batches!$A$5:$A$64,0))="","",INDEX(Batches!$H$5:$H$64,MATCH(B543,Batches!$A$5:$A$64,0))),"")))</f>
        <v/>
      </c>
      <c r="X543" s="23"/>
      <c r="Y543" s="23"/>
      <c r="Z543" s="26"/>
      <c r="AA543" s="27" t="str">
        <f aca="false">IF(R543="","",IF(X543="Not accepted",R543,IF(OR(X543="Accepted",X543="Withdrawn by hospital"),IF(X543="Accepted",0,R543),IF(ISNUMBER(Z543),R543-Z543,""))))</f>
        <v/>
      </c>
      <c r="AB543" s="23"/>
      <c r="AC543" s="25"/>
      <c r="AD543" s="23"/>
      <c r="AE543" s="23"/>
      <c r="AF543" s="24"/>
      <c r="AG543" s="23"/>
      <c r="AH543" s="24"/>
      <c r="AI543" s="29" t="str">
        <f aca="false">IF(X543="Not accepted","Maintained",IF(X543="Partially accepted","Partially maintained",IF(X543="Accepted","Reversed",IF(X543="Withdrawn by hospital","Withdrawn by hospital",""))))</f>
        <v/>
      </c>
      <c r="AJ543" s="28" t="str">
        <f aca="false">IF(AI543="","",W543)</f>
        <v/>
      </c>
      <c r="AK543" s="29" t="str">
        <f aca="false">IF(AND(ISNUMBER(T543),ISNUMBER(W543)),W543-T543,"")</f>
        <v/>
      </c>
      <c r="AL543" s="29" t="str">
        <f aca="false">IF(A543="","",SUMIF(Actions!$C$5:$C$1004,A543,Actions!$F$5:$F$1004))</f>
        <v/>
      </c>
      <c r="AM543" s="25"/>
    </row>
    <row r="544" customFormat="false" ht="15" hidden="false" customHeight="false" outlineLevel="0" collapsed="false">
      <c r="A544" s="23"/>
      <c r="B544" s="23"/>
      <c r="C544" s="23"/>
      <c r="D544" s="23"/>
      <c r="E544" s="23"/>
      <c r="F544" s="23"/>
      <c r="G544" s="23"/>
      <c r="H544" s="23"/>
      <c r="I544" s="23"/>
      <c r="J544" s="23"/>
      <c r="K544" s="24"/>
      <c r="L544" s="23"/>
      <c r="M544" s="25"/>
      <c r="N544" s="25"/>
      <c r="O544" s="23"/>
      <c r="P544" s="26"/>
      <c r="Q544" s="26"/>
      <c r="R544" s="27" t="str">
        <f aca="false">IF(AND(ISNUMBER(P544),ISNUMBER(Q544)),P544-Q544,"")</f>
        <v/>
      </c>
      <c r="S544" s="24"/>
      <c r="T544" s="28" t="str">
        <f aca="false">IF(S544&lt;&gt;"",S544,IF(B544="","",IFERROR(IF(INDEX(Batches!$G$5:$G$64,MATCH(B544,Batches!$A$5:$A$64,0))="","",INDEX(Batches!$G$5:$G$64,MATCH(B544,Batches!$A$5:$A$64,0))),"")))</f>
        <v/>
      </c>
      <c r="U544" s="23"/>
      <c r="V544" s="24"/>
      <c r="W544" s="28" t="str">
        <f aca="false">IF(OR(X544="",X544="Pending"),"",IF(V544&lt;&gt;"",V544,IFERROR(IF(INDEX(Batches!$H$5:$H$64,MATCH(B544,Batches!$A$5:$A$64,0))="","",INDEX(Batches!$H$5:$H$64,MATCH(B544,Batches!$A$5:$A$64,0))),"")))</f>
        <v/>
      </c>
      <c r="X544" s="23"/>
      <c r="Y544" s="23"/>
      <c r="Z544" s="26"/>
      <c r="AA544" s="27" t="str">
        <f aca="false">IF(R544="","",IF(X544="Not accepted",R544,IF(OR(X544="Accepted",X544="Withdrawn by hospital"),IF(X544="Accepted",0,R544),IF(ISNUMBER(Z544),R544-Z544,""))))</f>
        <v/>
      </c>
      <c r="AB544" s="23"/>
      <c r="AC544" s="25"/>
      <c r="AD544" s="23"/>
      <c r="AE544" s="23"/>
      <c r="AF544" s="24"/>
      <c r="AG544" s="23"/>
      <c r="AH544" s="24"/>
      <c r="AI544" s="29" t="str">
        <f aca="false">IF(X544="Not accepted","Maintained",IF(X544="Partially accepted","Partially maintained",IF(X544="Accepted","Reversed",IF(X544="Withdrawn by hospital","Withdrawn by hospital",""))))</f>
        <v/>
      </c>
      <c r="AJ544" s="28" t="str">
        <f aca="false">IF(AI544="","",W544)</f>
        <v/>
      </c>
      <c r="AK544" s="29" t="str">
        <f aca="false">IF(AND(ISNUMBER(T544),ISNUMBER(W544)),W544-T544,"")</f>
        <v/>
      </c>
      <c r="AL544" s="29" t="str">
        <f aca="false">IF(A544="","",SUMIF(Actions!$C$5:$C$1004,A544,Actions!$F$5:$F$1004))</f>
        <v/>
      </c>
      <c r="AM544" s="25"/>
    </row>
    <row r="545" customFormat="false" ht="15" hidden="false" customHeight="false" outlineLevel="0" collapsed="false">
      <c r="A545" s="23"/>
      <c r="B545" s="23"/>
      <c r="C545" s="23"/>
      <c r="D545" s="23"/>
      <c r="E545" s="23"/>
      <c r="F545" s="23"/>
      <c r="G545" s="23"/>
      <c r="H545" s="23"/>
      <c r="I545" s="23"/>
      <c r="J545" s="23"/>
      <c r="K545" s="24"/>
      <c r="L545" s="23"/>
      <c r="M545" s="25"/>
      <c r="N545" s="25"/>
      <c r="O545" s="23"/>
      <c r="P545" s="26"/>
      <c r="Q545" s="26"/>
      <c r="R545" s="27" t="str">
        <f aca="false">IF(AND(ISNUMBER(P545),ISNUMBER(Q545)),P545-Q545,"")</f>
        <v/>
      </c>
      <c r="S545" s="24"/>
      <c r="T545" s="28" t="str">
        <f aca="false">IF(S545&lt;&gt;"",S545,IF(B545="","",IFERROR(IF(INDEX(Batches!$G$5:$G$64,MATCH(B545,Batches!$A$5:$A$64,0))="","",INDEX(Batches!$G$5:$G$64,MATCH(B545,Batches!$A$5:$A$64,0))),"")))</f>
        <v/>
      </c>
      <c r="U545" s="23"/>
      <c r="V545" s="24"/>
      <c r="W545" s="28" t="str">
        <f aca="false">IF(OR(X545="",X545="Pending"),"",IF(V545&lt;&gt;"",V545,IFERROR(IF(INDEX(Batches!$H$5:$H$64,MATCH(B545,Batches!$A$5:$A$64,0))="","",INDEX(Batches!$H$5:$H$64,MATCH(B545,Batches!$A$5:$A$64,0))),"")))</f>
        <v/>
      </c>
      <c r="X545" s="23"/>
      <c r="Y545" s="23"/>
      <c r="Z545" s="26"/>
      <c r="AA545" s="27" t="str">
        <f aca="false">IF(R545="","",IF(X545="Not accepted",R545,IF(OR(X545="Accepted",X545="Withdrawn by hospital"),IF(X545="Accepted",0,R545),IF(ISNUMBER(Z545),R545-Z545,""))))</f>
        <v/>
      </c>
      <c r="AB545" s="23"/>
      <c r="AC545" s="25"/>
      <c r="AD545" s="23"/>
      <c r="AE545" s="23"/>
      <c r="AF545" s="24"/>
      <c r="AG545" s="23"/>
      <c r="AH545" s="24"/>
      <c r="AI545" s="29" t="str">
        <f aca="false">IF(X545="Not accepted","Maintained",IF(X545="Partially accepted","Partially maintained",IF(X545="Accepted","Reversed",IF(X545="Withdrawn by hospital","Withdrawn by hospital",""))))</f>
        <v/>
      </c>
      <c r="AJ545" s="28" t="str">
        <f aca="false">IF(AI545="","",W545)</f>
        <v/>
      </c>
      <c r="AK545" s="29" t="str">
        <f aca="false">IF(AND(ISNUMBER(T545),ISNUMBER(W545)),W545-T545,"")</f>
        <v/>
      </c>
      <c r="AL545" s="29" t="str">
        <f aca="false">IF(A545="","",SUMIF(Actions!$C$5:$C$1004,A545,Actions!$F$5:$F$1004))</f>
        <v/>
      </c>
      <c r="AM545" s="25"/>
    </row>
    <row r="546" customFormat="false" ht="15" hidden="false" customHeight="false" outlineLevel="0" collapsed="false">
      <c r="A546" s="23"/>
      <c r="B546" s="23"/>
      <c r="C546" s="23"/>
      <c r="D546" s="23"/>
      <c r="E546" s="23"/>
      <c r="F546" s="23"/>
      <c r="G546" s="23"/>
      <c r="H546" s="23"/>
      <c r="I546" s="23"/>
      <c r="J546" s="23"/>
      <c r="K546" s="24"/>
      <c r="L546" s="23"/>
      <c r="M546" s="25"/>
      <c r="N546" s="25"/>
      <c r="O546" s="23"/>
      <c r="P546" s="26"/>
      <c r="Q546" s="26"/>
      <c r="R546" s="27" t="str">
        <f aca="false">IF(AND(ISNUMBER(P546),ISNUMBER(Q546)),P546-Q546,"")</f>
        <v/>
      </c>
      <c r="S546" s="24"/>
      <c r="T546" s="28" t="str">
        <f aca="false">IF(S546&lt;&gt;"",S546,IF(B546="","",IFERROR(IF(INDEX(Batches!$G$5:$G$64,MATCH(B546,Batches!$A$5:$A$64,0))="","",INDEX(Batches!$G$5:$G$64,MATCH(B546,Batches!$A$5:$A$64,0))),"")))</f>
        <v/>
      </c>
      <c r="U546" s="23"/>
      <c r="V546" s="24"/>
      <c r="W546" s="28" t="str">
        <f aca="false">IF(OR(X546="",X546="Pending"),"",IF(V546&lt;&gt;"",V546,IFERROR(IF(INDEX(Batches!$H$5:$H$64,MATCH(B546,Batches!$A$5:$A$64,0))="","",INDEX(Batches!$H$5:$H$64,MATCH(B546,Batches!$A$5:$A$64,0))),"")))</f>
        <v/>
      </c>
      <c r="X546" s="23"/>
      <c r="Y546" s="23"/>
      <c r="Z546" s="26"/>
      <c r="AA546" s="27" t="str">
        <f aca="false">IF(R546="","",IF(X546="Not accepted",R546,IF(OR(X546="Accepted",X546="Withdrawn by hospital"),IF(X546="Accepted",0,R546),IF(ISNUMBER(Z546),R546-Z546,""))))</f>
        <v/>
      </c>
      <c r="AB546" s="23"/>
      <c r="AC546" s="25"/>
      <c r="AD546" s="23"/>
      <c r="AE546" s="23"/>
      <c r="AF546" s="24"/>
      <c r="AG546" s="23"/>
      <c r="AH546" s="24"/>
      <c r="AI546" s="29" t="str">
        <f aca="false">IF(X546="Not accepted","Maintained",IF(X546="Partially accepted","Partially maintained",IF(X546="Accepted","Reversed",IF(X546="Withdrawn by hospital","Withdrawn by hospital",""))))</f>
        <v/>
      </c>
      <c r="AJ546" s="28" t="str">
        <f aca="false">IF(AI546="","",W546)</f>
        <v/>
      </c>
      <c r="AK546" s="29" t="str">
        <f aca="false">IF(AND(ISNUMBER(T546),ISNUMBER(W546)),W546-T546,"")</f>
        <v/>
      </c>
      <c r="AL546" s="29" t="str">
        <f aca="false">IF(A546="","",SUMIF(Actions!$C$5:$C$1004,A546,Actions!$F$5:$F$1004))</f>
        <v/>
      </c>
      <c r="AM546" s="25"/>
    </row>
    <row r="547" customFormat="false" ht="15" hidden="false" customHeight="false" outlineLevel="0" collapsed="false">
      <c r="A547" s="23"/>
      <c r="B547" s="23"/>
      <c r="C547" s="23"/>
      <c r="D547" s="23"/>
      <c r="E547" s="23"/>
      <c r="F547" s="23"/>
      <c r="G547" s="23"/>
      <c r="H547" s="23"/>
      <c r="I547" s="23"/>
      <c r="J547" s="23"/>
      <c r="K547" s="24"/>
      <c r="L547" s="23"/>
      <c r="M547" s="25"/>
      <c r="N547" s="25"/>
      <c r="O547" s="23"/>
      <c r="P547" s="26"/>
      <c r="Q547" s="26"/>
      <c r="R547" s="27" t="str">
        <f aca="false">IF(AND(ISNUMBER(P547),ISNUMBER(Q547)),P547-Q547,"")</f>
        <v/>
      </c>
      <c r="S547" s="24"/>
      <c r="T547" s="28" t="str">
        <f aca="false">IF(S547&lt;&gt;"",S547,IF(B547="","",IFERROR(IF(INDEX(Batches!$G$5:$G$64,MATCH(B547,Batches!$A$5:$A$64,0))="","",INDEX(Batches!$G$5:$G$64,MATCH(B547,Batches!$A$5:$A$64,0))),"")))</f>
        <v/>
      </c>
      <c r="U547" s="23"/>
      <c r="V547" s="24"/>
      <c r="W547" s="28" t="str">
        <f aca="false">IF(OR(X547="",X547="Pending"),"",IF(V547&lt;&gt;"",V547,IFERROR(IF(INDEX(Batches!$H$5:$H$64,MATCH(B547,Batches!$A$5:$A$64,0))="","",INDEX(Batches!$H$5:$H$64,MATCH(B547,Batches!$A$5:$A$64,0))),"")))</f>
        <v/>
      </c>
      <c r="X547" s="23"/>
      <c r="Y547" s="23"/>
      <c r="Z547" s="26"/>
      <c r="AA547" s="27" t="str">
        <f aca="false">IF(R547="","",IF(X547="Not accepted",R547,IF(OR(X547="Accepted",X547="Withdrawn by hospital"),IF(X547="Accepted",0,R547),IF(ISNUMBER(Z547),R547-Z547,""))))</f>
        <v/>
      </c>
      <c r="AB547" s="23"/>
      <c r="AC547" s="25"/>
      <c r="AD547" s="23"/>
      <c r="AE547" s="23"/>
      <c r="AF547" s="24"/>
      <c r="AG547" s="23"/>
      <c r="AH547" s="24"/>
      <c r="AI547" s="29" t="str">
        <f aca="false">IF(X547="Not accepted","Maintained",IF(X547="Partially accepted","Partially maintained",IF(X547="Accepted","Reversed",IF(X547="Withdrawn by hospital","Withdrawn by hospital",""))))</f>
        <v/>
      </c>
      <c r="AJ547" s="28" t="str">
        <f aca="false">IF(AI547="","",W547)</f>
        <v/>
      </c>
      <c r="AK547" s="29" t="str">
        <f aca="false">IF(AND(ISNUMBER(T547),ISNUMBER(W547)),W547-T547,"")</f>
        <v/>
      </c>
      <c r="AL547" s="29" t="str">
        <f aca="false">IF(A547="","",SUMIF(Actions!$C$5:$C$1004,A547,Actions!$F$5:$F$1004))</f>
        <v/>
      </c>
      <c r="AM547" s="25"/>
    </row>
    <row r="548" customFormat="false" ht="15" hidden="false" customHeight="false" outlineLevel="0" collapsed="false">
      <c r="A548" s="23"/>
      <c r="B548" s="23"/>
      <c r="C548" s="23"/>
      <c r="D548" s="23"/>
      <c r="E548" s="23"/>
      <c r="F548" s="23"/>
      <c r="G548" s="23"/>
      <c r="H548" s="23"/>
      <c r="I548" s="23"/>
      <c r="J548" s="23"/>
      <c r="K548" s="24"/>
      <c r="L548" s="23"/>
      <c r="M548" s="25"/>
      <c r="N548" s="25"/>
      <c r="O548" s="23"/>
      <c r="P548" s="26"/>
      <c r="Q548" s="26"/>
      <c r="R548" s="27" t="str">
        <f aca="false">IF(AND(ISNUMBER(P548),ISNUMBER(Q548)),P548-Q548,"")</f>
        <v/>
      </c>
      <c r="S548" s="24"/>
      <c r="T548" s="28" t="str">
        <f aca="false">IF(S548&lt;&gt;"",S548,IF(B548="","",IFERROR(IF(INDEX(Batches!$G$5:$G$64,MATCH(B548,Batches!$A$5:$A$64,0))="","",INDEX(Batches!$G$5:$G$64,MATCH(B548,Batches!$A$5:$A$64,0))),"")))</f>
        <v/>
      </c>
      <c r="U548" s="23"/>
      <c r="V548" s="24"/>
      <c r="W548" s="28" t="str">
        <f aca="false">IF(OR(X548="",X548="Pending"),"",IF(V548&lt;&gt;"",V548,IFERROR(IF(INDEX(Batches!$H$5:$H$64,MATCH(B548,Batches!$A$5:$A$64,0))="","",INDEX(Batches!$H$5:$H$64,MATCH(B548,Batches!$A$5:$A$64,0))),"")))</f>
        <v/>
      </c>
      <c r="X548" s="23"/>
      <c r="Y548" s="23"/>
      <c r="Z548" s="26"/>
      <c r="AA548" s="27" t="str">
        <f aca="false">IF(R548="","",IF(X548="Not accepted",R548,IF(OR(X548="Accepted",X548="Withdrawn by hospital"),IF(X548="Accepted",0,R548),IF(ISNUMBER(Z548),R548-Z548,""))))</f>
        <v/>
      </c>
      <c r="AB548" s="23"/>
      <c r="AC548" s="25"/>
      <c r="AD548" s="23"/>
      <c r="AE548" s="23"/>
      <c r="AF548" s="24"/>
      <c r="AG548" s="23"/>
      <c r="AH548" s="24"/>
      <c r="AI548" s="29" t="str">
        <f aca="false">IF(X548="Not accepted","Maintained",IF(X548="Partially accepted","Partially maintained",IF(X548="Accepted","Reversed",IF(X548="Withdrawn by hospital","Withdrawn by hospital",""))))</f>
        <v/>
      </c>
      <c r="AJ548" s="28" t="str">
        <f aca="false">IF(AI548="","",W548)</f>
        <v/>
      </c>
      <c r="AK548" s="29" t="str">
        <f aca="false">IF(AND(ISNUMBER(T548),ISNUMBER(W548)),W548-T548,"")</f>
        <v/>
      </c>
      <c r="AL548" s="29" t="str">
        <f aca="false">IF(A548="","",SUMIF(Actions!$C$5:$C$1004,A548,Actions!$F$5:$F$1004))</f>
        <v/>
      </c>
      <c r="AM548" s="25"/>
    </row>
    <row r="549" customFormat="false" ht="15" hidden="false" customHeight="false" outlineLevel="0" collapsed="false">
      <c r="A549" s="23"/>
      <c r="B549" s="23"/>
      <c r="C549" s="23"/>
      <c r="D549" s="23"/>
      <c r="E549" s="23"/>
      <c r="F549" s="23"/>
      <c r="G549" s="23"/>
      <c r="H549" s="23"/>
      <c r="I549" s="23"/>
      <c r="J549" s="23"/>
      <c r="K549" s="24"/>
      <c r="L549" s="23"/>
      <c r="M549" s="25"/>
      <c r="N549" s="25"/>
      <c r="O549" s="23"/>
      <c r="P549" s="26"/>
      <c r="Q549" s="26"/>
      <c r="R549" s="27" t="str">
        <f aca="false">IF(AND(ISNUMBER(P549),ISNUMBER(Q549)),P549-Q549,"")</f>
        <v/>
      </c>
      <c r="S549" s="24"/>
      <c r="T549" s="28" t="str">
        <f aca="false">IF(S549&lt;&gt;"",S549,IF(B549="","",IFERROR(IF(INDEX(Batches!$G$5:$G$64,MATCH(B549,Batches!$A$5:$A$64,0))="","",INDEX(Batches!$G$5:$G$64,MATCH(B549,Batches!$A$5:$A$64,0))),"")))</f>
        <v/>
      </c>
      <c r="U549" s="23"/>
      <c r="V549" s="24"/>
      <c r="W549" s="28" t="str">
        <f aca="false">IF(OR(X549="",X549="Pending"),"",IF(V549&lt;&gt;"",V549,IFERROR(IF(INDEX(Batches!$H$5:$H$64,MATCH(B549,Batches!$A$5:$A$64,0))="","",INDEX(Batches!$H$5:$H$64,MATCH(B549,Batches!$A$5:$A$64,0))),"")))</f>
        <v/>
      </c>
      <c r="X549" s="23"/>
      <c r="Y549" s="23"/>
      <c r="Z549" s="26"/>
      <c r="AA549" s="27" t="str">
        <f aca="false">IF(R549="","",IF(X549="Not accepted",R549,IF(OR(X549="Accepted",X549="Withdrawn by hospital"),IF(X549="Accepted",0,R549),IF(ISNUMBER(Z549),R549-Z549,""))))</f>
        <v/>
      </c>
      <c r="AB549" s="23"/>
      <c r="AC549" s="25"/>
      <c r="AD549" s="23"/>
      <c r="AE549" s="23"/>
      <c r="AF549" s="24"/>
      <c r="AG549" s="23"/>
      <c r="AH549" s="24"/>
      <c r="AI549" s="29" t="str">
        <f aca="false">IF(X549="Not accepted","Maintained",IF(X549="Partially accepted","Partially maintained",IF(X549="Accepted","Reversed",IF(X549="Withdrawn by hospital","Withdrawn by hospital",""))))</f>
        <v/>
      </c>
      <c r="AJ549" s="28" t="str">
        <f aca="false">IF(AI549="","",W549)</f>
        <v/>
      </c>
      <c r="AK549" s="29" t="str">
        <f aca="false">IF(AND(ISNUMBER(T549),ISNUMBER(W549)),W549-T549,"")</f>
        <v/>
      </c>
      <c r="AL549" s="29" t="str">
        <f aca="false">IF(A549="","",SUMIF(Actions!$C$5:$C$1004,A549,Actions!$F$5:$F$1004))</f>
        <v/>
      </c>
      <c r="AM549" s="25"/>
    </row>
    <row r="550" customFormat="false" ht="15" hidden="false" customHeight="false" outlineLevel="0" collapsed="false">
      <c r="A550" s="23"/>
      <c r="B550" s="23"/>
      <c r="C550" s="23"/>
      <c r="D550" s="23"/>
      <c r="E550" s="23"/>
      <c r="F550" s="23"/>
      <c r="G550" s="23"/>
      <c r="H550" s="23"/>
      <c r="I550" s="23"/>
      <c r="J550" s="23"/>
      <c r="K550" s="24"/>
      <c r="L550" s="23"/>
      <c r="M550" s="25"/>
      <c r="N550" s="25"/>
      <c r="O550" s="23"/>
      <c r="P550" s="26"/>
      <c r="Q550" s="26"/>
      <c r="R550" s="27" t="str">
        <f aca="false">IF(AND(ISNUMBER(P550),ISNUMBER(Q550)),P550-Q550,"")</f>
        <v/>
      </c>
      <c r="S550" s="24"/>
      <c r="T550" s="28" t="str">
        <f aca="false">IF(S550&lt;&gt;"",S550,IF(B550="","",IFERROR(IF(INDEX(Batches!$G$5:$G$64,MATCH(B550,Batches!$A$5:$A$64,0))="","",INDEX(Batches!$G$5:$G$64,MATCH(B550,Batches!$A$5:$A$64,0))),"")))</f>
        <v/>
      </c>
      <c r="U550" s="23"/>
      <c r="V550" s="24"/>
      <c r="W550" s="28" t="str">
        <f aca="false">IF(OR(X550="",X550="Pending"),"",IF(V550&lt;&gt;"",V550,IFERROR(IF(INDEX(Batches!$H$5:$H$64,MATCH(B550,Batches!$A$5:$A$64,0))="","",INDEX(Batches!$H$5:$H$64,MATCH(B550,Batches!$A$5:$A$64,0))),"")))</f>
        <v/>
      </c>
      <c r="X550" s="23"/>
      <c r="Y550" s="23"/>
      <c r="Z550" s="26"/>
      <c r="AA550" s="27" t="str">
        <f aca="false">IF(R550="","",IF(X550="Not accepted",R550,IF(OR(X550="Accepted",X550="Withdrawn by hospital"),IF(X550="Accepted",0,R550),IF(ISNUMBER(Z550),R550-Z550,""))))</f>
        <v/>
      </c>
      <c r="AB550" s="23"/>
      <c r="AC550" s="25"/>
      <c r="AD550" s="23"/>
      <c r="AE550" s="23"/>
      <c r="AF550" s="24"/>
      <c r="AG550" s="23"/>
      <c r="AH550" s="24"/>
      <c r="AI550" s="29" t="str">
        <f aca="false">IF(X550="Not accepted","Maintained",IF(X550="Partially accepted","Partially maintained",IF(X550="Accepted","Reversed",IF(X550="Withdrawn by hospital","Withdrawn by hospital",""))))</f>
        <v/>
      </c>
      <c r="AJ550" s="28" t="str">
        <f aca="false">IF(AI550="","",W550)</f>
        <v/>
      </c>
      <c r="AK550" s="29" t="str">
        <f aca="false">IF(AND(ISNUMBER(T550),ISNUMBER(W550)),W550-T550,"")</f>
        <v/>
      </c>
      <c r="AL550" s="29" t="str">
        <f aca="false">IF(A550="","",SUMIF(Actions!$C$5:$C$1004,A550,Actions!$F$5:$F$1004))</f>
        <v/>
      </c>
      <c r="AM550" s="25"/>
    </row>
    <row r="551" customFormat="false" ht="15" hidden="false" customHeight="false" outlineLevel="0" collapsed="false">
      <c r="A551" s="23"/>
      <c r="B551" s="23"/>
      <c r="C551" s="23"/>
      <c r="D551" s="23"/>
      <c r="E551" s="23"/>
      <c r="F551" s="23"/>
      <c r="G551" s="23"/>
      <c r="H551" s="23"/>
      <c r="I551" s="23"/>
      <c r="J551" s="23"/>
      <c r="K551" s="24"/>
      <c r="L551" s="23"/>
      <c r="M551" s="25"/>
      <c r="N551" s="25"/>
      <c r="O551" s="23"/>
      <c r="P551" s="26"/>
      <c r="Q551" s="26"/>
      <c r="R551" s="27" t="str">
        <f aca="false">IF(AND(ISNUMBER(P551),ISNUMBER(Q551)),P551-Q551,"")</f>
        <v/>
      </c>
      <c r="S551" s="24"/>
      <c r="T551" s="28" t="str">
        <f aca="false">IF(S551&lt;&gt;"",S551,IF(B551="","",IFERROR(IF(INDEX(Batches!$G$5:$G$64,MATCH(B551,Batches!$A$5:$A$64,0))="","",INDEX(Batches!$G$5:$G$64,MATCH(B551,Batches!$A$5:$A$64,0))),"")))</f>
        <v/>
      </c>
      <c r="U551" s="23"/>
      <c r="V551" s="24"/>
      <c r="W551" s="28" t="str">
        <f aca="false">IF(OR(X551="",X551="Pending"),"",IF(V551&lt;&gt;"",V551,IFERROR(IF(INDEX(Batches!$H$5:$H$64,MATCH(B551,Batches!$A$5:$A$64,0))="","",INDEX(Batches!$H$5:$H$64,MATCH(B551,Batches!$A$5:$A$64,0))),"")))</f>
        <v/>
      </c>
      <c r="X551" s="23"/>
      <c r="Y551" s="23"/>
      <c r="Z551" s="26"/>
      <c r="AA551" s="27" t="str">
        <f aca="false">IF(R551="","",IF(X551="Not accepted",R551,IF(OR(X551="Accepted",X551="Withdrawn by hospital"),IF(X551="Accepted",0,R551),IF(ISNUMBER(Z551),R551-Z551,""))))</f>
        <v/>
      </c>
      <c r="AB551" s="23"/>
      <c r="AC551" s="25"/>
      <c r="AD551" s="23"/>
      <c r="AE551" s="23"/>
      <c r="AF551" s="24"/>
      <c r="AG551" s="23"/>
      <c r="AH551" s="24"/>
      <c r="AI551" s="29" t="str">
        <f aca="false">IF(X551="Not accepted","Maintained",IF(X551="Partially accepted","Partially maintained",IF(X551="Accepted","Reversed",IF(X551="Withdrawn by hospital","Withdrawn by hospital",""))))</f>
        <v/>
      </c>
      <c r="AJ551" s="28" t="str">
        <f aca="false">IF(AI551="","",W551)</f>
        <v/>
      </c>
      <c r="AK551" s="29" t="str">
        <f aca="false">IF(AND(ISNUMBER(T551),ISNUMBER(W551)),W551-T551,"")</f>
        <v/>
      </c>
      <c r="AL551" s="29" t="str">
        <f aca="false">IF(A551="","",SUMIF(Actions!$C$5:$C$1004,A551,Actions!$F$5:$F$1004))</f>
        <v/>
      </c>
      <c r="AM551" s="25"/>
    </row>
    <row r="552" customFormat="false" ht="15" hidden="false" customHeight="false" outlineLevel="0" collapsed="false">
      <c r="A552" s="23"/>
      <c r="B552" s="23"/>
      <c r="C552" s="23"/>
      <c r="D552" s="23"/>
      <c r="E552" s="23"/>
      <c r="F552" s="23"/>
      <c r="G552" s="23"/>
      <c r="H552" s="23"/>
      <c r="I552" s="23"/>
      <c r="J552" s="23"/>
      <c r="K552" s="24"/>
      <c r="L552" s="23"/>
      <c r="M552" s="25"/>
      <c r="N552" s="25"/>
      <c r="O552" s="23"/>
      <c r="P552" s="26"/>
      <c r="Q552" s="26"/>
      <c r="R552" s="27" t="str">
        <f aca="false">IF(AND(ISNUMBER(P552),ISNUMBER(Q552)),P552-Q552,"")</f>
        <v/>
      </c>
      <c r="S552" s="24"/>
      <c r="T552" s="28" t="str">
        <f aca="false">IF(S552&lt;&gt;"",S552,IF(B552="","",IFERROR(IF(INDEX(Batches!$G$5:$G$64,MATCH(B552,Batches!$A$5:$A$64,0))="","",INDEX(Batches!$G$5:$G$64,MATCH(B552,Batches!$A$5:$A$64,0))),"")))</f>
        <v/>
      </c>
      <c r="U552" s="23"/>
      <c r="V552" s="24"/>
      <c r="W552" s="28" t="str">
        <f aca="false">IF(OR(X552="",X552="Pending"),"",IF(V552&lt;&gt;"",V552,IFERROR(IF(INDEX(Batches!$H$5:$H$64,MATCH(B552,Batches!$A$5:$A$64,0))="","",INDEX(Batches!$H$5:$H$64,MATCH(B552,Batches!$A$5:$A$64,0))),"")))</f>
        <v/>
      </c>
      <c r="X552" s="23"/>
      <c r="Y552" s="23"/>
      <c r="Z552" s="26"/>
      <c r="AA552" s="27" t="str">
        <f aca="false">IF(R552="","",IF(X552="Not accepted",R552,IF(OR(X552="Accepted",X552="Withdrawn by hospital"),IF(X552="Accepted",0,R552),IF(ISNUMBER(Z552),R552-Z552,""))))</f>
        <v/>
      </c>
      <c r="AB552" s="23"/>
      <c r="AC552" s="25"/>
      <c r="AD552" s="23"/>
      <c r="AE552" s="23"/>
      <c r="AF552" s="24"/>
      <c r="AG552" s="23"/>
      <c r="AH552" s="24"/>
      <c r="AI552" s="29" t="str">
        <f aca="false">IF(X552="Not accepted","Maintained",IF(X552="Partially accepted","Partially maintained",IF(X552="Accepted","Reversed",IF(X552="Withdrawn by hospital","Withdrawn by hospital",""))))</f>
        <v/>
      </c>
      <c r="AJ552" s="28" t="str">
        <f aca="false">IF(AI552="","",W552)</f>
        <v/>
      </c>
      <c r="AK552" s="29" t="str">
        <f aca="false">IF(AND(ISNUMBER(T552),ISNUMBER(W552)),W552-T552,"")</f>
        <v/>
      </c>
      <c r="AL552" s="29" t="str">
        <f aca="false">IF(A552="","",SUMIF(Actions!$C$5:$C$1004,A552,Actions!$F$5:$F$1004))</f>
        <v/>
      </c>
      <c r="AM552" s="25"/>
    </row>
    <row r="553" customFormat="false" ht="15" hidden="false" customHeight="false" outlineLevel="0" collapsed="false">
      <c r="A553" s="23"/>
      <c r="B553" s="23"/>
      <c r="C553" s="23"/>
      <c r="D553" s="23"/>
      <c r="E553" s="23"/>
      <c r="F553" s="23"/>
      <c r="G553" s="23"/>
      <c r="H553" s="23"/>
      <c r="I553" s="23"/>
      <c r="J553" s="23"/>
      <c r="K553" s="24"/>
      <c r="L553" s="23"/>
      <c r="M553" s="25"/>
      <c r="N553" s="25"/>
      <c r="O553" s="23"/>
      <c r="P553" s="26"/>
      <c r="Q553" s="26"/>
      <c r="R553" s="27" t="str">
        <f aca="false">IF(AND(ISNUMBER(P553),ISNUMBER(Q553)),P553-Q553,"")</f>
        <v/>
      </c>
      <c r="S553" s="24"/>
      <c r="T553" s="28" t="str">
        <f aca="false">IF(S553&lt;&gt;"",S553,IF(B553="","",IFERROR(IF(INDEX(Batches!$G$5:$G$64,MATCH(B553,Batches!$A$5:$A$64,0))="","",INDEX(Batches!$G$5:$G$64,MATCH(B553,Batches!$A$5:$A$64,0))),"")))</f>
        <v/>
      </c>
      <c r="U553" s="23"/>
      <c r="V553" s="24"/>
      <c r="W553" s="28" t="str">
        <f aca="false">IF(OR(X553="",X553="Pending"),"",IF(V553&lt;&gt;"",V553,IFERROR(IF(INDEX(Batches!$H$5:$H$64,MATCH(B553,Batches!$A$5:$A$64,0))="","",INDEX(Batches!$H$5:$H$64,MATCH(B553,Batches!$A$5:$A$64,0))),"")))</f>
        <v/>
      </c>
      <c r="X553" s="23"/>
      <c r="Y553" s="23"/>
      <c r="Z553" s="26"/>
      <c r="AA553" s="27" t="str">
        <f aca="false">IF(R553="","",IF(X553="Not accepted",R553,IF(OR(X553="Accepted",X553="Withdrawn by hospital"),IF(X553="Accepted",0,R553),IF(ISNUMBER(Z553),R553-Z553,""))))</f>
        <v/>
      </c>
      <c r="AB553" s="23"/>
      <c r="AC553" s="25"/>
      <c r="AD553" s="23"/>
      <c r="AE553" s="23"/>
      <c r="AF553" s="24"/>
      <c r="AG553" s="23"/>
      <c r="AH553" s="24"/>
      <c r="AI553" s="29" t="str">
        <f aca="false">IF(X553="Not accepted","Maintained",IF(X553="Partially accepted","Partially maintained",IF(X553="Accepted","Reversed",IF(X553="Withdrawn by hospital","Withdrawn by hospital",""))))</f>
        <v/>
      </c>
      <c r="AJ553" s="28" t="str">
        <f aca="false">IF(AI553="","",W553)</f>
        <v/>
      </c>
      <c r="AK553" s="29" t="str">
        <f aca="false">IF(AND(ISNUMBER(T553),ISNUMBER(W553)),W553-T553,"")</f>
        <v/>
      </c>
      <c r="AL553" s="29" t="str">
        <f aca="false">IF(A553="","",SUMIF(Actions!$C$5:$C$1004,A553,Actions!$F$5:$F$1004))</f>
        <v/>
      </c>
      <c r="AM553" s="25"/>
    </row>
    <row r="554" customFormat="false" ht="15" hidden="false" customHeight="false" outlineLevel="0" collapsed="false">
      <c r="A554" s="23"/>
      <c r="B554" s="23"/>
      <c r="C554" s="23"/>
      <c r="D554" s="23"/>
      <c r="E554" s="23"/>
      <c r="F554" s="23"/>
      <c r="G554" s="23"/>
      <c r="H554" s="23"/>
      <c r="I554" s="23"/>
      <c r="J554" s="23"/>
      <c r="K554" s="24"/>
      <c r="L554" s="23"/>
      <c r="M554" s="25"/>
      <c r="N554" s="25"/>
      <c r="O554" s="23"/>
      <c r="P554" s="26"/>
      <c r="Q554" s="26"/>
      <c r="R554" s="27" t="str">
        <f aca="false">IF(AND(ISNUMBER(P554),ISNUMBER(Q554)),P554-Q554,"")</f>
        <v/>
      </c>
      <c r="S554" s="24"/>
      <c r="T554" s="28" t="str">
        <f aca="false">IF(S554&lt;&gt;"",S554,IF(B554="","",IFERROR(IF(INDEX(Batches!$G$5:$G$64,MATCH(B554,Batches!$A$5:$A$64,0))="","",INDEX(Batches!$G$5:$G$64,MATCH(B554,Batches!$A$5:$A$64,0))),"")))</f>
        <v/>
      </c>
      <c r="U554" s="23"/>
      <c r="V554" s="24"/>
      <c r="W554" s="28" t="str">
        <f aca="false">IF(OR(X554="",X554="Pending"),"",IF(V554&lt;&gt;"",V554,IFERROR(IF(INDEX(Batches!$H$5:$H$64,MATCH(B554,Batches!$A$5:$A$64,0))="","",INDEX(Batches!$H$5:$H$64,MATCH(B554,Batches!$A$5:$A$64,0))),"")))</f>
        <v/>
      </c>
      <c r="X554" s="23"/>
      <c r="Y554" s="23"/>
      <c r="Z554" s="26"/>
      <c r="AA554" s="27" t="str">
        <f aca="false">IF(R554="","",IF(X554="Not accepted",R554,IF(OR(X554="Accepted",X554="Withdrawn by hospital"),IF(X554="Accepted",0,R554),IF(ISNUMBER(Z554),R554-Z554,""))))</f>
        <v/>
      </c>
      <c r="AB554" s="23"/>
      <c r="AC554" s="25"/>
      <c r="AD554" s="23"/>
      <c r="AE554" s="23"/>
      <c r="AF554" s="24"/>
      <c r="AG554" s="23"/>
      <c r="AH554" s="24"/>
      <c r="AI554" s="29" t="str">
        <f aca="false">IF(X554="Not accepted","Maintained",IF(X554="Partially accepted","Partially maintained",IF(X554="Accepted","Reversed",IF(X554="Withdrawn by hospital","Withdrawn by hospital",""))))</f>
        <v/>
      </c>
      <c r="AJ554" s="28" t="str">
        <f aca="false">IF(AI554="","",W554)</f>
        <v/>
      </c>
      <c r="AK554" s="29" t="str">
        <f aca="false">IF(AND(ISNUMBER(T554),ISNUMBER(W554)),W554-T554,"")</f>
        <v/>
      </c>
      <c r="AL554" s="29" t="str">
        <f aca="false">IF(A554="","",SUMIF(Actions!$C$5:$C$1004,A554,Actions!$F$5:$F$1004))</f>
        <v/>
      </c>
      <c r="AM554" s="25"/>
    </row>
    <row r="555" customFormat="false" ht="15" hidden="false" customHeight="false" outlineLevel="0" collapsed="false">
      <c r="A555" s="23"/>
      <c r="B555" s="23"/>
      <c r="C555" s="23"/>
      <c r="D555" s="23"/>
      <c r="E555" s="23"/>
      <c r="F555" s="23"/>
      <c r="G555" s="23"/>
      <c r="H555" s="23"/>
      <c r="I555" s="23"/>
      <c r="J555" s="23"/>
      <c r="K555" s="24"/>
      <c r="L555" s="23"/>
      <c r="M555" s="25"/>
      <c r="N555" s="25"/>
      <c r="O555" s="23"/>
      <c r="P555" s="26"/>
      <c r="Q555" s="26"/>
      <c r="R555" s="27" t="str">
        <f aca="false">IF(AND(ISNUMBER(P555),ISNUMBER(Q555)),P555-Q555,"")</f>
        <v/>
      </c>
      <c r="S555" s="24"/>
      <c r="T555" s="28" t="str">
        <f aca="false">IF(S555&lt;&gt;"",S555,IF(B555="","",IFERROR(IF(INDEX(Batches!$G$5:$G$64,MATCH(B555,Batches!$A$5:$A$64,0))="","",INDEX(Batches!$G$5:$G$64,MATCH(B555,Batches!$A$5:$A$64,0))),"")))</f>
        <v/>
      </c>
      <c r="U555" s="23"/>
      <c r="V555" s="24"/>
      <c r="W555" s="28" t="str">
        <f aca="false">IF(OR(X555="",X555="Pending"),"",IF(V555&lt;&gt;"",V555,IFERROR(IF(INDEX(Batches!$H$5:$H$64,MATCH(B555,Batches!$A$5:$A$64,0))="","",INDEX(Batches!$H$5:$H$64,MATCH(B555,Batches!$A$5:$A$64,0))),"")))</f>
        <v/>
      </c>
      <c r="X555" s="23"/>
      <c r="Y555" s="23"/>
      <c r="Z555" s="26"/>
      <c r="AA555" s="27" t="str">
        <f aca="false">IF(R555="","",IF(X555="Not accepted",R555,IF(OR(X555="Accepted",X555="Withdrawn by hospital"),IF(X555="Accepted",0,R555),IF(ISNUMBER(Z555),R555-Z555,""))))</f>
        <v/>
      </c>
      <c r="AB555" s="23"/>
      <c r="AC555" s="25"/>
      <c r="AD555" s="23"/>
      <c r="AE555" s="23"/>
      <c r="AF555" s="24"/>
      <c r="AG555" s="23"/>
      <c r="AH555" s="24"/>
      <c r="AI555" s="29" t="str">
        <f aca="false">IF(X555="Not accepted","Maintained",IF(X555="Partially accepted","Partially maintained",IF(X555="Accepted","Reversed",IF(X555="Withdrawn by hospital","Withdrawn by hospital",""))))</f>
        <v/>
      </c>
      <c r="AJ555" s="28" t="str">
        <f aca="false">IF(AI555="","",W555)</f>
        <v/>
      </c>
      <c r="AK555" s="29" t="str">
        <f aca="false">IF(AND(ISNUMBER(T555),ISNUMBER(W555)),W555-T555,"")</f>
        <v/>
      </c>
      <c r="AL555" s="29" t="str">
        <f aca="false">IF(A555="","",SUMIF(Actions!$C$5:$C$1004,A555,Actions!$F$5:$F$1004))</f>
        <v/>
      </c>
      <c r="AM555" s="25"/>
    </row>
    <row r="556" customFormat="false" ht="15" hidden="false" customHeight="false" outlineLevel="0" collapsed="false">
      <c r="A556" s="23"/>
      <c r="B556" s="23"/>
      <c r="C556" s="23"/>
      <c r="D556" s="23"/>
      <c r="E556" s="23"/>
      <c r="F556" s="23"/>
      <c r="G556" s="23"/>
      <c r="H556" s="23"/>
      <c r="I556" s="23"/>
      <c r="J556" s="23"/>
      <c r="K556" s="24"/>
      <c r="L556" s="23"/>
      <c r="M556" s="25"/>
      <c r="N556" s="25"/>
      <c r="O556" s="23"/>
      <c r="P556" s="26"/>
      <c r="Q556" s="26"/>
      <c r="R556" s="27" t="str">
        <f aca="false">IF(AND(ISNUMBER(P556),ISNUMBER(Q556)),P556-Q556,"")</f>
        <v/>
      </c>
      <c r="S556" s="24"/>
      <c r="T556" s="28" t="str">
        <f aca="false">IF(S556&lt;&gt;"",S556,IF(B556="","",IFERROR(IF(INDEX(Batches!$G$5:$G$64,MATCH(B556,Batches!$A$5:$A$64,0))="","",INDEX(Batches!$G$5:$G$64,MATCH(B556,Batches!$A$5:$A$64,0))),"")))</f>
        <v/>
      </c>
      <c r="U556" s="23"/>
      <c r="V556" s="24"/>
      <c r="W556" s="28" t="str">
        <f aca="false">IF(OR(X556="",X556="Pending"),"",IF(V556&lt;&gt;"",V556,IFERROR(IF(INDEX(Batches!$H$5:$H$64,MATCH(B556,Batches!$A$5:$A$64,0))="","",INDEX(Batches!$H$5:$H$64,MATCH(B556,Batches!$A$5:$A$64,0))),"")))</f>
        <v/>
      </c>
      <c r="X556" s="23"/>
      <c r="Y556" s="23"/>
      <c r="Z556" s="26"/>
      <c r="AA556" s="27" t="str">
        <f aca="false">IF(R556="","",IF(X556="Not accepted",R556,IF(OR(X556="Accepted",X556="Withdrawn by hospital"),IF(X556="Accepted",0,R556),IF(ISNUMBER(Z556),R556-Z556,""))))</f>
        <v/>
      </c>
      <c r="AB556" s="23"/>
      <c r="AC556" s="25"/>
      <c r="AD556" s="23"/>
      <c r="AE556" s="23"/>
      <c r="AF556" s="24"/>
      <c r="AG556" s="23"/>
      <c r="AH556" s="24"/>
      <c r="AI556" s="29" t="str">
        <f aca="false">IF(X556="Not accepted","Maintained",IF(X556="Partially accepted","Partially maintained",IF(X556="Accepted","Reversed",IF(X556="Withdrawn by hospital","Withdrawn by hospital",""))))</f>
        <v/>
      </c>
      <c r="AJ556" s="28" t="str">
        <f aca="false">IF(AI556="","",W556)</f>
        <v/>
      </c>
      <c r="AK556" s="29" t="str">
        <f aca="false">IF(AND(ISNUMBER(T556),ISNUMBER(W556)),W556-T556,"")</f>
        <v/>
      </c>
      <c r="AL556" s="29" t="str">
        <f aca="false">IF(A556="","",SUMIF(Actions!$C$5:$C$1004,A556,Actions!$F$5:$F$1004))</f>
        <v/>
      </c>
      <c r="AM556" s="25"/>
    </row>
    <row r="557" customFormat="false" ht="15" hidden="false" customHeight="false" outlineLevel="0" collapsed="false">
      <c r="A557" s="23"/>
      <c r="B557" s="23"/>
      <c r="C557" s="23"/>
      <c r="D557" s="23"/>
      <c r="E557" s="23"/>
      <c r="F557" s="23"/>
      <c r="G557" s="23"/>
      <c r="H557" s="23"/>
      <c r="I557" s="23"/>
      <c r="J557" s="23"/>
      <c r="K557" s="24"/>
      <c r="L557" s="23"/>
      <c r="M557" s="25"/>
      <c r="N557" s="25"/>
      <c r="O557" s="23"/>
      <c r="P557" s="26"/>
      <c r="Q557" s="26"/>
      <c r="R557" s="27" t="str">
        <f aca="false">IF(AND(ISNUMBER(P557),ISNUMBER(Q557)),P557-Q557,"")</f>
        <v/>
      </c>
      <c r="S557" s="24"/>
      <c r="T557" s="28" t="str">
        <f aca="false">IF(S557&lt;&gt;"",S557,IF(B557="","",IFERROR(IF(INDEX(Batches!$G$5:$G$64,MATCH(B557,Batches!$A$5:$A$64,0))="","",INDEX(Batches!$G$5:$G$64,MATCH(B557,Batches!$A$5:$A$64,0))),"")))</f>
        <v/>
      </c>
      <c r="U557" s="23"/>
      <c r="V557" s="24"/>
      <c r="W557" s="28" t="str">
        <f aca="false">IF(OR(X557="",X557="Pending"),"",IF(V557&lt;&gt;"",V557,IFERROR(IF(INDEX(Batches!$H$5:$H$64,MATCH(B557,Batches!$A$5:$A$64,0))="","",INDEX(Batches!$H$5:$H$64,MATCH(B557,Batches!$A$5:$A$64,0))),"")))</f>
        <v/>
      </c>
      <c r="X557" s="23"/>
      <c r="Y557" s="23"/>
      <c r="Z557" s="26"/>
      <c r="AA557" s="27" t="str">
        <f aca="false">IF(R557="","",IF(X557="Not accepted",R557,IF(OR(X557="Accepted",X557="Withdrawn by hospital"),IF(X557="Accepted",0,R557),IF(ISNUMBER(Z557),R557-Z557,""))))</f>
        <v/>
      </c>
      <c r="AB557" s="23"/>
      <c r="AC557" s="25"/>
      <c r="AD557" s="23"/>
      <c r="AE557" s="23"/>
      <c r="AF557" s="24"/>
      <c r="AG557" s="23"/>
      <c r="AH557" s="24"/>
      <c r="AI557" s="29" t="str">
        <f aca="false">IF(X557="Not accepted","Maintained",IF(X557="Partially accepted","Partially maintained",IF(X557="Accepted","Reversed",IF(X557="Withdrawn by hospital","Withdrawn by hospital",""))))</f>
        <v/>
      </c>
      <c r="AJ557" s="28" t="str">
        <f aca="false">IF(AI557="","",W557)</f>
        <v/>
      </c>
      <c r="AK557" s="29" t="str">
        <f aca="false">IF(AND(ISNUMBER(T557),ISNUMBER(W557)),W557-T557,"")</f>
        <v/>
      </c>
      <c r="AL557" s="29" t="str">
        <f aca="false">IF(A557="","",SUMIF(Actions!$C$5:$C$1004,A557,Actions!$F$5:$F$1004))</f>
        <v/>
      </c>
      <c r="AM557" s="25"/>
    </row>
    <row r="558" customFormat="false" ht="15" hidden="false" customHeight="false" outlineLevel="0" collapsed="false">
      <c r="A558" s="23"/>
      <c r="B558" s="23"/>
      <c r="C558" s="23"/>
      <c r="D558" s="23"/>
      <c r="E558" s="23"/>
      <c r="F558" s="23"/>
      <c r="G558" s="23"/>
      <c r="H558" s="23"/>
      <c r="I558" s="23"/>
      <c r="J558" s="23"/>
      <c r="K558" s="24"/>
      <c r="L558" s="23"/>
      <c r="M558" s="25"/>
      <c r="N558" s="25"/>
      <c r="O558" s="23"/>
      <c r="P558" s="26"/>
      <c r="Q558" s="26"/>
      <c r="R558" s="27" t="str">
        <f aca="false">IF(AND(ISNUMBER(P558),ISNUMBER(Q558)),P558-Q558,"")</f>
        <v/>
      </c>
      <c r="S558" s="24"/>
      <c r="T558" s="28" t="str">
        <f aca="false">IF(S558&lt;&gt;"",S558,IF(B558="","",IFERROR(IF(INDEX(Batches!$G$5:$G$64,MATCH(B558,Batches!$A$5:$A$64,0))="","",INDEX(Batches!$G$5:$G$64,MATCH(B558,Batches!$A$5:$A$64,0))),"")))</f>
        <v/>
      </c>
      <c r="U558" s="23"/>
      <c r="V558" s="24"/>
      <c r="W558" s="28" t="str">
        <f aca="false">IF(OR(X558="",X558="Pending"),"",IF(V558&lt;&gt;"",V558,IFERROR(IF(INDEX(Batches!$H$5:$H$64,MATCH(B558,Batches!$A$5:$A$64,0))="","",INDEX(Batches!$H$5:$H$64,MATCH(B558,Batches!$A$5:$A$64,0))),"")))</f>
        <v/>
      </c>
      <c r="X558" s="23"/>
      <c r="Y558" s="23"/>
      <c r="Z558" s="26"/>
      <c r="AA558" s="27" t="str">
        <f aca="false">IF(R558="","",IF(X558="Not accepted",R558,IF(OR(X558="Accepted",X558="Withdrawn by hospital"),IF(X558="Accepted",0,R558),IF(ISNUMBER(Z558),R558-Z558,""))))</f>
        <v/>
      </c>
      <c r="AB558" s="23"/>
      <c r="AC558" s="25"/>
      <c r="AD558" s="23"/>
      <c r="AE558" s="23"/>
      <c r="AF558" s="24"/>
      <c r="AG558" s="23"/>
      <c r="AH558" s="24"/>
      <c r="AI558" s="29" t="str">
        <f aca="false">IF(X558="Not accepted","Maintained",IF(X558="Partially accepted","Partially maintained",IF(X558="Accepted","Reversed",IF(X558="Withdrawn by hospital","Withdrawn by hospital",""))))</f>
        <v/>
      </c>
      <c r="AJ558" s="28" t="str">
        <f aca="false">IF(AI558="","",W558)</f>
        <v/>
      </c>
      <c r="AK558" s="29" t="str">
        <f aca="false">IF(AND(ISNUMBER(T558),ISNUMBER(W558)),W558-T558,"")</f>
        <v/>
      </c>
      <c r="AL558" s="29" t="str">
        <f aca="false">IF(A558="","",SUMIF(Actions!$C$5:$C$1004,A558,Actions!$F$5:$F$1004))</f>
        <v/>
      </c>
      <c r="AM558" s="25"/>
    </row>
    <row r="559" customFormat="false" ht="15" hidden="false" customHeight="false" outlineLevel="0" collapsed="false">
      <c r="A559" s="23"/>
      <c r="B559" s="23"/>
      <c r="C559" s="23"/>
      <c r="D559" s="23"/>
      <c r="E559" s="23"/>
      <c r="F559" s="23"/>
      <c r="G559" s="23"/>
      <c r="H559" s="23"/>
      <c r="I559" s="23"/>
      <c r="J559" s="23"/>
      <c r="K559" s="24"/>
      <c r="L559" s="23"/>
      <c r="M559" s="25"/>
      <c r="N559" s="25"/>
      <c r="O559" s="23"/>
      <c r="P559" s="26"/>
      <c r="Q559" s="26"/>
      <c r="R559" s="27" t="str">
        <f aca="false">IF(AND(ISNUMBER(P559),ISNUMBER(Q559)),P559-Q559,"")</f>
        <v/>
      </c>
      <c r="S559" s="24"/>
      <c r="T559" s="28" t="str">
        <f aca="false">IF(S559&lt;&gt;"",S559,IF(B559="","",IFERROR(IF(INDEX(Batches!$G$5:$G$64,MATCH(B559,Batches!$A$5:$A$64,0))="","",INDEX(Batches!$G$5:$G$64,MATCH(B559,Batches!$A$5:$A$64,0))),"")))</f>
        <v/>
      </c>
      <c r="U559" s="23"/>
      <c r="V559" s="24"/>
      <c r="W559" s="28" t="str">
        <f aca="false">IF(OR(X559="",X559="Pending"),"",IF(V559&lt;&gt;"",V559,IFERROR(IF(INDEX(Batches!$H$5:$H$64,MATCH(B559,Batches!$A$5:$A$64,0))="","",INDEX(Batches!$H$5:$H$64,MATCH(B559,Batches!$A$5:$A$64,0))),"")))</f>
        <v/>
      </c>
      <c r="X559" s="23"/>
      <c r="Y559" s="23"/>
      <c r="Z559" s="26"/>
      <c r="AA559" s="27" t="str">
        <f aca="false">IF(R559="","",IF(X559="Not accepted",R559,IF(OR(X559="Accepted",X559="Withdrawn by hospital"),IF(X559="Accepted",0,R559),IF(ISNUMBER(Z559),R559-Z559,""))))</f>
        <v/>
      </c>
      <c r="AB559" s="23"/>
      <c r="AC559" s="25"/>
      <c r="AD559" s="23"/>
      <c r="AE559" s="23"/>
      <c r="AF559" s="24"/>
      <c r="AG559" s="23"/>
      <c r="AH559" s="24"/>
      <c r="AI559" s="29" t="str">
        <f aca="false">IF(X559="Not accepted","Maintained",IF(X559="Partially accepted","Partially maintained",IF(X559="Accepted","Reversed",IF(X559="Withdrawn by hospital","Withdrawn by hospital",""))))</f>
        <v/>
      </c>
      <c r="AJ559" s="28" t="str">
        <f aca="false">IF(AI559="","",W559)</f>
        <v/>
      </c>
      <c r="AK559" s="29" t="str">
        <f aca="false">IF(AND(ISNUMBER(T559),ISNUMBER(W559)),W559-T559,"")</f>
        <v/>
      </c>
      <c r="AL559" s="29" t="str">
        <f aca="false">IF(A559="","",SUMIF(Actions!$C$5:$C$1004,A559,Actions!$F$5:$F$1004))</f>
        <v/>
      </c>
      <c r="AM559" s="25"/>
    </row>
    <row r="560" customFormat="false" ht="15" hidden="false" customHeight="false" outlineLevel="0" collapsed="false">
      <c r="A560" s="23"/>
      <c r="B560" s="23"/>
      <c r="C560" s="23"/>
      <c r="D560" s="23"/>
      <c r="E560" s="23"/>
      <c r="F560" s="23"/>
      <c r="G560" s="23"/>
      <c r="H560" s="23"/>
      <c r="I560" s="23"/>
      <c r="J560" s="23"/>
      <c r="K560" s="24"/>
      <c r="L560" s="23"/>
      <c r="M560" s="25"/>
      <c r="N560" s="25"/>
      <c r="O560" s="23"/>
      <c r="P560" s="26"/>
      <c r="Q560" s="26"/>
      <c r="R560" s="27" t="str">
        <f aca="false">IF(AND(ISNUMBER(P560),ISNUMBER(Q560)),P560-Q560,"")</f>
        <v/>
      </c>
      <c r="S560" s="24"/>
      <c r="T560" s="28" t="str">
        <f aca="false">IF(S560&lt;&gt;"",S560,IF(B560="","",IFERROR(IF(INDEX(Batches!$G$5:$G$64,MATCH(B560,Batches!$A$5:$A$64,0))="","",INDEX(Batches!$G$5:$G$64,MATCH(B560,Batches!$A$5:$A$64,0))),"")))</f>
        <v/>
      </c>
      <c r="U560" s="23"/>
      <c r="V560" s="24"/>
      <c r="W560" s="28" t="str">
        <f aca="false">IF(OR(X560="",X560="Pending"),"",IF(V560&lt;&gt;"",V560,IFERROR(IF(INDEX(Batches!$H$5:$H$64,MATCH(B560,Batches!$A$5:$A$64,0))="","",INDEX(Batches!$H$5:$H$64,MATCH(B560,Batches!$A$5:$A$64,0))),"")))</f>
        <v/>
      </c>
      <c r="X560" s="23"/>
      <c r="Y560" s="23"/>
      <c r="Z560" s="26"/>
      <c r="AA560" s="27" t="str">
        <f aca="false">IF(R560="","",IF(X560="Not accepted",R560,IF(OR(X560="Accepted",X560="Withdrawn by hospital"),IF(X560="Accepted",0,R560),IF(ISNUMBER(Z560),R560-Z560,""))))</f>
        <v/>
      </c>
      <c r="AB560" s="23"/>
      <c r="AC560" s="25"/>
      <c r="AD560" s="23"/>
      <c r="AE560" s="23"/>
      <c r="AF560" s="24"/>
      <c r="AG560" s="23"/>
      <c r="AH560" s="24"/>
      <c r="AI560" s="29" t="str">
        <f aca="false">IF(X560="Not accepted","Maintained",IF(X560="Partially accepted","Partially maintained",IF(X560="Accepted","Reversed",IF(X560="Withdrawn by hospital","Withdrawn by hospital",""))))</f>
        <v/>
      </c>
      <c r="AJ560" s="28" t="str">
        <f aca="false">IF(AI560="","",W560)</f>
        <v/>
      </c>
      <c r="AK560" s="29" t="str">
        <f aca="false">IF(AND(ISNUMBER(T560),ISNUMBER(W560)),W560-T560,"")</f>
        <v/>
      </c>
      <c r="AL560" s="29" t="str">
        <f aca="false">IF(A560="","",SUMIF(Actions!$C$5:$C$1004,A560,Actions!$F$5:$F$1004))</f>
        <v/>
      </c>
      <c r="AM560" s="25"/>
    </row>
    <row r="561" customFormat="false" ht="15" hidden="false" customHeight="false" outlineLevel="0" collapsed="false">
      <c r="A561" s="23"/>
      <c r="B561" s="23"/>
      <c r="C561" s="23"/>
      <c r="D561" s="23"/>
      <c r="E561" s="23"/>
      <c r="F561" s="23"/>
      <c r="G561" s="23"/>
      <c r="H561" s="23"/>
      <c r="I561" s="23"/>
      <c r="J561" s="23"/>
      <c r="K561" s="24"/>
      <c r="L561" s="23"/>
      <c r="M561" s="25"/>
      <c r="N561" s="25"/>
      <c r="O561" s="23"/>
      <c r="P561" s="26"/>
      <c r="Q561" s="26"/>
      <c r="R561" s="27" t="str">
        <f aca="false">IF(AND(ISNUMBER(P561),ISNUMBER(Q561)),P561-Q561,"")</f>
        <v/>
      </c>
      <c r="S561" s="24"/>
      <c r="T561" s="28" t="str">
        <f aca="false">IF(S561&lt;&gt;"",S561,IF(B561="","",IFERROR(IF(INDEX(Batches!$G$5:$G$64,MATCH(B561,Batches!$A$5:$A$64,0))="","",INDEX(Batches!$G$5:$G$64,MATCH(B561,Batches!$A$5:$A$64,0))),"")))</f>
        <v/>
      </c>
      <c r="U561" s="23"/>
      <c r="V561" s="24"/>
      <c r="W561" s="28" t="str">
        <f aca="false">IF(OR(X561="",X561="Pending"),"",IF(V561&lt;&gt;"",V561,IFERROR(IF(INDEX(Batches!$H$5:$H$64,MATCH(B561,Batches!$A$5:$A$64,0))="","",INDEX(Batches!$H$5:$H$64,MATCH(B561,Batches!$A$5:$A$64,0))),"")))</f>
        <v/>
      </c>
      <c r="X561" s="23"/>
      <c r="Y561" s="23"/>
      <c r="Z561" s="26"/>
      <c r="AA561" s="27" t="str">
        <f aca="false">IF(R561="","",IF(X561="Not accepted",R561,IF(OR(X561="Accepted",X561="Withdrawn by hospital"),IF(X561="Accepted",0,R561),IF(ISNUMBER(Z561),R561-Z561,""))))</f>
        <v/>
      </c>
      <c r="AB561" s="23"/>
      <c r="AC561" s="25"/>
      <c r="AD561" s="23"/>
      <c r="AE561" s="23"/>
      <c r="AF561" s="24"/>
      <c r="AG561" s="23"/>
      <c r="AH561" s="24"/>
      <c r="AI561" s="29" t="str">
        <f aca="false">IF(X561="Not accepted","Maintained",IF(X561="Partially accepted","Partially maintained",IF(X561="Accepted","Reversed",IF(X561="Withdrawn by hospital","Withdrawn by hospital",""))))</f>
        <v/>
      </c>
      <c r="AJ561" s="28" t="str">
        <f aca="false">IF(AI561="","",W561)</f>
        <v/>
      </c>
      <c r="AK561" s="29" t="str">
        <f aca="false">IF(AND(ISNUMBER(T561),ISNUMBER(W561)),W561-T561,"")</f>
        <v/>
      </c>
      <c r="AL561" s="29" t="str">
        <f aca="false">IF(A561="","",SUMIF(Actions!$C$5:$C$1004,A561,Actions!$F$5:$F$1004))</f>
        <v/>
      </c>
      <c r="AM561" s="25"/>
    </row>
    <row r="562" customFormat="false" ht="15" hidden="false" customHeight="false" outlineLevel="0" collapsed="false">
      <c r="A562" s="23"/>
      <c r="B562" s="23"/>
      <c r="C562" s="23"/>
      <c r="D562" s="23"/>
      <c r="E562" s="23"/>
      <c r="F562" s="23"/>
      <c r="G562" s="23"/>
      <c r="H562" s="23"/>
      <c r="I562" s="23"/>
      <c r="J562" s="23"/>
      <c r="K562" s="24"/>
      <c r="L562" s="23"/>
      <c r="M562" s="25"/>
      <c r="N562" s="25"/>
      <c r="O562" s="23"/>
      <c r="P562" s="26"/>
      <c r="Q562" s="26"/>
      <c r="R562" s="27" t="str">
        <f aca="false">IF(AND(ISNUMBER(P562),ISNUMBER(Q562)),P562-Q562,"")</f>
        <v/>
      </c>
      <c r="S562" s="24"/>
      <c r="T562" s="28" t="str">
        <f aca="false">IF(S562&lt;&gt;"",S562,IF(B562="","",IFERROR(IF(INDEX(Batches!$G$5:$G$64,MATCH(B562,Batches!$A$5:$A$64,0))="","",INDEX(Batches!$G$5:$G$64,MATCH(B562,Batches!$A$5:$A$64,0))),"")))</f>
        <v/>
      </c>
      <c r="U562" s="23"/>
      <c r="V562" s="24"/>
      <c r="W562" s="28" t="str">
        <f aca="false">IF(OR(X562="",X562="Pending"),"",IF(V562&lt;&gt;"",V562,IFERROR(IF(INDEX(Batches!$H$5:$H$64,MATCH(B562,Batches!$A$5:$A$64,0))="","",INDEX(Batches!$H$5:$H$64,MATCH(B562,Batches!$A$5:$A$64,0))),"")))</f>
        <v/>
      </c>
      <c r="X562" s="23"/>
      <c r="Y562" s="23"/>
      <c r="Z562" s="26"/>
      <c r="AA562" s="27" t="str">
        <f aca="false">IF(R562="","",IF(X562="Not accepted",R562,IF(OR(X562="Accepted",X562="Withdrawn by hospital"),IF(X562="Accepted",0,R562),IF(ISNUMBER(Z562),R562-Z562,""))))</f>
        <v/>
      </c>
      <c r="AB562" s="23"/>
      <c r="AC562" s="25"/>
      <c r="AD562" s="23"/>
      <c r="AE562" s="23"/>
      <c r="AF562" s="24"/>
      <c r="AG562" s="23"/>
      <c r="AH562" s="24"/>
      <c r="AI562" s="29" t="str">
        <f aca="false">IF(X562="Not accepted","Maintained",IF(X562="Partially accepted","Partially maintained",IF(X562="Accepted","Reversed",IF(X562="Withdrawn by hospital","Withdrawn by hospital",""))))</f>
        <v/>
      </c>
      <c r="AJ562" s="28" t="str">
        <f aca="false">IF(AI562="","",W562)</f>
        <v/>
      </c>
      <c r="AK562" s="29" t="str">
        <f aca="false">IF(AND(ISNUMBER(T562),ISNUMBER(W562)),W562-T562,"")</f>
        <v/>
      </c>
      <c r="AL562" s="29" t="str">
        <f aca="false">IF(A562="","",SUMIF(Actions!$C$5:$C$1004,A562,Actions!$F$5:$F$1004))</f>
        <v/>
      </c>
      <c r="AM562" s="25"/>
    </row>
    <row r="563" customFormat="false" ht="15" hidden="false" customHeight="false" outlineLevel="0" collapsed="false">
      <c r="A563" s="23"/>
      <c r="B563" s="23"/>
      <c r="C563" s="23"/>
      <c r="D563" s="23"/>
      <c r="E563" s="23"/>
      <c r="F563" s="23"/>
      <c r="G563" s="23"/>
      <c r="H563" s="23"/>
      <c r="I563" s="23"/>
      <c r="J563" s="23"/>
      <c r="K563" s="24"/>
      <c r="L563" s="23"/>
      <c r="M563" s="25"/>
      <c r="N563" s="25"/>
      <c r="O563" s="23"/>
      <c r="P563" s="26"/>
      <c r="Q563" s="26"/>
      <c r="R563" s="27" t="str">
        <f aca="false">IF(AND(ISNUMBER(P563),ISNUMBER(Q563)),P563-Q563,"")</f>
        <v/>
      </c>
      <c r="S563" s="24"/>
      <c r="T563" s="28" t="str">
        <f aca="false">IF(S563&lt;&gt;"",S563,IF(B563="","",IFERROR(IF(INDEX(Batches!$G$5:$G$64,MATCH(B563,Batches!$A$5:$A$64,0))="","",INDEX(Batches!$G$5:$G$64,MATCH(B563,Batches!$A$5:$A$64,0))),"")))</f>
        <v/>
      </c>
      <c r="U563" s="23"/>
      <c r="V563" s="24"/>
      <c r="W563" s="28" t="str">
        <f aca="false">IF(OR(X563="",X563="Pending"),"",IF(V563&lt;&gt;"",V563,IFERROR(IF(INDEX(Batches!$H$5:$H$64,MATCH(B563,Batches!$A$5:$A$64,0))="","",INDEX(Batches!$H$5:$H$64,MATCH(B563,Batches!$A$5:$A$64,0))),"")))</f>
        <v/>
      </c>
      <c r="X563" s="23"/>
      <c r="Y563" s="23"/>
      <c r="Z563" s="26"/>
      <c r="AA563" s="27" t="str">
        <f aca="false">IF(R563="","",IF(X563="Not accepted",R563,IF(OR(X563="Accepted",X563="Withdrawn by hospital"),IF(X563="Accepted",0,R563),IF(ISNUMBER(Z563),R563-Z563,""))))</f>
        <v/>
      </c>
      <c r="AB563" s="23"/>
      <c r="AC563" s="25"/>
      <c r="AD563" s="23"/>
      <c r="AE563" s="23"/>
      <c r="AF563" s="24"/>
      <c r="AG563" s="23"/>
      <c r="AH563" s="24"/>
      <c r="AI563" s="29" t="str">
        <f aca="false">IF(X563="Not accepted","Maintained",IF(X563="Partially accepted","Partially maintained",IF(X563="Accepted","Reversed",IF(X563="Withdrawn by hospital","Withdrawn by hospital",""))))</f>
        <v/>
      </c>
      <c r="AJ563" s="28" t="str">
        <f aca="false">IF(AI563="","",W563)</f>
        <v/>
      </c>
      <c r="AK563" s="29" t="str">
        <f aca="false">IF(AND(ISNUMBER(T563),ISNUMBER(W563)),W563-T563,"")</f>
        <v/>
      </c>
      <c r="AL563" s="29" t="str">
        <f aca="false">IF(A563="","",SUMIF(Actions!$C$5:$C$1004,A563,Actions!$F$5:$F$1004))</f>
        <v/>
      </c>
      <c r="AM563" s="25"/>
    </row>
    <row r="564" customFormat="false" ht="15" hidden="false" customHeight="false" outlineLevel="0" collapsed="false">
      <c r="A564" s="23"/>
      <c r="B564" s="23"/>
      <c r="C564" s="23"/>
      <c r="D564" s="23"/>
      <c r="E564" s="23"/>
      <c r="F564" s="23"/>
      <c r="G564" s="23"/>
      <c r="H564" s="23"/>
      <c r="I564" s="23"/>
      <c r="J564" s="23"/>
      <c r="K564" s="24"/>
      <c r="L564" s="23"/>
      <c r="M564" s="25"/>
      <c r="N564" s="25"/>
      <c r="O564" s="23"/>
      <c r="P564" s="26"/>
      <c r="Q564" s="26"/>
      <c r="R564" s="27" t="str">
        <f aca="false">IF(AND(ISNUMBER(P564),ISNUMBER(Q564)),P564-Q564,"")</f>
        <v/>
      </c>
      <c r="S564" s="24"/>
      <c r="T564" s="28" t="str">
        <f aca="false">IF(S564&lt;&gt;"",S564,IF(B564="","",IFERROR(IF(INDEX(Batches!$G$5:$G$64,MATCH(B564,Batches!$A$5:$A$64,0))="","",INDEX(Batches!$G$5:$G$64,MATCH(B564,Batches!$A$5:$A$64,0))),"")))</f>
        <v/>
      </c>
      <c r="U564" s="23"/>
      <c r="V564" s="24"/>
      <c r="W564" s="28" t="str">
        <f aca="false">IF(OR(X564="",X564="Pending"),"",IF(V564&lt;&gt;"",V564,IFERROR(IF(INDEX(Batches!$H$5:$H$64,MATCH(B564,Batches!$A$5:$A$64,0))="","",INDEX(Batches!$H$5:$H$64,MATCH(B564,Batches!$A$5:$A$64,0))),"")))</f>
        <v/>
      </c>
      <c r="X564" s="23"/>
      <c r="Y564" s="23"/>
      <c r="Z564" s="26"/>
      <c r="AA564" s="27" t="str">
        <f aca="false">IF(R564="","",IF(X564="Not accepted",R564,IF(OR(X564="Accepted",X564="Withdrawn by hospital"),IF(X564="Accepted",0,R564),IF(ISNUMBER(Z564),R564-Z564,""))))</f>
        <v/>
      </c>
      <c r="AB564" s="23"/>
      <c r="AC564" s="25"/>
      <c r="AD564" s="23"/>
      <c r="AE564" s="23"/>
      <c r="AF564" s="24"/>
      <c r="AG564" s="23"/>
      <c r="AH564" s="24"/>
      <c r="AI564" s="29" t="str">
        <f aca="false">IF(X564="Not accepted","Maintained",IF(X564="Partially accepted","Partially maintained",IF(X564="Accepted","Reversed",IF(X564="Withdrawn by hospital","Withdrawn by hospital",""))))</f>
        <v/>
      </c>
      <c r="AJ564" s="28" t="str">
        <f aca="false">IF(AI564="","",W564)</f>
        <v/>
      </c>
      <c r="AK564" s="29" t="str">
        <f aca="false">IF(AND(ISNUMBER(T564),ISNUMBER(W564)),W564-T564,"")</f>
        <v/>
      </c>
      <c r="AL564" s="29" t="str">
        <f aca="false">IF(A564="","",SUMIF(Actions!$C$5:$C$1004,A564,Actions!$F$5:$F$1004))</f>
        <v/>
      </c>
      <c r="AM564" s="25"/>
    </row>
    <row r="565" customFormat="false" ht="15" hidden="false" customHeight="false" outlineLevel="0" collapsed="false">
      <c r="A565" s="23"/>
      <c r="B565" s="23"/>
      <c r="C565" s="23"/>
      <c r="D565" s="23"/>
      <c r="E565" s="23"/>
      <c r="F565" s="23"/>
      <c r="G565" s="23"/>
      <c r="H565" s="23"/>
      <c r="I565" s="23"/>
      <c r="J565" s="23"/>
      <c r="K565" s="24"/>
      <c r="L565" s="23"/>
      <c r="M565" s="25"/>
      <c r="N565" s="25"/>
      <c r="O565" s="23"/>
      <c r="P565" s="26"/>
      <c r="Q565" s="26"/>
      <c r="R565" s="27" t="str">
        <f aca="false">IF(AND(ISNUMBER(P565),ISNUMBER(Q565)),P565-Q565,"")</f>
        <v/>
      </c>
      <c r="S565" s="24"/>
      <c r="T565" s="28" t="str">
        <f aca="false">IF(S565&lt;&gt;"",S565,IF(B565="","",IFERROR(IF(INDEX(Batches!$G$5:$G$64,MATCH(B565,Batches!$A$5:$A$64,0))="","",INDEX(Batches!$G$5:$G$64,MATCH(B565,Batches!$A$5:$A$64,0))),"")))</f>
        <v/>
      </c>
      <c r="U565" s="23"/>
      <c r="V565" s="24"/>
      <c r="W565" s="28" t="str">
        <f aca="false">IF(OR(X565="",X565="Pending"),"",IF(V565&lt;&gt;"",V565,IFERROR(IF(INDEX(Batches!$H$5:$H$64,MATCH(B565,Batches!$A$5:$A$64,0))="","",INDEX(Batches!$H$5:$H$64,MATCH(B565,Batches!$A$5:$A$64,0))),"")))</f>
        <v/>
      </c>
      <c r="X565" s="23"/>
      <c r="Y565" s="23"/>
      <c r="Z565" s="26"/>
      <c r="AA565" s="27" t="str">
        <f aca="false">IF(R565="","",IF(X565="Not accepted",R565,IF(OR(X565="Accepted",X565="Withdrawn by hospital"),IF(X565="Accepted",0,R565),IF(ISNUMBER(Z565),R565-Z565,""))))</f>
        <v/>
      </c>
      <c r="AB565" s="23"/>
      <c r="AC565" s="25"/>
      <c r="AD565" s="23"/>
      <c r="AE565" s="23"/>
      <c r="AF565" s="24"/>
      <c r="AG565" s="23"/>
      <c r="AH565" s="24"/>
      <c r="AI565" s="29" t="str">
        <f aca="false">IF(X565="Not accepted","Maintained",IF(X565="Partially accepted","Partially maintained",IF(X565="Accepted","Reversed",IF(X565="Withdrawn by hospital","Withdrawn by hospital",""))))</f>
        <v/>
      </c>
      <c r="AJ565" s="28" t="str">
        <f aca="false">IF(AI565="","",W565)</f>
        <v/>
      </c>
      <c r="AK565" s="29" t="str">
        <f aca="false">IF(AND(ISNUMBER(T565),ISNUMBER(W565)),W565-T565,"")</f>
        <v/>
      </c>
      <c r="AL565" s="29" t="str">
        <f aca="false">IF(A565="","",SUMIF(Actions!$C$5:$C$1004,A565,Actions!$F$5:$F$1004))</f>
        <v/>
      </c>
      <c r="AM565" s="25"/>
    </row>
    <row r="566" customFormat="false" ht="15" hidden="false" customHeight="false" outlineLevel="0" collapsed="false">
      <c r="A566" s="23"/>
      <c r="B566" s="23"/>
      <c r="C566" s="23"/>
      <c r="D566" s="23"/>
      <c r="E566" s="23"/>
      <c r="F566" s="23"/>
      <c r="G566" s="23"/>
      <c r="H566" s="23"/>
      <c r="I566" s="23"/>
      <c r="J566" s="23"/>
      <c r="K566" s="24"/>
      <c r="L566" s="23"/>
      <c r="M566" s="25"/>
      <c r="N566" s="25"/>
      <c r="O566" s="23"/>
      <c r="P566" s="26"/>
      <c r="Q566" s="26"/>
      <c r="R566" s="27" t="str">
        <f aca="false">IF(AND(ISNUMBER(P566),ISNUMBER(Q566)),P566-Q566,"")</f>
        <v/>
      </c>
      <c r="S566" s="24"/>
      <c r="T566" s="28" t="str">
        <f aca="false">IF(S566&lt;&gt;"",S566,IF(B566="","",IFERROR(IF(INDEX(Batches!$G$5:$G$64,MATCH(B566,Batches!$A$5:$A$64,0))="","",INDEX(Batches!$G$5:$G$64,MATCH(B566,Batches!$A$5:$A$64,0))),"")))</f>
        <v/>
      </c>
      <c r="U566" s="23"/>
      <c r="V566" s="24"/>
      <c r="W566" s="28" t="str">
        <f aca="false">IF(OR(X566="",X566="Pending"),"",IF(V566&lt;&gt;"",V566,IFERROR(IF(INDEX(Batches!$H$5:$H$64,MATCH(B566,Batches!$A$5:$A$64,0))="","",INDEX(Batches!$H$5:$H$64,MATCH(B566,Batches!$A$5:$A$64,0))),"")))</f>
        <v/>
      </c>
      <c r="X566" s="23"/>
      <c r="Y566" s="23"/>
      <c r="Z566" s="26"/>
      <c r="AA566" s="27" t="str">
        <f aca="false">IF(R566="","",IF(X566="Not accepted",R566,IF(OR(X566="Accepted",X566="Withdrawn by hospital"),IF(X566="Accepted",0,R566),IF(ISNUMBER(Z566),R566-Z566,""))))</f>
        <v/>
      </c>
      <c r="AB566" s="23"/>
      <c r="AC566" s="25"/>
      <c r="AD566" s="23"/>
      <c r="AE566" s="23"/>
      <c r="AF566" s="24"/>
      <c r="AG566" s="23"/>
      <c r="AH566" s="24"/>
      <c r="AI566" s="29" t="str">
        <f aca="false">IF(X566="Not accepted","Maintained",IF(X566="Partially accepted","Partially maintained",IF(X566="Accepted","Reversed",IF(X566="Withdrawn by hospital","Withdrawn by hospital",""))))</f>
        <v/>
      </c>
      <c r="AJ566" s="28" t="str">
        <f aca="false">IF(AI566="","",W566)</f>
        <v/>
      </c>
      <c r="AK566" s="29" t="str">
        <f aca="false">IF(AND(ISNUMBER(T566),ISNUMBER(W566)),W566-T566,"")</f>
        <v/>
      </c>
      <c r="AL566" s="29" t="str">
        <f aca="false">IF(A566="","",SUMIF(Actions!$C$5:$C$1004,A566,Actions!$F$5:$F$1004))</f>
        <v/>
      </c>
      <c r="AM566" s="25"/>
    </row>
    <row r="567" customFormat="false" ht="15" hidden="false" customHeight="false" outlineLevel="0" collapsed="false">
      <c r="A567" s="23"/>
      <c r="B567" s="23"/>
      <c r="C567" s="23"/>
      <c r="D567" s="23"/>
      <c r="E567" s="23"/>
      <c r="F567" s="23"/>
      <c r="G567" s="23"/>
      <c r="H567" s="23"/>
      <c r="I567" s="23"/>
      <c r="J567" s="23"/>
      <c r="K567" s="24"/>
      <c r="L567" s="23"/>
      <c r="M567" s="25"/>
      <c r="N567" s="25"/>
      <c r="O567" s="23"/>
      <c r="P567" s="26"/>
      <c r="Q567" s="26"/>
      <c r="R567" s="27" t="str">
        <f aca="false">IF(AND(ISNUMBER(P567),ISNUMBER(Q567)),P567-Q567,"")</f>
        <v/>
      </c>
      <c r="S567" s="24"/>
      <c r="T567" s="28" t="str">
        <f aca="false">IF(S567&lt;&gt;"",S567,IF(B567="","",IFERROR(IF(INDEX(Batches!$G$5:$G$64,MATCH(B567,Batches!$A$5:$A$64,0))="","",INDEX(Batches!$G$5:$G$64,MATCH(B567,Batches!$A$5:$A$64,0))),"")))</f>
        <v/>
      </c>
      <c r="U567" s="23"/>
      <c r="V567" s="24"/>
      <c r="W567" s="28" t="str">
        <f aca="false">IF(OR(X567="",X567="Pending"),"",IF(V567&lt;&gt;"",V567,IFERROR(IF(INDEX(Batches!$H$5:$H$64,MATCH(B567,Batches!$A$5:$A$64,0))="","",INDEX(Batches!$H$5:$H$64,MATCH(B567,Batches!$A$5:$A$64,0))),"")))</f>
        <v/>
      </c>
      <c r="X567" s="23"/>
      <c r="Y567" s="23"/>
      <c r="Z567" s="26"/>
      <c r="AA567" s="27" t="str">
        <f aca="false">IF(R567="","",IF(X567="Not accepted",R567,IF(OR(X567="Accepted",X567="Withdrawn by hospital"),IF(X567="Accepted",0,R567),IF(ISNUMBER(Z567),R567-Z567,""))))</f>
        <v/>
      </c>
      <c r="AB567" s="23"/>
      <c r="AC567" s="25"/>
      <c r="AD567" s="23"/>
      <c r="AE567" s="23"/>
      <c r="AF567" s="24"/>
      <c r="AG567" s="23"/>
      <c r="AH567" s="24"/>
      <c r="AI567" s="29" t="str">
        <f aca="false">IF(X567="Not accepted","Maintained",IF(X567="Partially accepted","Partially maintained",IF(X567="Accepted","Reversed",IF(X567="Withdrawn by hospital","Withdrawn by hospital",""))))</f>
        <v/>
      </c>
      <c r="AJ567" s="28" t="str">
        <f aca="false">IF(AI567="","",W567)</f>
        <v/>
      </c>
      <c r="AK567" s="29" t="str">
        <f aca="false">IF(AND(ISNUMBER(T567),ISNUMBER(W567)),W567-T567,"")</f>
        <v/>
      </c>
      <c r="AL567" s="29" t="str">
        <f aca="false">IF(A567="","",SUMIF(Actions!$C$5:$C$1004,A567,Actions!$F$5:$F$1004))</f>
        <v/>
      </c>
      <c r="AM567" s="25"/>
    </row>
    <row r="568" customFormat="false" ht="15" hidden="false" customHeight="false" outlineLevel="0" collapsed="false">
      <c r="A568" s="23"/>
      <c r="B568" s="23"/>
      <c r="C568" s="23"/>
      <c r="D568" s="23"/>
      <c r="E568" s="23"/>
      <c r="F568" s="23"/>
      <c r="G568" s="23"/>
      <c r="H568" s="23"/>
      <c r="I568" s="23"/>
      <c r="J568" s="23"/>
      <c r="K568" s="24"/>
      <c r="L568" s="23"/>
      <c r="M568" s="25"/>
      <c r="N568" s="25"/>
      <c r="O568" s="23"/>
      <c r="P568" s="26"/>
      <c r="Q568" s="26"/>
      <c r="R568" s="27" t="str">
        <f aca="false">IF(AND(ISNUMBER(P568),ISNUMBER(Q568)),P568-Q568,"")</f>
        <v/>
      </c>
      <c r="S568" s="24"/>
      <c r="T568" s="28" t="str">
        <f aca="false">IF(S568&lt;&gt;"",S568,IF(B568="","",IFERROR(IF(INDEX(Batches!$G$5:$G$64,MATCH(B568,Batches!$A$5:$A$64,0))="","",INDEX(Batches!$G$5:$G$64,MATCH(B568,Batches!$A$5:$A$64,0))),"")))</f>
        <v/>
      </c>
      <c r="U568" s="23"/>
      <c r="V568" s="24"/>
      <c r="W568" s="28" t="str">
        <f aca="false">IF(OR(X568="",X568="Pending"),"",IF(V568&lt;&gt;"",V568,IFERROR(IF(INDEX(Batches!$H$5:$H$64,MATCH(B568,Batches!$A$5:$A$64,0))="","",INDEX(Batches!$H$5:$H$64,MATCH(B568,Batches!$A$5:$A$64,0))),"")))</f>
        <v/>
      </c>
      <c r="X568" s="23"/>
      <c r="Y568" s="23"/>
      <c r="Z568" s="26"/>
      <c r="AA568" s="27" t="str">
        <f aca="false">IF(R568="","",IF(X568="Not accepted",R568,IF(OR(X568="Accepted",X568="Withdrawn by hospital"),IF(X568="Accepted",0,R568),IF(ISNUMBER(Z568),R568-Z568,""))))</f>
        <v/>
      </c>
      <c r="AB568" s="23"/>
      <c r="AC568" s="25"/>
      <c r="AD568" s="23"/>
      <c r="AE568" s="23"/>
      <c r="AF568" s="24"/>
      <c r="AG568" s="23"/>
      <c r="AH568" s="24"/>
      <c r="AI568" s="29" t="str">
        <f aca="false">IF(X568="Not accepted","Maintained",IF(X568="Partially accepted","Partially maintained",IF(X568="Accepted","Reversed",IF(X568="Withdrawn by hospital","Withdrawn by hospital",""))))</f>
        <v/>
      </c>
      <c r="AJ568" s="28" t="str">
        <f aca="false">IF(AI568="","",W568)</f>
        <v/>
      </c>
      <c r="AK568" s="29" t="str">
        <f aca="false">IF(AND(ISNUMBER(T568),ISNUMBER(W568)),W568-T568,"")</f>
        <v/>
      </c>
      <c r="AL568" s="29" t="str">
        <f aca="false">IF(A568="","",SUMIF(Actions!$C$5:$C$1004,A568,Actions!$F$5:$F$1004))</f>
        <v/>
      </c>
      <c r="AM568" s="25"/>
    </row>
    <row r="569" customFormat="false" ht="15" hidden="false" customHeight="false" outlineLevel="0" collapsed="false">
      <c r="A569" s="23"/>
      <c r="B569" s="23"/>
      <c r="C569" s="23"/>
      <c r="D569" s="23"/>
      <c r="E569" s="23"/>
      <c r="F569" s="23"/>
      <c r="G569" s="23"/>
      <c r="H569" s="23"/>
      <c r="I569" s="23"/>
      <c r="J569" s="23"/>
      <c r="K569" s="24"/>
      <c r="L569" s="23"/>
      <c r="M569" s="25"/>
      <c r="N569" s="25"/>
      <c r="O569" s="23"/>
      <c r="P569" s="26"/>
      <c r="Q569" s="26"/>
      <c r="R569" s="27" t="str">
        <f aca="false">IF(AND(ISNUMBER(P569),ISNUMBER(Q569)),P569-Q569,"")</f>
        <v/>
      </c>
      <c r="S569" s="24"/>
      <c r="T569" s="28" t="str">
        <f aca="false">IF(S569&lt;&gt;"",S569,IF(B569="","",IFERROR(IF(INDEX(Batches!$G$5:$G$64,MATCH(B569,Batches!$A$5:$A$64,0))="","",INDEX(Batches!$G$5:$G$64,MATCH(B569,Batches!$A$5:$A$64,0))),"")))</f>
        <v/>
      </c>
      <c r="U569" s="23"/>
      <c r="V569" s="24"/>
      <c r="W569" s="28" t="str">
        <f aca="false">IF(OR(X569="",X569="Pending"),"",IF(V569&lt;&gt;"",V569,IFERROR(IF(INDEX(Batches!$H$5:$H$64,MATCH(B569,Batches!$A$5:$A$64,0))="","",INDEX(Batches!$H$5:$H$64,MATCH(B569,Batches!$A$5:$A$64,0))),"")))</f>
        <v/>
      </c>
      <c r="X569" s="23"/>
      <c r="Y569" s="23"/>
      <c r="Z569" s="26"/>
      <c r="AA569" s="27" t="str">
        <f aca="false">IF(R569="","",IF(X569="Not accepted",R569,IF(OR(X569="Accepted",X569="Withdrawn by hospital"),IF(X569="Accepted",0,R569),IF(ISNUMBER(Z569),R569-Z569,""))))</f>
        <v/>
      </c>
      <c r="AB569" s="23"/>
      <c r="AC569" s="25"/>
      <c r="AD569" s="23"/>
      <c r="AE569" s="23"/>
      <c r="AF569" s="24"/>
      <c r="AG569" s="23"/>
      <c r="AH569" s="24"/>
      <c r="AI569" s="29" t="str">
        <f aca="false">IF(X569="Not accepted","Maintained",IF(X569="Partially accepted","Partially maintained",IF(X569="Accepted","Reversed",IF(X569="Withdrawn by hospital","Withdrawn by hospital",""))))</f>
        <v/>
      </c>
      <c r="AJ569" s="28" t="str">
        <f aca="false">IF(AI569="","",W569)</f>
        <v/>
      </c>
      <c r="AK569" s="29" t="str">
        <f aca="false">IF(AND(ISNUMBER(T569),ISNUMBER(W569)),W569-T569,"")</f>
        <v/>
      </c>
      <c r="AL569" s="29" t="str">
        <f aca="false">IF(A569="","",SUMIF(Actions!$C$5:$C$1004,A569,Actions!$F$5:$F$1004))</f>
        <v/>
      </c>
      <c r="AM569" s="25"/>
    </row>
    <row r="570" customFormat="false" ht="15" hidden="false" customHeight="false" outlineLevel="0" collapsed="false">
      <c r="A570" s="23"/>
      <c r="B570" s="23"/>
      <c r="C570" s="23"/>
      <c r="D570" s="23"/>
      <c r="E570" s="23"/>
      <c r="F570" s="23"/>
      <c r="G570" s="23"/>
      <c r="H570" s="23"/>
      <c r="I570" s="23"/>
      <c r="J570" s="23"/>
      <c r="K570" s="24"/>
      <c r="L570" s="23"/>
      <c r="M570" s="25"/>
      <c r="N570" s="25"/>
      <c r="O570" s="23"/>
      <c r="P570" s="26"/>
      <c r="Q570" s="26"/>
      <c r="R570" s="27" t="str">
        <f aca="false">IF(AND(ISNUMBER(P570),ISNUMBER(Q570)),P570-Q570,"")</f>
        <v/>
      </c>
      <c r="S570" s="24"/>
      <c r="T570" s="28" t="str">
        <f aca="false">IF(S570&lt;&gt;"",S570,IF(B570="","",IFERROR(IF(INDEX(Batches!$G$5:$G$64,MATCH(B570,Batches!$A$5:$A$64,0))="","",INDEX(Batches!$G$5:$G$64,MATCH(B570,Batches!$A$5:$A$64,0))),"")))</f>
        <v/>
      </c>
      <c r="U570" s="23"/>
      <c r="V570" s="24"/>
      <c r="W570" s="28" t="str">
        <f aca="false">IF(OR(X570="",X570="Pending"),"",IF(V570&lt;&gt;"",V570,IFERROR(IF(INDEX(Batches!$H$5:$H$64,MATCH(B570,Batches!$A$5:$A$64,0))="","",INDEX(Batches!$H$5:$H$64,MATCH(B570,Batches!$A$5:$A$64,0))),"")))</f>
        <v/>
      </c>
      <c r="X570" s="23"/>
      <c r="Y570" s="23"/>
      <c r="Z570" s="26"/>
      <c r="AA570" s="27" t="str">
        <f aca="false">IF(R570="","",IF(X570="Not accepted",R570,IF(OR(X570="Accepted",X570="Withdrawn by hospital"),IF(X570="Accepted",0,R570),IF(ISNUMBER(Z570),R570-Z570,""))))</f>
        <v/>
      </c>
      <c r="AB570" s="23"/>
      <c r="AC570" s="25"/>
      <c r="AD570" s="23"/>
      <c r="AE570" s="23"/>
      <c r="AF570" s="24"/>
      <c r="AG570" s="23"/>
      <c r="AH570" s="24"/>
      <c r="AI570" s="29" t="str">
        <f aca="false">IF(X570="Not accepted","Maintained",IF(X570="Partially accepted","Partially maintained",IF(X570="Accepted","Reversed",IF(X570="Withdrawn by hospital","Withdrawn by hospital",""))))</f>
        <v/>
      </c>
      <c r="AJ570" s="28" t="str">
        <f aca="false">IF(AI570="","",W570)</f>
        <v/>
      </c>
      <c r="AK570" s="29" t="str">
        <f aca="false">IF(AND(ISNUMBER(T570),ISNUMBER(W570)),W570-T570,"")</f>
        <v/>
      </c>
      <c r="AL570" s="29" t="str">
        <f aca="false">IF(A570="","",SUMIF(Actions!$C$5:$C$1004,A570,Actions!$F$5:$F$1004))</f>
        <v/>
      </c>
      <c r="AM570" s="25"/>
    </row>
    <row r="571" customFormat="false" ht="15" hidden="false" customHeight="false" outlineLevel="0" collapsed="false">
      <c r="A571" s="23"/>
      <c r="B571" s="23"/>
      <c r="C571" s="23"/>
      <c r="D571" s="23"/>
      <c r="E571" s="23"/>
      <c r="F571" s="23"/>
      <c r="G571" s="23"/>
      <c r="H571" s="23"/>
      <c r="I571" s="23"/>
      <c r="J571" s="23"/>
      <c r="K571" s="24"/>
      <c r="L571" s="23"/>
      <c r="M571" s="25"/>
      <c r="N571" s="25"/>
      <c r="O571" s="23"/>
      <c r="P571" s="26"/>
      <c r="Q571" s="26"/>
      <c r="R571" s="27" t="str">
        <f aca="false">IF(AND(ISNUMBER(P571),ISNUMBER(Q571)),P571-Q571,"")</f>
        <v/>
      </c>
      <c r="S571" s="24"/>
      <c r="T571" s="28" t="str">
        <f aca="false">IF(S571&lt;&gt;"",S571,IF(B571="","",IFERROR(IF(INDEX(Batches!$G$5:$G$64,MATCH(B571,Batches!$A$5:$A$64,0))="","",INDEX(Batches!$G$5:$G$64,MATCH(B571,Batches!$A$5:$A$64,0))),"")))</f>
        <v/>
      </c>
      <c r="U571" s="23"/>
      <c r="V571" s="24"/>
      <c r="W571" s="28" t="str">
        <f aca="false">IF(OR(X571="",X571="Pending"),"",IF(V571&lt;&gt;"",V571,IFERROR(IF(INDEX(Batches!$H$5:$H$64,MATCH(B571,Batches!$A$5:$A$64,0))="","",INDEX(Batches!$H$5:$H$64,MATCH(B571,Batches!$A$5:$A$64,0))),"")))</f>
        <v/>
      </c>
      <c r="X571" s="23"/>
      <c r="Y571" s="23"/>
      <c r="Z571" s="26"/>
      <c r="AA571" s="27" t="str">
        <f aca="false">IF(R571="","",IF(X571="Not accepted",R571,IF(OR(X571="Accepted",X571="Withdrawn by hospital"),IF(X571="Accepted",0,R571),IF(ISNUMBER(Z571),R571-Z571,""))))</f>
        <v/>
      </c>
      <c r="AB571" s="23"/>
      <c r="AC571" s="25"/>
      <c r="AD571" s="23"/>
      <c r="AE571" s="23"/>
      <c r="AF571" s="24"/>
      <c r="AG571" s="23"/>
      <c r="AH571" s="24"/>
      <c r="AI571" s="29" t="str">
        <f aca="false">IF(X571="Not accepted","Maintained",IF(X571="Partially accepted","Partially maintained",IF(X571="Accepted","Reversed",IF(X571="Withdrawn by hospital","Withdrawn by hospital",""))))</f>
        <v/>
      </c>
      <c r="AJ571" s="28" t="str">
        <f aca="false">IF(AI571="","",W571)</f>
        <v/>
      </c>
      <c r="AK571" s="29" t="str">
        <f aca="false">IF(AND(ISNUMBER(T571),ISNUMBER(W571)),W571-T571,"")</f>
        <v/>
      </c>
      <c r="AL571" s="29" t="str">
        <f aca="false">IF(A571="","",SUMIF(Actions!$C$5:$C$1004,A571,Actions!$F$5:$F$1004))</f>
        <v/>
      </c>
      <c r="AM571" s="25"/>
    </row>
    <row r="572" customFormat="false" ht="15" hidden="false" customHeight="false" outlineLevel="0" collapsed="false">
      <c r="A572" s="23"/>
      <c r="B572" s="23"/>
      <c r="C572" s="23"/>
      <c r="D572" s="23"/>
      <c r="E572" s="23"/>
      <c r="F572" s="23"/>
      <c r="G572" s="23"/>
      <c r="H572" s="23"/>
      <c r="I572" s="23"/>
      <c r="J572" s="23"/>
      <c r="K572" s="24"/>
      <c r="L572" s="23"/>
      <c r="M572" s="25"/>
      <c r="N572" s="25"/>
      <c r="O572" s="23"/>
      <c r="P572" s="26"/>
      <c r="Q572" s="26"/>
      <c r="R572" s="27" t="str">
        <f aca="false">IF(AND(ISNUMBER(P572),ISNUMBER(Q572)),P572-Q572,"")</f>
        <v/>
      </c>
      <c r="S572" s="24"/>
      <c r="T572" s="28" t="str">
        <f aca="false">IF(S572&lt;&gt;"",S572,IF(B572="","",IFERROR(IF(INDEX(Batches!$G$5:$G$64,MATCH(B572,Batches!$A$5:$A$64,0))="","",INDEX(Batches!$G$5:$G$64,MATCH(B572,Batches!$A$5:$A$64,0))),"")))</f>
        <v/>
      </c>
      <c r="U572" s="23"/>
      <c r="V572" s="24"/>
      <c r="W572" s="28" t="str">
        <f aca="false">IF(OR(X572="",X572="Pending"),"",IF(V572&lt;&gt;"",V572,IFERROR(IF(INDEX(Batches!$H$5:$H$64,MATCH(B572,Batches!$A$5:$A$64,0))="","",INDEX(Batches!$H$5:$H$64,MATCH(B572,Batches!$A$5:$A$64,0))),"")))</f>
        <v/>
      </c>
      <c r="X572" s="23"/>
      <c r="Y572" s="23"/>
      <c r="Z572" s="26"/>
      <c r="AA572" s="27" t="str">
        <f aca="false">IF(R572="","",IF(X572="Not accepted",R572,IF(OR(X572="Accepted",X572="Withdrawn by hospital"),IF(X572="Accepted",0,R572),IF(ISNUMBER(Z572),R572-Z572,""))))</f>
        <v/>
      </c>
      <c r="AB572" s="23"/>
      <c r="AC572" s="25"/>
      <c r="AD572" s="23"/>
      <c r="AE572" s="23"/>
      <c r="AF572" s="24"/>
      <c r="AG572" s="23"/>
      <c r="AH572" s="24"/>
      <c r="AI572" s="29" t="str">
        <f aca="false">IF(X572="Not accepted","Maintained",IF(X572="Partially accepted","Partially maintained",IF(X572="Accepted","Reversed",IF(X572="Withdrawn by hospital","Withdrawn by hospital",""))))</f>
        <v/>
      </c>
      <c r="AJ572" s="28" t="str">
        <f aca="false">IF(AI572="","",W572)</f>
        <v/>
      </c>
      <c r="AK572" s="29" t="str">
        <f aca="false">IF(AND(ISNUMBER(T572),ISNUMBER(W572)),W572-T572,"")</f>
        <v/>
      </c>
      <c r="AL572" s="29" t="str">
        <f aca="false">IF(A572="","",SUMIF(Actions!$C$5:$C$1004,A572,Actions!$F$5:$F$1004))</f>
        <v/>
      </c>
      <c r="AM572" s="25"/>
    </row>
    <row r="573" customFormat="false" ht="15" hidden="false" customHeight="false" outlineLevel="0" collapsed="false">
      <c r="A573" s="23"/>
      <c r="B573" s="23"/>
      <c r="C573" s="23"/>
      <c r="D573" s="23"/>
      <c r="E573" s="23"/>
      <c r="F573" s="23"/>
      <c r="G573" s="23"/>
      <c r="H573" s="23"/>
      <c r="I573" s="23"/>
      <c r="J573" s="23"/>
      <c r="K573" s="24"/>
      <c r="L573" s="23"/>
      <c r="M573" s="25"/>
      <c r="N573" s="25"/>
      <c r="O573" s="23"/>
      <c r="P573" s="26"/>
      <c r="Q573" s="26"/>
      <c r="R573" s="27" t="str">
        <f aca="false">IF(AND(ISNUMBER(P573),ISNUMBER(Q573)),P573-Q573,"")</f>
        <v/>
      </c>
      <c r="S573" s="24"/>
      <c r="T573" s="28" t="str">
        <f aca="false">IF(S573&lt;&gt;"",S573,IF(B573="","",IFERROR(IF(INDEX(Batches!$G$5:$G$64,MATCH(B573,Batches!$A$5:$A$64,0))="","",INDEX(Batches!$G$5:$G$64,MATCH(B573,Batches!$A$5:$A$64,0))),"")))</f>
        <v/>
      </c>
      <c r="U573" s="23"/>
      <c r="V573" s="24"/>
      <c r="W573" s="28" t="str">
        <f aca="false">IF(OR(X573="",X573="Pending"),"",IF(V573&lt;&gt;"",V573,IFERROR(IF(INDEX(Batches!$H$5:$H$64,MATCH(B573,Batches!$A$5:$A$64,0))="","",INDEX(Batches!$H$5:$H$64,MATCH(B573,Batches!$A$5:$A$64,0))),"")))</f>
        <v/>
      </c>
      <c r="X573" s="23"/>
      <c r="Y573" s="23"/>
      <c r="Z573" s="26"/>
      <c r="AA573" s="27" t="str">
        <f aca="false">IF(R573="","",IF(X573="Not accepted",R573,IF(OR(X573="Accepted",X573="Withdrawn by hospital"),IF(X573="Accepted",0,R573),IF(ISNUMBER(Z573),R573-Z573,""))))</f>
        <v/>
      </c>
      <c r="AB573" s="23"/>
      <c r="AC573" s="25"/>
      <c r="AD573" s="23"/>
      <c r="AE573" s="23"/>
      <c r="AF573" s="24"/>
      <c r="AG573" s="23"/>
      <c r="AH573" s="24"/>
      <c r="AI573" s="29" t="str">
        <f aca="false">IF(X573="Not accepted","Maintained",IF(X573="Partially accepted","Partially maintained",IF(X573="Accepted","Reversed",IF(X573="Withdrawn by hospital","Withdrawn by hospital",""))))</f>
        <v/>
      </c>
      <c r="AJ573" s="28" t="str">
        <f aca="false">IF(AI573="","",W573)</f>
        <v/>
      </c>
      <c r="AK573" s="29" t="str">
        <f aca="false">IF(AND(ISNUMBER(T573),ISNUMBER(W573)),W573-T573,"")</f>
        <v/>
      </c>
      <c r="AL573" s="29" t="str">
        <f aca="false">IF(A573="","",SUMIF(Actions!$C$5:$C$1004,A573,Actions!$F$5:$F$1004))</f>
        <v/>
      </c>
      <c r="AM573" s="25"/>
    </row>
    <row r="574" customFormat="false" ht="15" hidden="false" customHeight="false" outlineLevel="0" collapsed="false">
      <c r="A574" s="23"/>
      <c r="B574" s="23"/>
      <c r="C574" s="23"/>
      <c r="D574" s="23"/>
      <c r="E574" s="23"/>
      <c r="F574" s="23"/>
      <c r="G574" s="23"/>
      <c r="H574" s="23"/>
      <c r="I574" s="23"/>
      <c r="J574" s="23"/>
      <c r="K574" s="24"/>
      <c r="L574" s="23"/>
      <c r="M574" s="25"/>
      <c r="N574" s="25"/>
      <c r="O574" s="23"/>
      <c r="P574" s="26"/>
      <c r="Q574" s="26"/>
      <c r="R574" s="27" t="str">
        <f aca="false">IF(AND(ISNUMBER(P574),ISNUMBER(Q574)),P574-Q574,"")</f>
        <v/>
      </c>
      <c r="S574" s="24"/>
      <c r="T574" s="28" t="str">
        <f aca="false">IF(S574&lt;&gt;"",S574,IF(B574="","",IFERROR(IF(INDEX(Batches!$G$5:$G$64,MATCH(B574,Batches!$A$5:$A$64,0))="","",INDEX(Batches!$G$5:$G$64,MATCH(B574,Batches!$A$5:$A$64,0))),"")))</f>
        <v/>
      </c>
      <c r="U574" s="23"/>
      <c r="V574" s="24"/>
      <c r="W574" s="28" t="str">
        <f aca="false">IF(OR(X574="",X574="Pending"),"",IF(V574&lt;&gt;"",V574,IFERROR(IF(INDEX(Batches!$H$5:$H$64,MATCH(B574,Batches!$A$5:$A$64,0))="","",INDEX(Batches!$H$5:$H$64,MATCH(B574,Batches!$A$5:$A$64,0))),"")))</f>
        <v/>
      </c>
      <c r="X574" s="23"/>
      <c r="Y574" s="23"/>
      <c r="Z574" s="26"/>
      <c r="AA574" s="27" t="str">
        <f aca="false">IF(R574="","",IF(X574="Not accepted",R574,IF(OR(X574="Accepted",X574="Withdrawn by hospital"),IF(X574="Accepted",0,R574),IF(ISNUMBER(Z574),R574-Z574,""))))</f>
        <v/>
      </c>
      <c r="AB574" s="23"/>
      <c r="AC574" s="25"/>
      <c r="AD574" s="23"/>
      <c r="AE574" s="23"/>
      <c r="AF574" s="24"/>
      <c r="AG574" s="23"/>
      <c r="AH574" s="24"/>
      <c r="AI574" s="29" t="str">
        <f aca="false">IF(X574="Not accepted","Maintained",IF(X574="Partially accepted","Partially maintained",IF(X574="Accepted","Reversed",IF(X574="Withdrawn by hospital","Withdrawn by hospital",""))))</f>
        <v/>
      </c>
      <c r="AJ574" s="28" t="str">
        <f aca="false">IF(AI574="","",W574)</f>
        <v/>
      </c>
      <c r="AK574" s="29" t="str">
        <f aca="false">IF(AND(ISNUMBER(T574),ISNUMBER(W574)),W574-T574,"")</f>
        <v/>
      </c>
      <c r="AL574" s="29" t="str">
        <f aca="false">IF(A574="","",SUMIF(Actions!$C$5:$C$1004,A574,Actions!$F$5:$F$1004))</f>
        <v/>
      </c>
      <c r="AM574" s="25"/>
    </row>
    <row r="575" customFormat="false" ht="15" hidden="false" customHeight="false" outlineLevel="0" collapsed="false">
      <c r="A575" s="23"/>
      <c r="B575" s="23"/>
      <c r="C575" s="23"/>
      <c r="D575" s="23"/>
      <c r="E575" s="23"/>
      <c r="F575" s="23"/>
      <c r="G575" s="23"/>
      <c r="H575" s="23"/>
      <c r="I575" s="23"/>
      <c r="J575" s="23"/>
      <c r="K575" s="24"/>
      <c r="L575" s="23"/>
      <c r="M575" s="25"/>
      <c r="N575" s="25"/>
      <c r="O575" s="23"/>
      <c r="P575" s="26"/>
      <c r="Q575" s="26"/>
      <c r="R575" s="27" t="str">
        <f aca="false">IF(AND(ISNUMBER(P575),ISNUMBER(Q575)),P575-Q575,"")</f>
        <v/>
      </c>
      <c r="S575" s="24"/>
      <c r="T575" s="28" t="str">
        <f aca="false">IF(S575&lt;&gt;"",S575,IF(B575="","",IFERROR(IF(INDEX(Batches!$G$5:$G$64,MATCH(B575,Batches!$A$5:$A$64,0))="","",INDEX(Batches!$G$5:$G$64,MATCH(B575,Batches!$A$5:$A$64,0))),"")))</f>
        <v/>
      </c>
      <c r="U575" s="23"/>
      <c r="V575" s="24"/>
      <c r="W575" s="28" t="str">
        <f aca="false">IF(OR(X575="",X575="Pending"),"",IF(V575&lt;&gt;"",V575,IFERROR(IF(INDEX(Batches!$H$5:$H$64,MATCH(B575,Batches!$A$5:$A$64,0))="","",INDEX(Batches!$H$5:$H$64,MATCH(B575,Batches!$A$5:$A$64,0))),"")))</f>
        <v/>
      </c>
      <c r="X575" s="23"/>
      <c r="Y575" s="23"/>
      <c r="Z575" s="26"/>
      <c r="AA575" s="27" t="str">
        <f aca="false">IF(R575="","",IF(X575="Not accepted",R575,IF(OR(X575="Accepted",X575="Withdrawn by hospital"),IF(X575="Accepted",0,R575),IF(ISNUMBER(Z575),R575-Z575,""))))</f>
        <v/>
      </c>
      <c r="AB575" s="23"/>
      <c r="AC575" s="25"/>
      <c r="AD575" s="23"/>
      <c r="AE575" s="23"/>
      <c r="AF575" s="24"/>
      <c r="AG575" s="23"/>
      <c r="AH575" s="24"/>
      <c r="AI575" s="29" t="str">
        <f aca="false">IF(X575="Not accepted","Maintained",IF(X575="Partially accepted","Partially maintained",IF(X575="Accepted","Reversed",IF(X575="Withdrawn by hospital","Withdrawn by hospital",""))))</f>
        <v/>
      </c>
      <c r="AJ575" s="28" t="str">
        <f aca="false">IF(AI575="","",W575)</f>
        <v/>
      </c>
      <c r="AK575" s="29" t="str">
        <f aca="false">IF(AND(ISNUMBER(T575),ISNUMBER(W575)),W575-T575,"")</f>
        <v/>
      </c>
      <c r="AL575" s="29" t="str">
        <f aca="false">IF(A575="","",SUMIF(Actions!$C$5:$C$1004,A575,Actions!$F$5:$F$1004))</f>
        <v/>
      </c>
      <c r="AM575" s="25"/>
    </row>
    <row r="576" customFormat="false" ht="15" hidden="false" customHeight="false" outlineLevel="0" collapsed="false">
      <c r="A576" s="23"/>
      <c r="B576" s="23"/>
      <c r="C576" s="23"/>
      <c r="D576" s="23"/>
      <c r="E576" s="23"/>
      <c r="F576" s="23"/>
      <c r="G576" s="23"/>
      <c r="H576" s="23"/>
      <c r="I576" s="23"/>
      <c r="J576" s="23"/>
      <c r="K576" s="24"/>
      <c r="L576" s="23"/>
      <c r="M576" s="25"/>
      <c r="N576" s="25"/>
      <c r="O576" s="23"/>
      <c r="P576" s="26"/>
      <c r="Q576" s="26"/>
      <c r="R576" s="27" t="str">
        <f aca="false">IF(AND(ISNUMBER(P576),ISNUMBER(Q576)),P576-Q576,"")</f>
        <v/>
      </c>
      <c r="S576" s="24"/>
      <c r="T576" s="28" t="str">
        <f aca="false">IF(S576&lt;&gt;"",S576,IF(B576="","",IFERROR(IF(INDEX(Batches!$G$5:$G$64,MATCH(B576,Batches!$A$5:$A$64,0))="","",INDEX(Batches!$G$5:$G$64,MATCH(B576,Batches!$A$5:$A$64,0))),"")))</f>
        <v/>
      </c>
      <c r="U576" s="23"/>
      <c r="V576" s="24"/>
      <c r="W576" s="28" t="str">
        <f aca="false">IF(OR(X576="",X576="Pending"),"",IF(V576&lt;&gt;"",V576,IFERROR(IF(INDEX(Batches!$H$5:$H$64,MATCH(B576,Batches!$A$5:$A$64,0))="","",INDEX(Batches!$H$5:$H$64,MATCH(B576,Batches!$A$5:$A$64,0))),"")))</f>
        <v/>
      </c>
      <c r="X576" s="23"/>
      <c r="Y576" s="23"/>
      <c r="Z576" s="26"/>
      <c r="AA576" s="27" t="str">
        <f aca="false">IF(R576="","",IF(X576="Not accepted",R576,IF(OR(X576="Accepted",X576="Withdrawn by hospital"),IF(X576="Accepted",0,R576),IF(ISNUMBER(Z576),R576-Z576,""))))</f>
        <v/>
      </c>
      <c r="AB576" s="23"/>
      <c r="AC576" s="25"/>
      <c r="AD576" s="23"/>
      <c r="AE576" s="23"/>
      <c r="AF576" s="24"/>
      <c r="AG576" s="23"/>
      <c r="AH576" s="24"/>
      <c r="AI576" s="29" t="str">
        <f aca="false">IF(X576="Not accepted","Maintained",IF(X576="Partially accepted","Partially maintained",IF(X576="Accepted","Reversed",IF(X576="Withdrawn by hospital","Withdrawn by hospital",""))))</f>
        <v/>
      </c>
      <c r="AJ576" s="28" t="str">
        <f aca="false">IF(AI576="","",W576)</f>
        <v/>
      </c>
      <c r="AK576" s="29" t="str">
        <f aca="false">IF(AND(ISNUMBER(T576),ISNUMBER(W576)),W576-T576,"")</f>
        <v/>
      </c>
      <c r="AL576" s="29" t="str">
        <f aca="false">IF(A576="","",SUMIF(Actions!$C$5:$C$1004,A576,Actions!$F$5:$F$1004))</f>
        <v/>
      </c>
      <c r="AM576" s="25"/>
    </row>
    <row r="577" customFormat="false" ht="15" hidden="false" customHeight="false" outlineLevel="0" collapsed="false">
      <c r="A577" s="23"/>
      <c r="B577" s="23"/>
      <c r="C577" s="23"/>
      <c r="D577" s="23"/>
      <c r="E577" s="23"/>
      <c r="F577" s="23"/>
      <c r="G577" s="23"/>
      <c r="H577" s="23"/>
      <c r="I577" s="23"/>
      <c r="J577" s="23"/>
      <c r="K577" s="24"/>
      <c r="L577" s="23"/>
      <c r="M577" s="25"/>
      <c r="N577" s="25"/>
      <c r="O577" s="23"/>
      <c r="P577" s="26"/>
      <c r="Q577" s="26"/>
      <c r="R577" s="27" t="str">
        <f aca="false">IF(AND(ISNUMBER(P577),ISNUMBER(Q577)),P577-Q577,"")</f>
        <v/>
      </c>
      <c r="S577" s="24"/>
      <c r="T577" s="28" t="str">
        <f aca="false">IF(S577&lt;&gt;"",S577,IF(B577="","",IFERROR(IF(INDEX(Batches!$G$5:$G$64,MATCH(B577,Batches!$A$5:$A$64,0))="","",INDEX(Batches!$G$5:$G$64,MATCH(B577,Batches!$A$5:$A$64,0))),"")))</f>
        <v/>
      </c>
      <c r="U577" s="23"/>
      <c r="V577" s="24"/>
      <c r="W577" s="28" t="str">
        <f aca="false">IF(OR(X577="",X577="Pending"),"",IF(V577&lt;&gt;"",V577,IFERROR(IF(INDEX(Batches!$H$5:$H$64,MATCH(B577,Batches!$A$5:$A$64,0))="","",INDEX(Batches!$H$5:$H$64,MATCH(B577,Batches!$A$5:$A$64,0))),"")))</f>
        <v/>
      </c>
      <c r="X577" s="23"/>
      <c r="Y577" s="23"/>
      <c r="Z577" s="26"/>
      <c r="AA577" s="27" t="str">
        <f aca="false">IF(R577="","",IF(X577="Not accepted",R577,IF(OR(X577="Accepted",X577="Withdrawn by hospital"),IF(X577="Accepted",0,R577),IF(ISNUMBER(Z577),R577-Z577,""))))</f>
        <v/>
      </c>
      <c r="AB577" s="23"/>
      <c r="AC577" s="25"/>
      <c r="AD577" s="23"/>
      <c r="AE577" s="23"/>
      <c r="AF577" s="24"/>
      <c r="AG577" s="23"/>
      <c r="AH577" s="24"/>
      <c r="AI577" s="29" t="str">
        <f aca="false">IF(X577="Not accepted","Maintained",IF(X577="Partially accepted","Partially maintained",IF(X577="Accepted","Reversed",IF(X577="Withdrawn by hospital","Withdrawn by hospital",""))))</f>
        <v/>
      </c>
      <c r="AJ577" s="28" t="str">
        <f aca="false">IF(AI577="","",W577)</f>
        <v/>
      </c>
      <c r="AK577" s="29" t="str">
        <f aca="false">IF(AND(ISNUMBER(T577),ISNUMBER(W577)),W577-T577,"")</f>
        <v/>
      </c>
      <c r="AL577" s="29" t="str">
        <f aca="false">IF(A577="","",SUMIF(Actions!$C$5:$C$1004,A577,Actions!$F$5:$F$1004))</f>
        <v/>
      </c>
      <c r="AM577" s="25"/>
    </row>
    <row r="578" customFormat="false" ht="15" hidden="false" customHeight="false" outlineLevel="0" collapsed="false">
      <c r="A578" s="23"/>
      <c r="B578" s="23"/>
      <c r="C578" s="23"/>
      <c r="D578" s="23"/>
      <c r="E578" s="23"/>
      <c r="F578" s="23"/>
      <c r="G578" s="23"/>
      <c r="H578" s="23"/>
      <c r="I578" s="23"/>
      <c r="J578" s="23"/>
      <c r="K578" s="24"/>
      <c r="L578" s="23"/>
      <c r="M578" s="25"/>
      <c r="N578" s="25"/>
      <c r="O578" s="23"/>
      <c r="P578" s="26"/>
      <c r="Q578" s="26"/>
      <c r="R578" s="27" t="str">
        <f aca="false">IF(AND(ISNUMBER(P578),ISNUMBER(Q578)),P578-Q578,"")</f>
        <v/>
      </c>
      <c r="S578" s="24"/>
      <c r="T578" s="28" t="str">
        <f aca="false">IF(S578&lt;&gt;"",S578,IF(B578="","",IFERROR(IF(INDEX(Batches!$G$5:$G$64,MATCH(B578,Batches!$A$5:$A$64,0))="","",INDEX(Batches!$G$5:$G$64,MATCH(B578,Batches!$A$5:$A$64,0))),"")))</f>
        <v/>
      </c>
      <c r="U578" s="23"/>
      <c r="V578" s="24"/>
      <c r="W578" s="28" t="str">
        <f aca="false">IF(OR(X578="",X578="Pending"),"",IF(V578&lt;&gt;"",V578,IFERROR(IF(INDEX(Batches!$H$5:$H$64,MATCH(B578,Batches!$A$5:$A$64,0))="","",INDEX(Batches!$H$5:$H$64,MATCH(B578,Batches!$A$5:$A$64,0))),"")))</f>
        <v/>
      </c>
      <c r="X578" s="23"/>
      <c r="Y578" s="23"/>
      <c r="Z578" s="26"/>
      <c r="AA578" s="27" t="str">
        <f aca="false">IF(R578="","",IF(X578="Not accepted",R578,IF(OR(X578="Accepted",X578="Withdrawn by hospital"),IF(X578="Accepted",0,R578),IF(ISNUMBER(Z578),R578-Z578,""))))</f>
        <v/>
      </c>
      <c r="AB578" s="23"/>
      <c r="AC578" s="25"/>
      <c r="AD578" s="23"/>
      <c r="AE578" s="23"/>
      <c r="AF578" s="24"/>
      <c r="AG578" s="23"/>
      <c r="AH578" s="24"/>
      <c r="AI578" s="29" t="str">
        <f aca="false">IF(X578="Not accepted","Maintained",IF(X578="Partially accepted","Partially maintained",IF(X578="Accepted","Reversed",IF(X578="Withdrawn by hospital","Withdrawn by hospital",""))))</f>
        <v/>
      </c>
      <c r="AJ578" s="28" t="str">
        <f aca="false">IF(AI578="","",W578)</f>
        <v/>
      </c>
      <c r="AK578" s="29" t="str">
        <f aca="false">IF(AND(ISNUMBER(T578),ISNUMBER(W578)),W578-T578,"")</f>
        <v/>
      </c>
      <c r="AL578" s="29" t="str">
        <f aca="false">IF(A578="","",SUMIF(Actions!$C$5:$C$1004,A578,Actions!$F$5:$F$1004))</f>
        <v/>
      </c>
      <c r="AM578" s="25"/>
    </row>
    <row r="579" customFormat="false" ht="15" hidden="false" customHeight="false" outlineLevel="0" collapsed="false">
      <c r="A579" s="23"/>
      <c r="B579" s="23"/>
      <c r="C579" s="23"/>
      <c r="D579" s="23"/>
      <c r="E579" s="23"/>
      <c r="F579" s="23"/>
      <c r="G579" s="23"/>
      <c r="H579" s="23"/>
      <c r="I579" s="23"/>
      <c r="J579" s="23"/>
      <c r="K579" s="24"/>
      <c r="L579" s="23"/>
      <c r="M579" s="25"/>
      <c r="N579" s="25"/>
      <c r="O579" s="23"/>
      <c r="P579" s="26"/>
      <c r="Q579" s="26"/>
      <c r="R579" s="27" t="str">
        <f aca="false">IF(AND(ISNUMBER(P579),ISNUMBER(Q579)),P579-Q579,"")</f>
        <v/>
      </c>
      <c r="S579" s="24"/>
      <c r="T579" s="28" t="str">
        <f aca="false">IF(S579&lt;&gt;"",S579,IF(B579="","",IFERROR(IF(INDEX(Batches!$G$5:$G$64,MATCH(B579,Batches!$A$5:$A$64,0))="","",INDEX(Batches!$G$5:$G$64,MATCH(B579,Batches!$A$5:$A$64,0))),"")))</f>
        <v/>
      </c>
      <c r="U579" s="23"/>
      <c r="V579" s="24"/>
      <c r="W579" s="28" t="str">
        <f aca="false">IF(OR(X579="",X579="Pending"),"",IF(V579&lt;&gt;"",V579,IFERROR(IF(INDEX(Batches!$H$5:$H$64,MATCH(B579,Batches!$A$5:$A$64,0))="","",INDEX(Batches!$H$5:$H$64,MATCH(B579,Batches!$A$5:$A$64,0))),"")))</f>
        <v/>
      </c>
      <c r="X579" s="23"/>
      <c r="Y579" s="23"/>
      <c r="Z579" s="26"/>
      <c r="AA579" s="27" t="str">
        <f aca="false">IF(R579="","",IF(X579="Not accepted",R579,IF(OR(X579="Accepted",X579="Withdrawn by hospital"),IF(X579="Accepted",0,R579),IF(ISNUMBER(Z579),R579-Z579,""))))</f>
        <v/>
      </c>
      <c r="AB579" s="23"/>
      <c r="AC579" s="25"/>
      <c r="AD579" s="23"/>
      <c r="AE579" s="23"/>
      <c r="AF579" s="24"/>
      <c r="AG579" s="23"/>
      <c r="AH579" s="24"/>
      <c r="AI579" s="29" t="str">
        <f aca="false">IF(X579="Not accepted","Maintained",IF(X579="Partially accepted","Partially maintained",IF(X579="Accepted","Reversed",IF(X579="Withdrawn by hospital","Withdrawn by hospital",""))))</f>
        <v/>
      </c>
      <c r="AJ579" s="28" t="str">
        <f aca="false">IF(AI579="","",W579)</f>
        <v/>
      </c>
      <c r="AK579" s="29" t="str">
        <f aca="false">IF(AND(ISNUMBER(T579),ISNUMBER(W579)),W579-T579,"")</f>
        <v/>
      </c>
      <c r="AL579" s="29" t="str">
        <f aca="false">IF(A579="","",SUMIF(Actions!$C$5:$C$1004,A579,Actions!$F$5:$F$1004))</f>
        <v/>
      </c>
      <c r="AM579" s="25"/>
    </row>
    <row r="580" customFormat="false" ht="15" hidden="false" customHeight="false" outlineLevel="0" collapsed="false">
      <c r="A580" s="23"/>
      <c r="B580" s="23"/>
      <c r="C580" s="23"/>
      <c r="D580" s="23"/>
      <c r="E580" s="23"/>
      <c r="F580" s="23"/>
      <c r="G580" s="23"/>
      <c r="H580" s="23"/>
      <c r="I580" s="23"/>
      <c r="J580" s="23"/>
      <c r="K580" s="24"/>
      <c r="L580" s="23"/>
      <c r="M580" s="25"/>
      <c r="N580" s="25"/>
      <c r="O580" s="23"/>
      <c r="P580" s="26"/>
      <c r="Q580" s="26"/>
      <c r="R580" s="27" t="str">
        <f aca="false">IF(AND(ISNUMBER(P580),ISNUMBER(Q580)),P580-Q580,"")</f>
        <v/>
      </c>
      <c r="S580" s="24"/>
      <c r="T580" s="28" t="str">
        <f aca="false">IF(S580&lt;&gt;"",S580,IF(B580="","",IFERROR(IF(INDEX(Batches!$G$5:$G$64,MATCH(B580,Batches!$A$5:$A$64,0))="","",INDEX(Batches!$G$5:$G$64,MATCH(B580,Batches!$A$5:$A$64,0))),"")))</f>
        <v/>
      </c>
      <c r="U580" s="23"/>
      <c r="V580" s="24"/>
      <c r="W580" s="28" t="str">
        <f aca="false">IF(OR(X580="",X580="Pending"),"",IF(V580&lt;&gt;"",V580,IFERROR(IF(INDEX(Batches!$H$5:$H$64,MATCH(B580,Batches!$A$5:$A$64,0))="","",INDEX(Batches!$H$5:$H$64,MATCH(B580,Batches!$A$5:$A$64,0))),"")))</f>
        <v/>
      </c>
      <c r="X580" s="23"/>
      <c r="Y580" s="23"/>
      <c r="Z580" s="26"/>
      <c r="AA580" s="27" t="str">
        <f aca="false">IF(R580="","",IF(X580="Not accepted",R580,IF(OR(X580="Accepted",X580="Withdrawn by hospital"),IF(X580="Accepted",0,R580),IF(ISNUMBER(Z580),R580-Z580,""))))</f>
        <v/>
      </c>
      <c r="AB580" s="23"/>
      <c r="AC580" s="25"/>
      <c r="AD580" s="23"/>
      <c r="AE580" s="23"/>
      <c r="AF580" s="24"/>
      <c r="AG580" s="23"/>
      <c r="AH580" s="24"/>
      <c r="AI580" s="29" t="str">
        <f aca="false">IF(X580="Not accepted","Maintained",IF(X580="Partially accepted","Partially maintained",IF(X580="Accepted","Reversed",IF(X580="Withdrawn by hospital","Withdrawn by hospital",""))))</f>
        <v/>
      </c>
      <c r="AJ580" s="28" t="str">
        <f aca="false">IF(AI580="","",W580)</f>
        <v/>
      </c>
      <c r="AK580" s="29" t="str">
        <f aca="false">IF(AND(ISNUMBER(T580),ISNUMBER(W580)),W580-T580,"")</f>
        <v/>
      </c>
      <c r="AL580" s="29" t="str">
        <f aca="false">IF(A580="","",SUMIF(Actions!$C$5:$C$1004,A580,Actions!$F$5:$F$1004))</f>
        <v/>
      </c>
      <c r="AM580" s="25"/>
    </row>
    <row r="581" customFormat="false" ht="15" hidden="false" customHeight="false" outlineLevel="0" collapsed="false">
      <c r="A581" s="23"/>
      <c r="B581" s="23"/>
      <c r="C581" s="23"/>
      <c r="D581" s="23"/>
      <c r="E581" s="23"/>
      <c r="F581" s="23"/>
      <c r="G581" s="23"/>
      <c r="H581" s="23"/>
      <c r="I581" s="23"/>
      <c r="J581" s="23"/>
      <c r="K581" s="24"/>
      <c r="L581" s="23"/>
      <c r="M581" s="25"/>
      <c r="N581" s="25"/>
      <c r="O581" s="23"/>
      <c r="P581" s="26"/>
      <c r="Q581" s="26"/>
      <c r="R581" s="27" t="str">
        <f aca="false">IF(AND(ISNUMBER(P581),ISNUMBER(Q581)),P581-Q581,"")</f>
        <v/>
      </c>
      <c r="S581" s="24"/>
      <c r="T581" s="28" t="str">
        <f aca="false">IF(S581&lt;&gt;"",S581,IF(B581="","",IFERROR(IF(INDEX(Batches!$G$5:$G$64,MATCH(B581,Batches!$A$5:$A$64,0))="","",INDEX(Batches!$G$5:$G$64,MATCH(B581,Batches!$A$5:$A$64,0))),"")))</f>
        <v/>
      </c>
      <c r="U581" s="23"/>
      <c r="V581" s="24"/>
      <c r="W581" s="28" t="str">
        <f aca="false">IF(OR(X581="",X581="Pending"),"",IF(V581&lt;&gt;"",V581,IFERROR(IF(INDEX(Batches!$H$5:$H$64,MATCH(B581,Batches!$A$5:$A$64,0))="","",INDEX(Batches!$H$5:$H$64,MATCH(B581,Batches!$A$5:$A$64,0))),"")))</f>
        <v/>
      </c>
      <c r="X581" s="23"/>
      <c r="Y581" s="23"/>
      <c r="Z581" s="26"/>
      <c r="AA581" s="27" t="str">
        <f aca="false">IF(R581="","",IF(X581="Not accepted",R581,IF(OR(X581="Accepted",X581="Withdrawn by hospital"),IF(X581="Accepted",0,R581),IF(ISNUMBER(Z581),R581-Z581,""))))</f>
        <v/>
      </c>
      <c r="AB581" s="23"/>
      <c r="AC581" s="25"/>
      <c r="AD581" s="23"/>
      <c r="AE581" s="23"/>
      <c r="AF581" s="24"/>
      <c r="AG581" s="23"/>
      <c r="AH581" s="24"/>
      <c r="AI581" s="29" t="str">
        <f aca="false">IF(X581="Not accepted","Maintained",IF(X581="Partially accepted","Partially maintained",IF(X581="Accepted","Reversed",IF(X581="Withdrawn by hospital","Withdrawn by hospital",""))))</f>
        <v/>
      </c>
      <c r="AJ581" s="28" t="str">
        <f aca="false">IF(AI581="","",W581)</f>
        <v/>
      </c>
      <c r="AK581" s="29" t="str">
        <f aca="false">IF(AND(ISNUMBER(T581),ISNUMBER(W581)),W581-T581,"")</f>
        <v/>
      </c>
      <c r="AL581" s="29" t="str">
        <f aca="false">IF(A581="","",SUMIF(Actions!$C$5:$C$1004,A581,Actions!$F$5:$F$1004))</f>
        <v/>
      </c>
      <c r="AM581" s="25"/>
    </row>
    <row r="582" customFormat="false" ht="15" hidden="false" customHeight="false" outlineLevel="0" collapsed="false">
      <c r="A582" s="23"/>
      <c r="B582" s="23"/>
      <c r="C582" s="23"/>
      <c r="D582" s="23"/>
      <c r="E582" s="23"/>
      <c r="F582" s="23"/>
      <c r="G582" s="23"/>
      <c r="H582" s="23"/>
      <c r="I582" s="23"/>
      <c r="J582" s="23"/>
      <c r="K582" s="24"/>
      <c r="L582" s="23"/>
      <c r="M582" s="25"/>
      <c r="N582" s="25"/>
      <c r="O582" s="23"/>
      <c r="P582" s="26"/>
      <c r="Q582" s="26"/>
      <c r="R582" s="27" t="str">
        <f aca="false">IF(AND(ISNUMBER(P582),ISNUMBER(Q582)),P582-Q582,"")</f>
        <v/>
      </c>
      <c r="S582" s="24"/>
      <c r="T582" s="28" t="str">
        <f aca="false">IF(S582&lt;&gt;"",S582,IF(B582="","",IFERROR(IF(INDEX(Batches!$G$5:$G$64,MATCH(B582,Batches!$A$5:$A$64,0))="","",INDEX(Batches!$G$5:$G$64,MATCH(B582,Batches!$A$5:$A$64,0))),"")))</f>
        <v/>
      </c>
      <c r="U582" s="23"/>
      <c r="V582" s="24"/>
      <c r="W582" s="28" t="str">
        <f aca="false">IF(OR(X582="",X582="Pending"),"",IF(V582&lt;&gt;"",V582,IFERROR(IF(INDEX(Batches!$H$5:$H$64,MATCH(B582,Batches!$A$5:$A$64,0))="","",INDEX(Batches!$H$5:$H$64,MATCH(B582,Batches!$A$5:$A$64,0))),"")))</f>
        <v/>
      </c>
      <c r="X582" s="23"/>
      <c r="Y582" s="23"/>
      <c r="Z582" s="26"/>
      <c r="AA582" s="27" t="str">
        <f aca="false">IF(R582="","",IF(X582="Not accepted",R582,IF(OR(X582="Accepted",X582="Withdrawn by hospital"),IF(X582="Accepted",0,R582),IF(ISNUMBER(Z582),R582-Z582,""))))</f>
        <v/>
      </c>
      <c r="AB582" s="23"/>
      <c r="AC582" s="25"/>
      <c r="AD582" s="23"/>
      <c r="AE582" s="23"/>
      <c r="AF582" s="24"/>
      <c r="AG582" s="23"/>
      <c r="AH582" s="24"/>
      <c r="AI582" s="29" t="str">
        <f aca="false">IF(X582="Not accepted","Maintained",IF(X582="Partially accepted","Partially maintained",IF(X582="Accepted","Reversed",IF(X582="Withdrawn by hospital","Withdrawn by hospital",""))))</f>
        <v/>
      </c>
      <c r="AJ582" s="28" t="str">
        <f aca="false">IF(AI582="","",W582)</f>
        <v/>
      </c>
      <c r="AK582" s="29" t="str">
        <f aca="false">IF(AND(ISNUMBER(T582),ISNUMBER(W582)),W582-T582,"")</f>
        <v/>
      </c>
      <c r="AL582" s="29" t="str">
        <f aca="false">IF(A582="","",SUMIF(Actions!$C$5:$C$1004,A582,Actions!$F$5:$F$1004))</f>
        <v/>
      </c>
      <c r="AM582" s="25"/>
    </row>
    <row r="583" customFormat="false" ht="15" hidden="false" customHeight="false" outlineLevel="0" collapsed="false">
      <c r="A583" s="23"/>
      <c r="B583" s="23"/>
      <c r="C583" s="23"/>
      <c r="D583" s="23"/>
      <c r="E583" s="23"/>
      <c r="F583" s="23"/>
      <c r="G583" s="23"/>
      <c r="H583" s="23"/>
      <c r="I583" s="23"/>
      <c r="J583" s="23"/>
      <c r="K583" s="24"/>
      <c r="L583" s="23"/>
      <c r="M583" s="25"/>
      <c r="N583" s="25"/>
      <c r="O583" s="23"/>
      <c r="P583" s="26"/>
      <c r="Q583" s="26"/>
      <c r="R583" s="27" t="str">
        <f aca="false">IF(AND(ISNUMBER(P583),ISNUMBER(Q583)),P583-Q583,"")</f>
        <v/>
      </c>
      <c r="S583" s="24"/>
      <c r="T583" s="28" t="str">
        <f aca="false">IF(S583&lt;&gt;"",S583,IF(B583="","",IFERROR(IF(INDEX(Batches!$G$5:$G$64,MATCH(B583,Batches!$A$5:$A$64,0))="","",INDEX(Batches!$G$5:$G$64,MATCH(B583,Batches!$A$5:$A$64,0))),"")))</f>
        <v/>
      </c>
      <c r="U583" s="23"/>
      <c r="V583" s="24"/>
      <c r="W583" s="28" t="str">
        <f aca="false">IF(OR(X583="",X583="Pending"),"",IF(V583&lt;&gt;"",V583,IFERROR(IF(INDEX(Batches!$H$5:$H$64,MATCH(B583,Batches!$A$5:$A$64,0))="","",INDEX(Batches!$H$5:$H$64,MATCH(B583,Batches!$A$5:$A$64,0))),"")))</f>
        <v/>
      </c>
      <c r="X583" s="23"/>
      <c r="Y583" s="23"/>
      <c r="Z583" s="26"/>
      <c r="AA583" s="27" t="str">
        <f aca="false">IF(R583="","",IF(X583="Not accepted",R583,IF(OR(X583="Accepted",X583="Withdrawn by hospital"),IF(X583="Accepted",0,R583),IF(ISNUMBER(Z583),R583-Z583,""))))</f>
        <v/>
      </c>
      <c r="AB583" s="23"/>
      <c r="AC583" s="25"/>
      <c r="AD583" s="23"/>
      <c r="AE583" s="23"/>
      <c r="AF583" s="24"/>
      <c r="AG583" s="23"/>
      <c r="AH583" s="24"/>
      <c r="AI583" s="29" t="str">
        <f aca="false">IF(X583="Not accepted","Maintained",IF(X583="Partially accepted","Partially maintained",IF(X583="Accepted","Reversed",IF(X583="Withdrawn by hospital","Withdrawn by hospital",""))))</f>
        <v/>
      </c>
      <c r="AJ583" s="28" t="str">
        <f aca="false">IF(AI583="","",W583)</f>
        <v/>
      </c>
      <c r="AK583" s="29" t="str">
        <f aca="false">IF(AND(ISNUMBER(T583),ISNUMBER(W583)),W583-T583,"")</f>
        <v/>
      </c>
      <c r="AL583" s="29" t="str">
        <f aca="false">IF(A583="","",SUMIF(Actions!$C$5:$C$1004,A583,Actions!$F$5:$F$1004))</f>
        <v/>
      </c>
      <c r="AM583" s="25"/>
    </row>
    <row r="584" customFormat="false" ht="15" hidden="false" customHeight="false" outlineLevel="0" collapsed="false">
      <c r="A584" s="23"/>
      <c r="B584" s="23"/>
      <c r="C584" s="23"/>
      <c r="D584" s="23"/>
      <c r="E584" s="23"/>
      <c r="F584" s="23"/>
      <c r="G584" s="23"/>
      <c r="H584" s="23"/>
      <c r="I584" s="23"/>
      <c r="J584" s="23"/>
      <c r="K584" s="24"/>
      <c r="L584" s="23"/>
      <c r="M584" s="25"/>
      <c r="N584" s="25"/>
      <c r="O584" s="23"/>
      <c r="P584" s="26"/>
      <c r="Q584" s="26"/>
      <c r="R584" s="27" t="str">
        <f aca="false">IF(AND(ISNUMBER(P584),ISNUMBER(Q584)),P584-Q584,"")</f>
        <v/>
      </c>
      <c r="S584" s="24"/>
      <c r="T584" s="28" t="str">
        <f aca="false">IF(S584&lt;&gt;"",S584,IF(B584="","",IFERROR(IF(INDEX(Batches!$G$5:$G$64,MATCH(B584,Batches!$A$5:$A$64,0))="","",INDEX(Batches!$G$5:$G$64,MATCH(B584,Batches!$A$5:$A$64,0))),"")))</f>
        <v/>
      </c>
      <c r="U584" s="23"/>
      <c r="V584" s="24"/>
      <c r="W584" s="28" t="str">
        <f aca="false">IF(OR(X584="",X584="Pending"),"",IF(V584&lt;&gt;"",V584,IFERROR(IF(INDEX(Batches!$H$5:$H$64,MATCH(B584,Batches!$A$5:$A$64,0))="","",INDEX(Batches!$H$5:$H$64,MATCH(B584,Batches!$A$5:$A$64,0))),"")))</f>
        <v/>
      </c>
      <c r="X584" s="23"/>
      <c r="Y584" s="23"/>
      <c r="Z584" s="26"/>
      <c r="AA584" s="27" t="str">
        <f aca="false">IF(R584="","",IF(X584="Not accepted",R584,IF(OR(X584="Accepted",X584="Withdrawn by hospital"),IF(X584="Accepted",0,R584),IF(ISNUMBER(Z584),R584-Z584,""))))</f>
        <v/>
      </c>
      <c r="AB584" s="23"/>
      <c r="AC584" s="25"/>
      <c r="AD584" s="23"/>
      <c r="AE584" s="23"/>
      <c r="AF584" s="24"/>
      <c r="AG584" s="23"/>
      <c r="AH584" s="24"/>
      <c r="AI584" s="29" t="str">
        <f aca="false">IF(X584="Not accepted","Maintained",IF(X584="Partially accepted","Partially maintained",IF(X584="Accepted","Reversed",IF(X584="Withdrawn by hospital","Withdrawn by hospital",""))))</f>
        <v/>
      </c>
      <c r="AJ584" s="28" t="str">
        <f aca="false">IF(AI584="","",W584)</f>
        <v/>
      </c>
      <c r="AK584" s="29" t="str">
        <f aca="false">IF(AND(ISNUMBER(T584),ISNUMBER(W584)),W584-T584,"")</f>
        <v/>
      </c>
      <c r="AL584" s="29" t="str">
        <f aca="false">IF(A584="","",SUMIF(Actions!$C$5:$C$1004,A584,Actions!$F$5:$F$1004))</f>
        <v/>
      </c>
      <c r="AM584" s="25"/>
    </row>
    <row r="585" customFormat="false" ht="15" hidden="false" customHeight="false" outlineLevel="0" collapsed="false">
      <c r="A585" s="23"/>
      <c r="B585" s="23"/>
      <c r="C585" s="23"/>
      <c r="D585" s="23"/>
      <c r="E585" s="23"/>
      <c r="F585" s="23"/>
      <c r="G585" s="23"/>
      <c r="H585" s="23"/>
      <c r="I585" s="23"/>
      <c r="J585" s="23"/>
      <c r="K585" s="24"/>
      <c r="L585" s="23"/>
      <c r="M585" s="25"/>
      <c r="N585" s="25"/>
      <c r="O585" s="23"/>
      <c r="P585" s="26"/>
      <c r="Q585" s="26"/>
      <c r="R585" s="27" t="str">
        <f aca="false">IF(AND(ISNUMBER(P585),ISNUMBER(Q585)),P585-Q585,"")</f>
        <v/>
      </c>
      <c r="S585" s="24"/>
      <c r="T585" s="28" t="str">
        <f aca="false">IF(S585&lt;&gt;"",S585,IF(B585="","",IFERROR(IF(INDEX(Batches!$G$5:$G$64,MATCH(B585,Batches!$A$5:$A$64,0))="","",INDEX(Batches!$G$5:$G$64,MATCH(B585,Batches!$A$5:$A$64,0))),"")))</f>
        <v/>
      </c>
      <c r="U585" s="23"/>
      <c r="V585" s="24"/>
      <c r="W585" s="28" t="str">
        <f aca="false">IF(OR(X585="",X585="Pending"),"",IF(V585&lt;&gt;"",V585,IFERROR(IF(INDEX(Batches!$H$5:$H$64,MATCH(B585,Batches!$A$5:$A$64,0))="","",INDEX(Batches!$H$5:$H$64,MATCH(B585,Batches!$A$5:$A$64,0))),"")))</f>
        <v/>
      </c>
      <c r="X585" s="23"/>
      <c r="Y585" s="23"/>
      <c r="Z585" s="26"/>
      <c r="AA585" s="27" t="str">
        <f aca="false">IF(R585="","",IF(X585="Not accepted",R585,IF(OR(X585="Accepted",X585="Withdrawn by hospital"),IF(X585="Accepted",0,R585),IF(ISNUMBER(Z585),R585-Z585,""))))</f>
        <v/>
      </c>
      <c r="AB585" s="23"/>
      <c r="AC585" s="25"/>
      <c r="AD585" s="23"/>
      <c r="AE585" s="23"/>
      <c r="AF585" s="24"/>
      <c r="AG585" s="23"/>
      <c r="AH585" s="24"/>
      <c r="AI585" s="29" t="str">
        <f aca="false">IF(X585="Not accepted","Maintained",IF(X585="Partially accepted","Partially maintained",IF(X585="Accepted","Reversed",IF(X585="Withdrawn by hospital","Withdrawn by hospital",""))))</f>
        <v/>
      </c>
      <c r="AJ585" s="28" t="str">
        <f aca="false">IF(AI585="","",W585)</f>
        <v/>
      </c>
      <c r="AK585" s="29" t="str">
        <f aca="false">IF(AND(ISNUMBER(T585),ISNUMBER(W585)),W585-T585,"")</f>
        <v/>
      </c>
      <c r="AL585" s="29" t="str">
        <f aca="false">IF(A585="","",SUMIF(Actions!$C$5:$C$1004,A585,Actions!$F$5:$F$1004))</f>
        <v/>
      </c>
      <c r="AM585" s="25"/>
    </row>
    <row r="586" customFormat="false" ht="15" hidden="false" customHeight="false" outlineLevel="0" collapsed="false">
      <c r="A586" s="23"/>
      <c r="B586" s="23"/>
      <c r="C586" s="23"/>
      <c r="D586" s="23"/>
      <c r="E586" s="23"/>
      <c r="F586" s="23"/>
      <c r="G586" s="23"/>
      <c r="H586" s="23"/>
      <c r="I586" s="23"/>
      <c r="J586" s="23"/>
      <c r="K586" s="24"/>
      <c r="L586" s="23"/>
      <c r="M586" s="25"/>
      <c r="N586" s="25"/>
      <c r="O586" s="23"/>
      <c r="P586" s="26"/>
      <c r="Q586" s="26"/>
      <c r="R586" s="27" t="str">
        <f aca="false">IF(AND(ISNUMBER(P586),ISNUMBER(Q586)),P586-Q586,"")</f>
        <v/>
      </c>
      <c r="S586" s="24"/>
      <c r="T586" s="28" t="str">
        <f aca="false">IF(S586&lt;&gt;"",S586,IF(B586="","",IFERROR(IF(INDEX(Batches!$G$5:$G$64,MATCH(B586,Batches!$A$5:$A$64,0))="","",INDEX(Batches!$G$5:$G$64,MATCH(B586,Batches!$A$5:$A$64,0))),"")))</f>
        <v/>
      </c>
      <c r="U586" s="23"/>
      <c r="V586" s="24"/>
      <c r="W586" s="28" t="str">
        <f aca="false">IF(OR(X586="",X586="Pending"),"",IF(V586&lt;&gt;"",V586,IFERROR(IF(INDEX(Batches!$H$5:$H$64,MATCH(B586,Batches!$A$5:$A$64,0))="","",INDEX(Batches!$H$5:$H$64,MATCH(B586,Batches!$A$5:$A$64,0))),"")))</f>
        <v/>
      </c>
      <c r="X586" s="23"/>
      <c r="Y586" s="23"/>
      <c r="Z586" s="26"/>
      <c r="AA586" s="27" t="str">
        <f aca="false">IF(R586="","",IF(X586="Not accepted",R586,IF(OR(X586="Accepted",X586="Withdrawn by hospital"),IF(X586="Accepted",0,R586),IF(ISNUMBER(Z586),R586-Z586,""))))</f>
        <v/>
      </c>
      <c r="AB586" s="23"/>
      <c r="AC586" s="25"/>
      <c r="AD586" s="23"/>
      <c r="AE586" s="23"/>
      <c r="AF586" s="24"/>
      <c r="AG586" s="23"/>
      <c r="AH586" s="24"/>
      <c r="AI586" s="29" t="str">
        <f aca="false">IF(X586="Not accepted","Maintained",IF(X586="Partially accepted","Partially maintained",IF(X586="Accepted","Reversed",IF(X586="Withdrawn by hospital","Withdrawn by hospital",""))))</f>
        <v/>
      </c>
      <c r="AJ586" s="28" t="str">
        <f aca="false">IF(AI586="","",W586)</f>
        <v/>
      </c>
      <c r="AK586" s="29" t="str">
        <f aca="false">IF(AND(ISNUMBER(T586),ISNUMBER(W586)),W586-T586,"")</f>
        <v/>
      </c>
      <c r="AL586" s="29" t="str">
        <f aca="false">IF(A586="","",SUMIF(Actions!$C$5:$C$1004,A586,Actions!$F$5:$F$1004))</f>
        <v/>
      </c>
      <c r="AM586" s="25"/>
    </row>
    <row r="587" customFormat="false" ht="15" hidden="false" customHeight="false" outlineLevel="0" collapsed="false">
      <c r="A587" s="23"/>
      <c r="B587" s="23"/>
      <c r="C587" s="23"/>
      <c r="D587" s="23"/>
      <c r="E587" s="23"/>
      <c r="F587" s="23"/>
      <c r="G587" s="23"/>
      <c r="H587" s="23"/>
      <c r="I587" s="23"/>
      <c r="J587" s="23"/>
      <c r="K587" s="24"/>
      <c r="L587" s="23"/>
      <c r="M587" s="25"/>
      <c r="N587" s="25"/>
      <c r="O587" s="23"/>
      <c r="P587" s="26"/>
      <c r="Q587" s="26"/>
      <c r="R587" s="27" t="str">
        <f aca="false">IF(AND(ISNUMBER(P587),ISNUMBER(Q587)),P587-Q587,"")</f>
        <v/>
      </c>
      <c r="S587" s="24"/>
      <c r="T587" s="28" t="str">
        <f aca="false">IF(S587&lt;&gt;"",S587,IF(B587="","",IFERROR(IF(INDEX(Batches!$G$5:$G$64,MATCH(B587,Batches!$A$5:$A$64,0))="","",INDEX(Batches!$G$5:$G$64,MATCH(B587,Batches!$A$5:$A$64,0))),"")))</f>
        <v/>
      </c>
      <c r="U587" s="23"/>
      <c r="V587" s="24"/>
      <c r="W587" s="28" t="str">
        <f aca="false">IF(OR(X587="",X587="Pending"),"",IF(V587&lt;&gt;"",V587,IFERROR(IF(INDEX(Batches!$H$5:$H$64,MATCH(B587,Batches!$A$5:$A$64,0))="","",INDEX(Batches!$H$5:$H$64,MATCH(B587,Batches!$A$5:$A$64,0))),"")))</f>
        <v/>
      </c>
      <c r="X587" s="23"/>
      <c r="Y587" s="23"/>
      <c r="Z587" s="26"/>
      <c r="AA587" s="27" t="str">
        <f aca="false">IF(R587="","",IF(X587="Not accepted",R587,IF(OR(X587="Accepted",X587="Withdrawn by hospital"),IF(X587="Accepted",0,R587),IF(ISNUMBER(Z587),R587-Z587,""))))</f>
        <v/>
      </c>
      <c r="AB587" s="23"/>
      <c r="AC587" s="25"/>
      <c r="AD587" s="23"/>
      <c r="AE587" s="23"/>
      <c r="AF587" s="24"/>
      <c r="AG587" s="23"/>
      <c r="AH587" s="24"/>
      <c r="AI587" s="29" t="str">
        <f aca="false">IF(X587="Not accepted","Maintained",IF(X587="Partially accepted","Partially maintained",IF(X587="Accepted","Reversed",IF(X587="Withdrawn by hospital","Withdrawn by hospital",""))))</f>
        <v/>
      </c>
      <c r="AJ587" s="28" t="str">
        <f aca="false">IF(AI587="","",W587)</f>
        <v/>
      </c>
      <c r="AK587" s="29" t="str">
        <f aca="false">IF(AND(ISNUMBER(T587),ISNUMBER(W587)),W587-T587,"")</f>
        <v/>
      </c>
      <c r="AL587" s="29" t="str">
        <f aca="false">IF(A587="","",SUMIF(Actions!$C$5:$C$1004,A587,Actions!$F$5:$F$1004))</f>
        <v/>
      </c>
      <c r="AM587" s="25"/>
    </row>
    <row r="588" customFormat="false" ht="15" hidden="false" customHeight="false" outlineLevel="0" collapsed="false">
      <c r="A588" s="23"/>
      <c r="B588" s="23"/>
      <c r="C588" s="23"/>
      <c r="D588" s="23"/>
      <c r="E588" s="23"/>
      <c r="F588" s="23"/>
      <c r="G588" s="23"/>
      <c r="H588" s="23"/>
      <c r="I588" s="23"/>
      <c r="J588" s="23"/>
      <c r="K588" s="24"/>
      <c r="L588" s="23"/>
      <c r="M588" s="25"/>
      <c r="N588" s="25"/>
      <c r="O588" s="23"/>
      <c r="P588" s="26"/>
      <c r="Q588" s="26"/>
      <c r="R588" s="27" t="str">
        <f aca="false">IF(AND(ISNUMBER(P588),ISNUMBER(Q588)),P588-Q588,"")</f>
        <v/>
      </c>
      <c r="S588" s="24"/>
      <c r="T588" s="28" t="str">
        <f aca="false">IF(S588&lt;&gt;"",S588,IF(B588="","",IFERROR(IF(INDEX(Batches!$G$5:$G$64,MATCH(B588,Batches!$A$5:$A$64,0))="","",INDEX(Batches!$G$5:$G$64,MATCH(B588,Batches!$A$5:$A$64,0))),"")))</f>
        <v/>
      </c>
      <c r="U588" s="23"/>
      <c r="V588" s="24"/>
      <c r="W588" s="28" t="str">
        <f aca="false">IF(OR(X588="",X588="Pending"),"",IF(V588&lt;&gt;"",V588,IFERROR(IF(INDEX(Batches!$H$5:$H$64,MATCH(B588,Batches!$A$5:$A$64,0))="","",INDEX(Batches!$H$5:$H$64,MATCH(B588,Batches!$A$5:$A$64,0))),"")))</f>
        <v/>
      </c>
      <c r="X588" s="23"/>
      <c r="Y588" s="23"/>
      <c r="Z588" s="26"/>
      <c r="AA588" s="27" t="str">
        <f aca="false">IF(R588="","",IF(X588="Not accepted",R588,IF(OR(X588="Accepted",X588="Withdrawn by hospital"),IF(X588="Accepted",0,R588),IF(ISNUMBER(Z588),R588-Z588,""))))</f>
        <v/>
      </c>
      <c r="AB588" s="23"/>
      <c r="AC588" s="25"/>
      <c r="AD588" s="23"/>
      <c r="AE588" s="23"/>
      <c r="AF588" s="24"/>
      <c r="AG588" s="23"/>
      <c r="AH588" s="24"/>
      <c r="AI588" s="29" t="str">
        <f aca="false">IF(X588="Not accepted","Maintained",IF(X588="Partially accepted","Partially maintained",IF(X588="Accepted","Reversed",IF(X588="Withdrawn by hospital","Withdrawn by hospital",""))))</f>
        <v/>
      </c>
      <c r="AJ588" s="28" t="str">
        <f aca="false">IF(AI588="","",W588)</f>
        <v/>
      </c>
      <c r="AK588" s="29" t="str">
        <f aca="false">IF(AND(ISNUMBER(T588),ISNUMBER(W588)),W588-T588,"")</f>
        <v/>
      </c>
      <c r="AL588" s="29" t="str">
        <f aca="false">IF(A588="","",SUMIF(Actions!$C$5:$C$1004,A588,Actions!$F$5:$F$1004))</f>
        <v/>
      </c>
      <c r="AM588" s="25"/>
    </row>
    <row r="589" customFormat="false" ht="15" hidden="false" customHeight="false" outlineLevel="0" collapsed="false">
      <c r="A589" s="23"/>
      <c r="B589" s="23"/>
      <c r="C589" s="23"/>
      <c r="D589" s="23"/>
      <c r="E589" s="23"/>
      <c r="F589" s="23"/>
      <c r="G589" s="23"/>
      <c r="H589" s="23"/>
      <c r="I589" s="23"/>
      <c r="J589" s="23"/>
      <c r="K589" s="24"/>
      <c r="L589" s="23"/>
      <c r="M589" s="25"/>
      <c r="N589" s="25"/>
      <c r="O589" s="23"/>
      <c r="P589" s="26"/>
      <c r="Q589" s="26"/>
      <c r="R589" s="27" t="str">
        <f aca="false">IF(AND(ISNUMBER(P589),ISNUMBER(Q589)),P589-Q589,"")</f>
        <v/>
      </c>
      <c r="S589" s="24"/>
      <c r="T589" s="28" t="str">
        <f aca="false">IF(S589&lt;&gt;"",S589,IF(B589="","",IFERROR(IF(INDEX(Batches!$G$5:$G$64,MATCH(B589,Batches!$A$5:$A$64,0))="","",INDEX(Batches!$G$5:$G$64,MATCH(B589,Batches!$A$5:$A$64,0))),"")))</f>
        <v/>
      </c>
      <c r="U589" s="23"/>
      <c r="V589" s="24"/>
      <c r="W589" s="28" t="str">
        <f aca="false">IF(OR(X589="",X589="Pending"),"",IF(V589&lt;&gt;"",V589,IFERROR(IF(INDEX(Batches!$H$5:$H$64,MATCH(B589,Batches!$A$5:$A$64,0))="","",INDEX(Batches!$H$5:$H$64,MATCH(B589,Batches!$A$5:$A$64,0))),"")))</f>
        <v/>
      </c>
      <c r="X589" s="23"/>
      <c r="Y589" s="23"/>
      <c r="Z589" s="26"/>
      <c r="AA589" s="27" t="str">
        <f aca="false">IF(R589="","",IF(X589="Not accepted",R589,IF(OR(X589="Accepted",X589="Withdrawn by hospital"),IF(X589="Accepted",0,R589),IF(ISNUMBER(Z589),R589-Z589,""))))</f>
        <v/>
      </c>
      <c r="AB589" s="23"/>
      <c r="AC589" s="25"/>
      <c r="AD589" s="23"/>
      <c r="AE589" s="23"/>
      <c r="AF589" s="24"/>
      <c r="AG589" s="23"/>
      <c r="AH589" s="24"/>
      <c r="AI589" s="29" t="str">
        <f aca="false">IF(X589="Not accepted","Maintained",IF(X589="Partially accepted","Partially maintained",IF(X589="Accepted","Reversed",IF(X589="Withdrawn by hospital","Withdrawn by hospital",""))))</f>
        <v/>
      </c>
      <c r="AJ589" s="28" t="str">
        <f aca="false">IF(AI589="","",W589)</f>
        <v/>
      </c>
      <c r="AK589" s="29" t="str">
        <f aca="false">IF(AND(ISNUMBER(T589),ISNUMBER(W589)),W589-T589,"")</f>
        <v/>
      </c>
      <c r="AL589" s="29" t="str">
        <f aca="false">IF(A589="","",SUMIF(Actions!$C$5:$C$1004,A589,Actions!$F$5:$F$1004))</f>
        <v/>
      </c>
      <c r="AM589" s="25"/>
    </row>
    <row r="590" customFormat="false" ht="15" hidden="false" customHeight="false" outlineLevel="0" collapsed="false">
      <c r="A590" s="23"/>
      <c r="B590" s="23"/>
      <c r="C590" s="23"/>
      <c r="D590" s="23"/>
      <c r="E590" s="23"/>
      <c r="F590" s="23"/>
      <c r="G590" s="23"/>
      <c r="H590" s="23"/>
      <c r="I590" s="23"/>
      <c r="J590" s="23"/>
      <c r="K590" s="24"/>
      <c r="L590" s="23"/>
      <c r="M590" s="25"/>
      <c r="N590" s="25"/>
      <c r="O590" s="23"/>
      <c r="P590" s="26"/>
      <c r="Q590" s="26"/>
      <c r="R590" s="27" t="str">
        <f aca="false">IF(AND(ISNUMBER(P590),ISNUMBER(Q590)),P590-Q590,"")</f>
        <v/>
      </c>
      <c r="S590" s="24"/>
      <c r="T590" s="28" t="str">
        <f aca="false">IF(S590&lt;&gt;"",S590,IF(B590="","",IFERROR(IF(INDEX(Batches!$G$5:$G$64,MATCH(B590,Batches!$A$5:$A$64,0))="","",INDEX(Batches!$G$5:$G$64,MATCH(B590,Batches!$A$5:$A$64,0))),"")))</f>
        <v/>
      </c>
      <c r="U590" s="23"/>
      <c r="V590" s="24"/>
      <c r="W590" s="28" t="str">
        <f aca="false">IF(OR(X590="",X590="Pending"),"",IF(V590&lt;&gt;"",V590,IFERROR(IF(INDEX(Batches!$H$5:$H$64,MATCH(B590,Batches!$A$5:$A$64,0))="","",INDEX(Batches!$H$5:$H$64,MATCH(B590,Batches!$A$5:$A$64,0))),"")))</f>
        <v/>
      </c>
      <c r="X590" s="23"/>
      <c r="Y590" s="23"/>
      <c r="Z590" s="26"/>
      <c r="AA590" s="27" t="str">
        <f aca="false">IF(R590="","",IF(X590="Not accepted",R590,IF(OR(X590="Accepted",X590="Withdrawn by hospital"),IF(X590="Accepted",0,R590),IF(ISNUMBER(Z590),R590-Z590,""))))</f>
        <v/>
      </c>
      <c r="AB590" s="23"/>
      <c r="AC590" s="25"/>
      <c r="AD590" s="23"/>
      <c r="AE590" s="23"/>
      <c r="AF590" s="24"/>
      <c r="AG590" s="23"/>
      <c r="AH590" s="24"/>
      <c r="AI590" s="29" t="str">
        <f aca="false">IF(X590="Not accepted","Maintained",IF(X590="Partially accepted","Partially maintained",IF(X590="Accepted","Reversed",IF(X590="Withdrawn by hospital","Withdrawn by hospital",""))))</f>
        <v/>
      </c>
      <c r="AJ590" s="28" t="str">
        <f aca="false">IF(AI590="","",W590)</f>
        <v/>
      </c>
      <c r="AK590" s="29" t="str">
        <f aca="false">IF(AND(ISNUMBER(T590),ISNUMBER(W590)),W590-T590,"")</f>
        <v/>
      </c>
      <c r="AL590" s="29" t="str">
        <f aca="false">IF(A590="","",SUMIF(Actions!$C$5:$C$1004,A590,Actions!$F$5:$F$1004))</f>
        <v/>
      </c>
      <c r="AM590" s="25"/>
    </row>
    <row r="591" customFormat="false" ht="15" hidden="false" customHeight="false" outlineLevel="0" collapsed="false">
      <c r="A591" s="23"/>
      <c r="B591" s="23"/>
      <c r="C591" s="23"/>
      <c r="D591" s="23"/>
      <c r="E591" s="23"/>
      <c r="F591" s="23"/>
      <c r="G591" s="23"/>
      <c r="H591" s="23"/>
      <c r="I591" s="23"/>
      <c r="J591" s="23"/>
      <c r="K591" s="24"/>
      <c r="L591" s="23"/>
      <c r="M591" s="25"/>
      <c r="N591" s="25"/>
      <c r="O591" s="23"/>
      <c r="P591" s="26"/>
      <c r="Q591" s="26"/>
      <c r="R591" s="27" t="str">
        <f aca="false">IF(AND(ISNUMBER(P591),ISNUMBER(Q591)),P591-Q591,"")</f>
        <v/>
      </c>
      <c r="S591" s="24"/>
      <c r="T591" s="28" t="str">
        <f aca="false">IF(S591&lt;&gt;"",S591,IF(B591="","",IFERROR(IF(INDEX(Batches!$G$5:$G$64,MATCH(B591,Batches!$A$5:$A$64,0))="","",INDEX(Batches!$G$5:$G$64,MATCH(B591,Batches!$A$5:$A$64,0))),"")))</f>
        <v/>
      </c>
      <c r="U591" s="23"/>
      <c r="V591" s="24"/>
      <c r="W591" s="28" t="str">
        <f aca="false">IF(OR(X591="",X591="Pending"),"",IF(V591&lt;&gt;"",V591,IFERROR(IF(INDEX(Batches!$H$5:$H$64,MATCH(B591,Batches!$A$5:$A$64,0))="","",INDEX(Batches!$H$5:$H$64,MATCH(B591,Batches!$A$5:$A$64,0))),"")))</f>
        <v/>
      </c>
      <c r="X591" s="23"/>
      <c r="Y591" s="23"/>
      <c r="Z591" s="26"/>
      <c r="AA591" s="27" t="str">
        <f aca="false">IF(R591="","",IF(X591="Not accepted",R591,IF(OR(X591="Accepted",X591="Withdrawn by hospital"),IF(X591="Accepted",0,R591),IF(ISNUMBER(Z591),R591-Z591,""))))</f>
        <v/>
      </c>
      <c r="AB591" s="23"/>
      <c r="AC591" s="25"/>
      <c r="AD591" s="23"/>
      <c r="AE591" s="23"/>
      <c r="AF591" s="24"/>
      <c r="AG591" s="23"/>
      <c r="AH591" s="24"/>
      <c r="AI591" s="29" t="str">
        <f aca="false">IF(X591="Not accepted","Maintained",IF(X591="Partially accepted","Partially maintained",IF(X591="Accepted","Reversed",IF(X591="Withdrawn by hospital","Withdrawn by hospital",""))))</f>
        <v/>
      </c>
      <c r="AJ591" s="28" t="str">
        <f aca="false">IF(AI591="","",W591)</f>
        <v/>
      </c>
      <c r="AK591" s="29" t="str">
        <f aca="false">IF(AND(ISNUMBER(T591),ISNUMBER(W591)),W591-T591,"")</f>
        <v/>
      </c>
      <c r="AL591" s="29" t="str">
        <f aca="false">IF(A591="","",SUMIF(Actions!$C$5:$C$1004,A591,Actions!$F$5:$F$1004))</f>
        <v/>
      </c>
      <c r="AM591" s="25"/>
    </row>
    <row r="592" customFormat="false" ht="15" hidden="false" customHeight="false" outlineLevel="0" collapsed="false">
      <c r="A592" s="23"/>
      <c r="B592" s="23"/>
      <c r="C592" s="23"/>
      <c r="D592" s="23"/>
      <c r="E592" s="23"/>
      <c r="F592" s="23"/>
      <c r="G592" s="23"/>
      <c r="H592" s="23"/>
      <c r="I592" s="23"/>
      <c r="J592" s="23"/>
      <c r="K592" s="24"/>
      <c r="L592" s="23"/>
      <c r="M592" s="25"/>
      <c r="N592" s="25"/>
      <c r="O592" s="23"/>
      <c r="P592" s="26"/>
      <c r="Q592" s="26"/>
      <c r="R592" s="27" t="str">
        <f aca="false">IF(AND(ISNUMBER(P592),ISNUMBER(Q592)),P592-Q592,"")</f>
        <v/>
      </c>
      <c r="S592" s="24"/>
      <c r="T592" s="28" t="str">
        <f aca="false">IF(S592&lt;&gt;"",S592,IF(B592="","",IFERROR(IF(INDEX(Batches!$G$5:$G$64,MATCH(B592,Batches!$A$5:$A$64,0))="","",INDEX(Batches!$G$5:$G$64,MATCH(B592,Batches!$A$5:$A$64,0))),"")))</f>
        <v/>
      </c>
      <c r="U592" s="23"/>
      <c r="V592" s="24"/>
      <c r="W592" s="28" t="str">
        <f aca="false">IF(OR(X592="",X592="Pending"),"",IF(V592&lt;&gt;"",V592,IFERROR(IF(INDEX(Batches!$H$5:$H$64,MATCH(B592,Batches!$A$5:$A$64,0))="","",INDEX(Batches!$H$5:$H$64,MATCH(B592,Batches!$A$5:$A$64,0))),"")))</f>
        <v/>
      </c>
      <c r="X592" s="23"/>
      <c r="Y592" s="23"/>
      <c r="Z592" s="26"/>
      <c r="AA592" s="27" t="str">
        <f aca="false">IF(R592="","",IF(X592="Not accepted",R592,IF(OR(X592="Accepted",X592="Withdrawn by hospital"),IF(X592="Accepted",0,R592),IF(ISNUMBER(Z592),R592-Z592,""))))</f>
        <v/>
      </c>
      <c r="AB592" s="23"/>
      <c r="AC592" s="25"/>
      <c r="AD592" s="23"/>
      <c r="AE592" s="23"/>
      <c r="AF592" s="24"/>
      <c r="AG592" s="23"/>
      <c r="AH592" s="24"/>
      <c r="AI592" s="29" t="str">
        <f aca="false">IF(X592="Not accepted","Maintained",IF(X592="Partially accepted","Partially maintained",IF(X592="Accepted","Reversed",IF(X592="Withdrawn by hospital","Withdrawn by hospital",""))))</f>
        <v/>
      </c>
      <c r="AJ592" s="28" t="str">
        <f aca="false">IF(AI592="","",W592)</f>
        <v/>
      </c>
      <c r="AK592" s="29" t="str">
        <f aca="false">IF(AND(ISNUMBER(T592),ISNUMBER(W592)),W592-T592,"")</f>
        <v/>
      </c>
      <c r="AL592" s="29" t="str">
        <f aca="false">IF(A592="","",SUMIF(Actions!$C$5:$C$1004,A592,Actions!$F$5:$F$1004))</f>
        <v/>
      </c>
      <c r="AM592" s="25"/>
    </row>
    <row r="593" customFormat="false" ht="15" hidden="false" customHeight="false" outlineLevel="0" collapsed="false">
      <c r="A593" s="23"/>
      <c r="B593" s="23"/>
      <c r="C593" s="23"/>
      <c r="D593" s="23"/>
      <c r="E593" s="23"/>
      <c r="F593" s="23"/>
      <c r="G593" s="23"/>
      <c r="H593" s="23"/>
      <c r="I593" s="23"/>
      <c r="J593" s="23"/>
      <c r="K593" s="24"/>
      <c r="L593" s="23"/>
      <c r="M593" s="25"/>
      <c r="N593" s="25"/>
      <c r="O593" s="23"/>
      <c r="P593" s="26"/>
      <c r="Q593" s="26"/>
      <c r="R593" s="27" t="str">
        <f aca="false">IF(AND(ISNUMBER(P593),ISNUMBER(Q593)),P593-Q593,"")</f>
        <v/>
      </c>
      <c r="S593" s="24"/>
      <c r="T593" s="28" t="str">
        <f aca="false">IF(S593&lt;&gt;"",S593,IF(B593="","",IFERROR(IF(INDEX(Batches!$G$5:$G$64,MATCH(B593,Batches!$A$5:$A$64,0))="","",INDEX(Batches!$G$5:$G$64,MATCH(B593,Batches!$A$5:$A$64,0))),"")))</f>
        <v/>
      </c>
      <c r="U593" s="23"/>
      <c r="V593" s="24"/>
      <c r="W593" s="28" t="str">
        <f aca="false">IF(OR(X593="",X593="Pending"),"",IF(V593&lt;&gt;"",V593,IFERROR(IF(INDEX(Batches!$H$5:$H$64,MATCH(B593,Batches!$A$5:$A$64,0))="","",INDEX(Batches!$H$5:$H$64,MATCH(B593,Batches!$A$5:$A$64,0))),"")))</f>
        <v/>
      </c>
      <c r="X593" s="23"/>
      <c r="Y593" s="23"/>
      <c r="Z593" s="26"/>
      <c r="AA593" s="27" t="str">
        <f aca="false">IF(R593="","",IF(X593="Not accepted",R593,IF(OR(X593="Accepted",X593="Withdrawn by hospital"),IF(X593="Accepted",0,R593),IF(ISNUMBER(Z593),R593-Z593,""))))</f>
        <v/>
      </c>
      <c r="AB593" s="23"/>
      <c r="AC593" s="25"/>
      <c r="AD593" s="23"/>
      <c r="AE593" s="23"/>
      <c r="AF593" s="24"/>
      <c r="AG593" s="23"/>
      <c r="AH593" s="24"/>
      <c r="AI593" s="29" t="str">
        <f aca="false">IF(X593="Not accepted","Maintained",IF(X593="Partially accepted","Partially maintained",IF(X593="Accepted","Reversed",IF(X593="Withdrawn by hospital","Withdrawn by hospital",""))))</f>
        <v/>
      </c>
      <c r="AJ593" s="28" t="str">
        <f aca="false">IF(AI593="","",W593)</f>
        <v/>
      </c>
      <c r="AK593" s="29" t="str">
        <f aca="false">IF(AND(ISNUMBER(T593),ISNUMBER(W593)),W593-T593,"")</f>
        <v/>
      </c>
      <c r="AL593" s="29" t="str">
        <f aca="false">IF(A593="","",SUMIF(Actions!$C$5:$C$1004,A593,Actions!$F$5:$F$1004))</f>
        <v/>
      </c>
      <c r="AM593" s="25"/>
    </row>
    <row r="594" customFormat="false" ht="15" hidden="false" customHeight="false" outlineLevel="0" collapsed="false">
      <c r="A594" s="23"/>
      <c r="B594" s="23"/>
      <c r="C594" s="23"/>
      <c r="D594" s="23"/>
      <c r="E594" s="23"/>
      <c r="F594" s="23"/>
      <c r="G594" s="23"/>
      <c r="H594" s="23"/>
      <c r="I594" s="23"/>
      <c r="J594" s="23"/>
      <c r="K594" s="24"/>
      <c r="L594" s="23"/>
      <c r="M594" s="25"/>
      <c r="N594" s="25"/>
      <c r="O594" s="23"/>
      <c r="P594" s="26"/>
      <c r="Q594" s="26"/>
      <c r="R594" s="27" t="str">
        <f aca="false">IF(AND(ISNUMBER(P594),ISNUMBER(Q594)),P594-Q594,"")</f>
        <v/>
      </c>
      <c r="S594" s="24"/>
      <c r="T594" s="28" t="str">
        <f aca="false">IF(S594&lt;&gt;"",S594,IF(B594="","",IFERROR(IF(INDEX(Batches!$G$5:$G$64,MATCH(B594,Batches!$A$5:$A$64,0))="","",INDEX(Batches!$G$5:$G$64,MATCH(B594,Batches!$A$5:$A$64,0))),"")))</f>
        <v/>
      </c>
      <c r="U594" s="23"/>
      <c r="V594" s="24"/>
      <c r="W594" s="28" t="str">
        <f aca="false">IF(OR(X594="",X594="Pending"),"",IF(V594&lt;&gt;"",V594,IFERROR(IF(INDEX(Batches!$H$5:$H$64,MATCH(B594,Batches!$A$5:$A$64,0))="","",INDEX(Batches!$H$5:$H$64,MATCH(B594,Batches!$A$5:$A$64,0))),"")))</f>
        <v/>
      </c>
      <c r="X594" s="23"/>
      <c r="Y594" s="23"/>
      <c r="Z594" s="26"/>
      <c r="AA594" s="27" t="str">
        <f aca="false">IF(R594="","",IF(X594="Not accepted",R594,IF(OR(X594="Accepted",X594="Withdrawn by hospital"),IF(X594="Accepted",0,R594),IF(ISNUMBER(Z594),R594-Z594,""))))</f>
        <v/>
      </c>
      <c r="AB594" s="23"/>
      <c r="AC594" s="25"/>
      <c r="AD594" s="23"/>
      <c r="AE594" s="23"/>
      <c r="AF594" s="24"/>
      <c r="AG594" s="23"/>
      <c r="AH594" s="24"/>
      <c r="AI594" s="29" t="str">
        <f aca="false">IF(X594="Not accepted","Maintained",IF(X594="Partially accepted","Partially maintained",IF(X594="Accepted","Reversed",IF(X594="Withdrawn by hospital","Withdrawn by hospital",""))))</f>
        <v/>
      </c>
      <c r="AJ594" s="28" t="str">
        <f aca="false">IF(AI594="","",W594)</f>
        <v/>
      </c>
      <c r="AK594" s="29" t="str">
        <f aca="false">IF(AND(ISNUMBER(T594),ISNUMBER(W594)),W594-T594,"")</f>
        <v/>
      </c>
      <c r="AL594" s="29" t="str">
        <f aca="false">IF(A594="","",SUMIF(Actions!$C$5:$C$1004,A594,Actions!$F$5:$F$1004))</f>
        <v/>
      </c>
      <c r="AM594" s="25"/>
    </row>
    <row r="595" customFormat="false" ht="15" hidden="false" customHeight="false" outlineLevel="0" collapsed="false">
      <c r="A595" s="23"/>
      <c r="B595" s="23"/>
      <c r="C595" s="23"/>
      <c r="D595" s="23"/>
      <c r="E595" s="23"/>
      <c r="F595" s="23"/>
      <c r="G595" s="23"/>
      <c r="H595" s="23"/>
      <c r="I595" s="23"/>
      <c r="J595" s="23"/>
      <c r="K595" s="24"/>
      <c r="L595" s="23"/>
      <c r="M595" s="25"/>
      <c r="N595" s="25"/>
      <c r="O595" s="23"/>
      <c r="P595" s="26"/>
      <c r="Q595" s="26"/>
      <c r="R595" s="27" t="str">
        <f aca="false">IF(AND(ISNUMBER(P595),ISNUMBER(Q595)),P595-Q595,"")</f>
        <v/>
      </c>
      <c r="S595" s="24"/>
      <c r="T595" s="28" t="str">
        <f aca="false">IF(S595&lt;&gt;"",S595,IF(B595="","",IFERROR(IF(INDEX(Batches!$G$5:$G$64,MATCH(B595,Batches!$A$5:$A$64,0))="","",INDEX(Batches!$G$5:$G$64,MATCH(B595,Batches!$A$5:$A$64,0))),"")))</f>
        <v/>
      </c>
      <c r="U595" s="23"/>
      <c r="V595" s="24"/>
      <c r="W595" s="28" t="str">
        <f aca="false">IF(OR(X595="",X595="Pending"),"",IF(V595&lt;&gt;"",V595,IFERROR(IF(INDEX(Batches!$H$5:$H$64,MATCH(B595,Batches!$A$5:$A$64,0))="","",INDEX(Batches!$H$5:$H$64,MATCH(B595,Batches!$A$5:$A$64,0))),"")))</f>
        <v/>
      </c>
      <c r="X595" s="23"/>
      <c r="Y595" s="23"/>
      <c r="Z595" s="26"/>
      <c r="AA595" s="27" t="str">
        <f aca="false">IF(R595="","",IF(X595="Not accepted",R595,IF(OR(X595="Accepted",X595="Withdrawn by hospital"),IF(X595="Accepted",0,R595),IF(ISNUMBER(Z595),R595-Z595,""))))</f>
        <v/>
      </c>
      <c r="AB595" s="23"/>
      <c r="AC595" s="25"/>
      <c r="AD595" s="23"/>
      <c r="AE595" s="23"/>
      <c r="AF595" s="24"/>
      <c r="AG595" s="23"/>
      <c r="AH595" s="24"/>
      <c r="AI595" s="29" t="str">
        <f aca="false">IF(X595="Not accepted","Maintained",IF(X595="Partially accepted","Partially maintained",IF(X595="Accepted","Reversed",IF(X595="Withdrawn by hospital","Withdrawn by hospital",""))))</f>
        <v/>
      </c>
      <c r="AJ595" s="28" t="str">
        <f aca="false">IF(AI595="","",W595)</f>
        <v/>
      </c>
      <c r="AK595" s="29" t="str">
        <f aca="false">IF(AND(ISNUMBER(T595),ISNUMBER(W595)),W595-T595,"")</f>
        <v/>
      </c>
      <c r="AL595" s="29" t="str">
        <f aca="false">IF(A595="","",SUMIF(Actions!$C$5:$C$1004,A595,Actions!$F$5:$F$1004))</f>
        <v/>
      </c>
      <c r="AM595" s="25"/>
    </row>
    <row r="596" customFormat="false" ht="15" hidden="false" customHeight="false" outlineLevel="0" collapsed="false">
      <c r="A596" s="23"/>
      <c r="B596" s="23"/>
      <c r="C596" s="23"/>
      <c r="D596" s="23"/>
      <c r="E596" s="23"/>
      <c r="F596" s="23"/>
      <c r="G596" s="23"/>
      <c r="H596" s="23"/>
      <c r="I596" s="23"/>
      <c r="J596" s="23"/>
      <c r="K596" s="24"/>
      <c r="L596" s="23"/>
      <c r="M596" s="25"/>
      <c r="N596" s="25"/>
      <c r="O596" s="23"/>
      <c r="P596" s="26"/>
      <c r="Q596" s="26"/>
      <c r="R596" s="27" t="str">
        <f aca="false">IF(AND(ISNUMBER(P596),ISNUMBER(Q596)),P596-Q596,"")</f>
        <v/>
      </c>
      <c r="S596" s="24"/>
      <c r="T596" s="28" t="str">
        <f aca="false">IF(S596&lt;&gt;"",S596,IF(B596="","",IFERROR(IF(INDEX(Batches!$G$5:$G$64,MATCH(B596,Batches!$A$5:$A$64,0))="","",INDEX(Batches!$G$5:$G$64,MATCH(B596,Batches!$A$5:$A$64,0))),"")))</f>
        <v/>
      </c>
      <c r="U596" s="23"/>
      <c r="V596" s="24"/>
      <c r="W596" s="28" t="str">
        <f aca="false">IF(OR(X596="",X596="Pending"),"",IF(V596&lt;&gt;"",V596,IFERROR(IF(INDEX(Batches!$H$5:$H$64,MATCH(B596,Batches!$A$5:$A$64,0))="","",INDEX(Batches!$H$5:$H$64,MATCH(B596,Batches!$A$5:$A$64,0))),"")))</f>
        <v/>
      </c>
      <c r="X596" s="23"/>
      <c r="Y596" s="23"/>
      <c r="Z596" s="26"/>
      <c r="AA596" s="27" t="str">
        <f aca="false">IF(R596="","",IF(X596="Not accepted",R596,IF(OR(X596="Accepted",X596="Withdrawn by hospital"),IF(X596="Accepted",0,R596),IF(ISNUMBER(Z596),R596-Z596,""))))</f>
        <v/>
      </c>
      <c r="AB596" s="23"/>
      <c r="AC596" s="25"/>
      <c r="AD596" s="23"/>
      <c r="AE596" s="23"/>
      <c r="AF596" s="24"/>
      <c r="AG596" s="23"/>
      <c r="AH596" s="24"/>
      <c r="AI596" s="29" t="str">
        <f aca="false">IF(X596="Not accepted","Maintained",IF(X596="Partially accepted","Partially maintained",IF(X596="Accepted","Reversed",IF(X596="Withdrawn by hospital","Withdrawn by hospital",""))))</f>
        <v/>
      </c>
      <c r="AJ596" s="28" t="str">
        <f aca="false">IF(AI596="","",W596)</f>
        <v/>
      </c>
      <c r="AK596" s="29" t="str">
        <f aca="false">IF(AND(ISNUMBER(T596),ISNUMBER(W596)),W596-T596,"")</f>
        <v/>
      </c>
      <c r="AL596" s="29" t="str">
        <f aca="false">IF(A596="","",SUMIF(Actions!$C$5:$C$1004,A596,Actions!$F$5:$F$1004))</f>
        <v/>
      </c>
      <c r="AM596" s="25"/>
    </row>
    <row r="597" customFormat="false" ht="15" hidden="false" customHeight="false" outlineLevel="0" collapsed="false">
      <c r="A597" s="23"/>
      <c r="B597" s="23"/>
      <c r="C597" s="23"/>
      <c r="D597" s="23"/>
      <c r="E597" s="23"/>
      <c r="F597" s="23"/>
      <c r="G597" s="23"/>
      <c r="H597" s="23"/>
      <c r="I597" s="23"/>
      <c r="J597" s="23"/>
      <c r="K597" s="24"/>
      <c r="L597" s="23"/>
      <c r="M597" s="25"/>
      <c r="N597" s="25"/>
      <c r="O597" s="23"/>
      <c r="P597" s="26"/>
      <c r="Q597" s="26"/>
      <c r="R597" s="27" t="str">
        <f aca="false">IF(AND(ISNUMBER(P597),ISNUMBER(Q597)),P597-Q597,"")</f>
        <v/>
      </c>
      <c r="S597" s="24"/>
      <c r="T597" s="28" t="str">
        <f aca="false">IF(S597&lt;&gt;"",S597,IF(B597="","",IFERROR(IF(INDEX(Batches!$G$5:$G$64,MATCH(B597,Batches!$A$5:$A$64,0))="","",INDEX(Batches!$G$5:$G$64,MATCH(B597,Batches!$A$5:$A$64,0))),"")))</f>
        <v/>
      </c>
      <c r="U597" s="23"/>
      <c r="V597" s="24"/>
      <c r="W597" s="28" t="str">
        <f aca="false">IF(OR(X597="",X597="Pending"),"",IF(V597&lt;&gt;"",V597,IFERROR(IF(INDEX(Batches!$H$5:$H$64,MATCH(B597,Batches!$A$5:$A$64,0))="","",INDEX(Batches!$H$5:$H$64,MATCH(B597,Batches!$A$5:$A$64,0))),"")))</f>
        <v/>
      </c>
      <c r="X597" s="23"/>
      <c r="Y597" s="23"/>
      <c r="Z597" s="26"/>
      <c r="AA597" s="27" t="str">
        <f aca="false">IF(R597="","",IF(X597="Not accepted",R597,IF(OR(X597="Accepted",X597="Withdrawn by hospital"),IF(X597="Accepted",0,R597),IF(ISNUMBER(Z597),R597-Z597,""))))</f>
        <v/>
      </c>
      <c r="AB597" s="23"/>
      <c r="AC597" s="25"/>
      <c r="AD597" s="23"/>
      <c r="AE597" s="23"/>
      <c r="AF597" s="24"/>
      <c r="AG597" s="23"/>
      <c r="AH597" s="24"/>
      <c r="AI597" s="29" t="str">
        <f aca="false">IF(X597="Not accepted","Maintained",IF(X597="Partially accepted","Partially maintained",IF(X597="Accepted","Reversed",IF(X597="Withdrawn by hospital","Withdrawn by hospital",""))))</f>
        <v/>
      </c>
      <c r="AJ597" s="28" t="str">
        <f aca="false">IF(AI597="","",W597)</f>
        <v/>
      </c>
      <c r="AK597" s="29" t="str">
        <f aca="false">IF(AND(ISNUMBER(T597),ISNUMBER(W597)),W597-T597,"")</f>
        <v/>
      </c>
      <c r="AL597" s="29" t="str">
        <f aca="false">IF(A597="","",SUMIF(Actions!$C$5:$C$1004,A597,Actions!$F$5:$F$1004))</f>
        <v/>
      </c>
      <c r="AM597" s="25"/>
    </row>
    <row r="598" customFormat="false" ht="15" hidden="false" customHeight="false" outlineLevel="0" collapsed="false">
      <c r="A598" s="23"/>
      <c r="B598" s="23"/>
      <c r="C598" s="23"/>
      <c r="D598" s="23"/>
      <c r="E598" s="23"/>
      <c r="F598" s="23"/>
      <c r="G598" s="23"/>
      <c r="H598" s="23"/>
      <c r="I598" s="23"/>
      <c r="J598" s="23"/>
      <c r="K598" s="24"/>
      <c r="L598" s="23"/>
      <c r="M598" s="25"/>
      <c r="N598" s="25"/>
      <c r="O598" s="23"/>
      <c r="P598" s="26"/>
      <c r="Q598" s="26"/>
      <c r="R598" s="27" t="str">
        <f aca="false">IF(AND(ISNUMBER(P598),ISNUMBER(Q598)),P598-Q598,"")</f>
        <v/>
      </c>
      <c r="S598" s="24"/>
      <c r="T598" s="28" t="str">
        <f aca="false">IF(S598&lt;&gt;"",S598,IF(B598="","",IFERROR(IF(INDEX(Batches!$G$5:$G$64,MATCH(B598,Batches!$A$5:$A$64,0))="","",INDEX(Batches!$G$5:$G$64,MATCH(B598,Batches!$A$5:$A$64,0))),"")))</f>
        <v/>
      </c>
      <c r="U598" s="23"/>
      <c r="V598" s="24"/>
      <c r="W598" s="28" t="str">
        <f aca="false">IF(OR(X598="",X598="Pending"),"",IF(V598&lt;&gt;"",V598,IFERROR(IF(INDEX(Batches!$H$5:$H$64,MATCH(B598,Batches!$A$5:$A$64,0))="","",INDEX(Batches!$H$5:$H$64,MATCH(B598,Batches!$A$5:$A$64,0))),"")))</f>
        <v/>
      </c>
      <c r="X598" s="23"/>
      <c r="Y598" s="23"/>
      <c r="Z598" s="26"/>
      <c r="AA598" s="27" t="str">
        <f aca="false">IF(R598="","",IF(X598="Not accepted",R598,IF(OR(X598="Accepted",X598="Withdrawn by hospital"),IF(X598="Accepted",0,R598),IF(ISNUMBER(Z598),R598-Z598,""))))</f>
        <v/>
      </c>
      <c r="AB598" s="23"/>
      <c r="AC598" s="25"/>
      <c r="AD598" s="23"/>
      <c r="AE598" s="23"/>
      <c r="AF598" s="24"/>
      <c r="AG598" s="23"/>
      <c r="AH598" s="24"/>
      <c r="AI598" s="29" t="str">
        <f aca="false">IF(X598="Not accepted","Maintained",IF(X598="Partially accepted","Partially maintained",IF(X598="Accepted","Reversed",IF(X598="Withdrawn by hospital","Withdrawn by hospital",""))))</f>
        <v/>
      </c>
      <c r="AJ598" s="28" t="str">
        <f aca="false">IF(AI598="","",W598)</f>
        <v/>
      </c>
      <c r="AK598" s="29" t="str">
        <f aca="false">IF(AND(ISNUMBER(T598),ISNUMBER(W598)),W598-T598,"")</f>
        <v/>
      </c>
      <c r="AL598" s="29" t="str">
        <f aca="false">IF(A598="","",SUMIF(Actions!$C$5:$C$1004,A598,Actions!$F$5:$F$1004))</f>
        <v/>
      </c>
      <c r="AM598" s="25"/>
    </row>
    <row r="599" customFormat="false" ht="15" hidden="false" customHeight="false" outlineLevel="0" collapsed="false">
      <c r="A599" s="23"/>
      <c r="B599" s="23"/>
      <c r="C599" s="23"/>
      <c r="D599" s="23"/>
      <c r="E599" s="23"/>
      <c r="F599" s="23"/>
      <c r="G599" s="23"/>
      <c r="H599" s="23"/>
      <c r="I599" s="23"/>
      <c r="J599" s="23"/>
      <c r="K599" s="24"/>
      <c r="L599" s="23"/>
      <c r="M599" s="25"/>
      <c r="N599" s="25"/>
      <c r="O599" s="23"/>
      <c r="P599" s="26"/>
      <c r="Q599" s="26"/>
      <c r="R599" s="27" t="str">
        <f aca="false">IF(AND(ISNUMBER(P599),ISNUMBER(Q599)),P599-Q599,"")</f>
        <v/>
      </c>
      <c r="S599" s="24"/>
      <c r="T599" s="28" t="str">
        <f aca="false">IF(S599&lt;&gt;"",S599,IF(B599="","",IFERROR(IF(INDEX(Batches!$G$5:$G$64,MATCH(B599,Batches!$A$5:$A$64,0))="","",INDEX(Batches!$G$5:$G$64,MATCH(B599,Batches!$A$5:$A$64,0))),"")))</f>
        <v/>
      </c>
      <c r="U599" s="23"/>
      <c r="V599" s="24"/>
      <c r="W599" s="28" t="str">
        <f aca="false">IF(OR(X599="",X599="Pending"),"",IF(V599&lt;&gt;"",V599,IFERROR(IF(INDEX(Batches!$H$5:$H$64,MATCH(B599,Batches!$A$5:$A$64,0))="","",INDEX(Batches!$H$5:$H$64,MATCH(B599,Batches!$A$5:$A$64,0))),"")))</f>
        <v/>
      </c>
      <c r="X599" s="23"/>
      <c r="Y599" s="23"/>
      <c r="Z599" s="26"/>
      <c r="AA599" s="27" t="str">
        <f aca="false">IF(R599="","",IF(X599="Not accepted",R599,IF(OR(X599="Accepted",X599="Withdrawn by hospital"),IF(X599="Accepted",0,R599),IF(ISNUMBER(Z599),R599-Z599,""))))</f>
        <v/>
      </c>
      <c r="AB599" s="23"/>
      <c r="AC599" s="25"/>
      <c r="AD599" s="23"/>
      <c r="AE599" s="23"/>
      <c r="AF599" s="24"/>
      <c r="AG599" s="23"/>
      <c r="AH599" s="24"/>
      <c r="AI599" s="29" t="str">
        <f aca="false">IF(X599="Not accepted","Maintained",IF(X599="Partially accepted","Partially maintained",IF(X599="Accepted","Reversed",IF(X599="Withdrawn by hospital","Withdrawn by hospital",""))))</f>
        <v/>
      </c>
      <c r="AJ599" s="28" t="str">
        <f aca="false">IF(AI599="","",W599)</f>
        <v/>
      </c>
      <c r="AK599" s="29" t="str">
        <f aca="false">IF(AND(ISNUMBER(T599),ISNUMBER(W599)),W599-T599,"")</f>
        <v/>
      </c>
      <c r="AL599" s="29" t="str">
        <f aca="false">IF(A599="","",SUMIF(Actions!$C$5:$C$1004,A599,Actions!$F$5:$F$1004))</f>
        <v/>
      </c>
      <c r="AM599" s="25"/>
    </row>
    <row r="600" customFormat="false" ht="15" hidden="false" customHeight="false" outlineLevel="0" collapsed="false">
      <c r="A600" s="23"/>
      <c r="B600" s="23"/>
      <c r="C600" s="23"/>
      <c r="D600" s="23"/>
      <c r="E600" s="23"/>
      <c r="F600" s="23"/>
      <c r="G600" s="23"/>
      <c r="H600" s="23"/>
      <c r="I600" s="23"/>
      <c r="J600" s="23"/>
      <c r="K600" s="24"/>
      <c r="L600" s="23"/>
      <c r="M600" s="25"/>
      <c r="N600" s="25"/>
      <c r="O600" s="23"/>
      <c r="P600" s="26"/>
      <c r="Q600" s="26"/>
      <c r="R600" s="27" t="str">
        <f aca="false">IF(AND(ISNUMBER(P600),ISNUMBER(Q600)),P600-Q600,"")</f>
        <v/>
      </c>
      <c r="S600" s="24"/>
      <c r="T600" s="28" t="str">
        <f aca="false">IF(S600&lt;&gt;"",S600,IF(B600="","",IFERROR(IF(INDEX(Batches!$G$5:$G$64,MATCH(B600,Batches!$A$5:$A$64,0))="","",INDEX(Batches!$G$5:$G$64,MATCH(B600,Batches!$A$5:$A$64,0))),"")))</f>
        <v/>
      </c>
      <c r="U600" s="23"/>
      <c r="V600" s="24"/>
      <c r="W600" s="28" t="str">
        <f aca="false">IF(OR(X600="",X600="Pending"),"",IF(V600&lt;&gt;"",V600,IFERROR(IF(INDEX(Batches!$H$5:$H$64,MATCH(B600,Batches!$A$5:$A$64,0))="","",INDEX(Batches!$H$5:$H$64,MATCH(B600,Batches!$A$5:$A$64,0))),"")))</f>
        <v/>
      </c>
      <c r="X600" s="23"/>
      <c r="Y600" s="23"/>
      <c r="Z600" s="26"/>
      <c r="AA600" s="27" t="str">
        <f aca="false">IF(R600="","",IF(X600="Not accepted",R600,IF(OR(X600="Accepted",X600="Withdrawn by hospital"),IF(X600="Accepted",0,R600),IF(ISNUMBER(Z600),R600-Z600,""))))</f>
        <v/>
      </c>
      <c r="AB600" s="23"/>
      <c r="AC600" s="25"/>
      <c r="AD600" s="23"/>
      <c r="AE600" s="23"/>
      <c r="AF600" s="24"/>
      <c r="AG600" s="23"/>
      <c r="AH600" s="24"/>
      <c r="AI600" s="29" t="str">
        <f aca="false">IF(X600="Not accepted","Maintained",IF(X600="Partially accepted","Partially maintained",IF(X600="Accepted","Reversed",IF(X600="Withdrawn by hospital","Withdrawn by hospital",""))))</f>
        <v/>
      </c>
      <c r="AJ600" s="28" t="str">
        <f aca="false">IF(AI600="","",W600)</f>
        <v/>
      </c>
      <c r="AK600" s="29" t="str">
        <f aca="false">IF(AND(ISNUMBER(T600),ISNUMBER(W600)),W600-T600,"")</f>
        <v/>
      </c>
      <c r="AL600" s="29" t="str">
        <f aca="false">IF(A600="","",SUMIF(Actions!$C$5:$C$1004,A600,Actions!$F$5:$F$1004))</f>
        <v/>
      </c>
      <c r="AM600" s="25"/>
    </row>
    <row r="601" customFormat="false" ht="15" hidden="false" customHeight="false" outlineLevel="0" collapsed="false">
      <c r="A601" s="23"/>
      <c r="B601" s="23"/>
      <c r="C601" s="23"/>
      <c r="D601" s="23"/>
      <c r="E601" s="23"/>
      <c r="F601" s="23"/>
      <c r="G601" s="23"/>
      <c r="H601" s="23"/>
      <c r="I601" s="23"/>
      <c r="J601" s="23"/>
      <c r="K601" s="24"/>
      <c r="L601" s="23"/>
      <c r="M601" s="25"/>
      <c r="N601" s="25"/>
      <c r="O601" s="23"/>
      <c r="P601" s="26"/>
      <c r="Q601" s="26"/>
      <c r="R601" s="27" t="str">
        <f aca="false">IF(AND(ISNUMBER(P601),ISNUMBER(Q601)),P601-Q601,"")</f>
        <v/>
      </c>
      <c r="S601" s="24"/>
      <c r="T601" s="28" t="str">
        <f aca="false">IF(S601&lt;&gt;"",S601,IF(B601="","",IFERROR(IF(INDEX(Batches!$G$5:$G$64,MATCH(B601,Batches!$A$5:$A$64,0))="","",INDEX(Batches!$G$5:$G$64,MATCH(B601,Batches!$A$5:$A$64,0))),"")))</f>
        <v/>
      </c>
      <c r="U601" s="23"/>
      <c r="V601" s="24"/>
      <c r="W601" s="28" t="str">
        <f aca="false">IF(OR(X601="",X601="Pending"),"",IF(V601&lt;&gt;"",V601,IFERROR(IF(INDEX(Batches!$H$5:$H$64,MATCH(B601,Batches!$A$5:$A$64,0))="","",INDEX(Batches!$H$5:$H$64,MATCH(B601,Batches!$A$5:$A$64,0))),"")))</f>
        <v/>
      </c>
      <c r="X601" s="23"/>
      <c r="Y601" s="23"/>
      <c r="Z601" s="26"/>
      <c r="AA601" s="27" t="str">
        <f aca="false">IF(R601="","",IF(X601="Not accepted",R601,IF(OR(X601="Accepted",X601="Withdrawn by hospital"),IF(X601="Accepted",0,R601),IF(ISNUMBER(Z601),R601-Z601,""))))</f>
        <v/>
      </c>
      <c r="AB601" s="23"/>
      <c r="AC601" s="25"/>
      <c r="AD601" s="23"/>
      <c r="AE601" s="23"/>
      <c r="AF601" s="24"/>
      <c r="AG601" s="23"/>
      <c r="AH601" s="24"/>
      <c r="AI601" s="29" t="str">
        <f aca="false">IF(X601="Not accepted","Maintained",IF(X601="Partially accepted","Partially maintained",IF(X601="Accepted","Reversed",IF(X601="Withdrawn by hospital","Withdrawn by hospital",""))))</f>
        <v/>
      </c>
      <c r="AJ601" s="28" t="str">
        <f aca="false">IF(AI601="","",W601)</f>
        <v/>
      </c>
      <c r="AK601" s="29" t="str">
        <f aca="false">IF(AND(ISNUMBER(T601),ISNUMBER(W601)),W601-T601,"")</f>
        <v/>
      </c>
      <c r="AL601" s="29" t="str">
        <f aca="false">IF(A601="","",SUMIF(Actions!$C$5:$C$1004,A601,Actions!$F$5:$F$1004))</f>
        <v/>
      </c>
      <c r="AM601" s="25"/>
    </row>
    <row r="602" customFormat="false" ht="15" hidden="false" customHeight="false" outlineLevel="0" collapsed="false">
      <c r="A602" s="23"/>
      <c r="B602" s="23"/>
      <c r="C602" s="23"/>
      <c r="D602" s="23"/>
      <c r="E602" s="23"/>
      <c r="F602" s="23"/>
      <c r="G602" s="23"/>
      <c r="H602" s="23"/>
      <c r="I602" s="23"/>
      <c r="J602" s="23"/>
      <c r="K602" s="24"/>
      <c r="L602" s="23"/>
      <c r="M602" s="25"/>
      <c r="N602" s="25"/>
      <c r="O602" s="23"/>
      <c r="P602" s="26"/>
      <c r="Q602" s="26"/>
      <c r="R602" s="27" t="str">
        <f aca="false">IF(AND(ISNUMBER(P602),ISNUMBER(Q602)),P602-Q602,"")</f>
        <v/>
      </c>
      <c r="S602" s="24"/>
      <c r="T602" s="28" t="str">
        <f aca="false">IF(S602&lt;&gt;"",S602,IF(B602="","",IFERROR(IF(INDEX(Batches!$G$5:$G$64,MATCH(B602,Batches!$A$5:$A$64,0))="","",INDEX(Batches!$G$5:$G$64,MATCH(B602,Batches!$A$5:$A$64,0))),"")))</f>
        <v/>
      </c>
      <c r="U602" s="23"/>
      <c r="V602" s="24"/>
      <c r="W602" s="28" t="str">
        <f aca="false">IF(OR(X602="",X602="Pending"),"",IF(V602&lt;&gt;"",V602,IFERROR(IF(INDEX(Batches!$H$5:$H$64,MATCH(B602,Batches!$A$5:$A$64,0))="","",INDEX(Batches!$H$5:$H$64,MATCH(B602,Batches!$A$5:$A$64,0))),"")))</f>
        <v/>
      </c>
      <c r="X602" s="23"/>
      <c r="Y602" s="23"/>
      <c r="Z602" s="26"/>
      <c r="AA602" s="27" t="str">
        <f aca="false">IF(R602="","",IF(X602="Not accepted",R602,IF(OR(X602="Accepted",X602="Withdrawn by hospital"),IF(X602="Accepted",0,R602),IF(ISNUMBER(Z602),R602-Z602,""))))</f>
        <v/>
      </c>
      <c r="AB602" s="23"/>
      <c r="AC602" s="25"/>
      <c r="AD602" s="23"/>
      <c r="AE602" s="23"/>
      <c r="AF602" s="24"/>
      <c r="AG602" s="23"/>
      <c r="AH602" s="24"/>
      <c r="AI602" s="29" t="str">
        <f aca="false">IF(X602="Not accepted","Maintained",IF(X602="Partially accepted","Partially maintained",IF(X602="Accepted","Reversed",IF(X602="Withdrawn by hospital","Withdrawn by hospital",""))))</f>
        <v/>
      </c>
      <c r="AJ602" s="28" t="str">
        <f aca="false">IF(AI602="","",W602)</f>
        <v/>
      </c>
      <c r="AK602" s="29" t="str">
        <f aca="false">IF(AND(ISNUMBER(T602),ISNUMBER(W602)),W602-T602,"")</f>
        <v/>
      </c>
      <c r="AL602" s="29" t="str">
        <f aca="false">IF(A602="","",SUMIF(Actions!$C$5:$C$1004,A602,Actions!$F$5:$F$1004))</f>
        <v/>
      </c>
      <c r="AM602" s="25"/>
    </row>
    <row r="603" customFormat="false" ht="15" hidden="false" customHeight="false" outlineLevel="0" collapsed="false">
      <c r="A603" s="23"/>
      <c r="B603" s="23"/>
      <c r="C603" s="23"/>
      <c r="D603" s="23"/>
      <c r="E603" s="23"/>
      <c r="F603" s="23"/>
      <c r="G603" s="23"/>
      <c r="H603" s="23"/>
      <c r="I603" s="23"/>
      <c r="J603" s="23"/>
      <c r="K603" s="24"/>
      <c r="L603" s="23"/>
      <c r="M603" s="25"/>
      <c r="N603" s="25"/>
      <c r="O603" s="23"/>
      <c r="P603" s="26"/>
      <c r="Q603" s="26"/>
      <c r="R603" s="27" t="str">
        <f aca="false">IF(AND(ISNUMBER(P603),ISNUMBER(Q603)),P603-Q603,"")</f>
        <v/>
      </c>
      <c r="S603" s="24"/>
      <c r="T603" s="28" t="str">
        <f aca="false">IF(S603&lt;&gt;"",S603,IF(B603="","",IFERROR(IF(INDEX(Batches!$G$5:$G$64,MATCH(B603,Batches!$A$5:$A$64,0))="","",INDEX(Batches!$G$5:$G$64,MATCH(B603,Batches!$A$5:$A$64,0))),"")))</f>
        <v/>
      </c>
      <c r="U603" s="23"/>
      <c r="V603" s="24"/>
      <c r="W603" s="28" t="str">
        <f aca="false">IF(OR(X603="",X603="Pending"),"",IF(V603&lt;&gt;"",V603,IFERROR(IF(INDEX(Batches!$H$5:$H$64,MATCH(B603,Batches!$A$5:$A$64,0))="","",INDEX(Batches!$H$5:$H$64,MATCH(B603,Batches!$A$5:$A$64,0))),"")))</f>
        <v/>
      </c>
      <c r="X603" s="23"/>
      <c r="Y603" s="23"/>
      <c r="Z603" s="26"/>
      <c r="AA603" s="27" t="str">
        <f aca="false">IF(R603="","",IF(X603="Not accepted",R603,IF(OR(X603="Accepted",X603="Withdrawn by hospital"),IF(X603="Accepted",0,R603),IF(ISNUMBER(Z603),R603-Z603,""))))</f>
        <v/>
      </c>
      <c r="AB603" s="23"/>
      <c r="AC603" s="25"/>
      <c r="AD603" s="23"/>
      <c r="AE603" s="23"/>
      <c r="AF603" s="24"/>
      <c r="AG603" s="23"/>
      <c r="AH603" s="24"/>
      <c r="AI603" s="29" t="str">
        <f aca="false">IF(X603="Not accepted","Maintained",IF(X603="Partially accepted","Partially maintained",IF(X603="Accepted","Reversed",IF(X603="Withdrawn by hospital","Withdrawn by hospital",""))))</f>
        <v/>
      </c>
      <c r="AJ603" s="28" t="str">
        <f aca="false">IF(AI603="","",W603)</f>
        <v/>
      </c>
      <c r="AK603" s="29" t="str">
        <f aca="false">IF(AND(ISNUMBER(T603),ISNUMBER(W603)),W603-T603,"")</f>
        <v/>
      </c>
      <c r="AL603" s="29" t="str">
        <f aca="false">IF(A603="","",SUMIF(Actions!$C$5:$C$1004,A603,Actions!$F$5:$F$1004))</f>
        <v/>
      </c>
      <c r="AM603" s="25"/>
    </row>
    <row r="604" customFormat="false" ht="15" hidden="false" customHeight="false" outlineLevel="0" collapsed="false">
      <c r="A604" s="23"/>
      <c r="B604" s="23"/>
      <c r="C604" s="23"/>
      <c r="D604" s="23"/>
      <c r="E604" s="23"/>
      <c r="F604" s="23"/>
      <c r="G604" s="23"/>
      <c r="H604" s="23"/>
      <c r="I604" s="23"/>
      <c r="J604" s="23"/>
      <c r="K604" s="24"/>
      <c r="L604" s="23"/>
      <c r="M604" s="25"/>
      <c r="N604" s="25"/>
      <c r="O604" s="23"/>
      <c r="P604" s="26"/>
      <c r="Q604" s="26"/>
      <c r="R604" s="27" t="str">
        <f aca="false">IF(AND(ISNUMBER(P604),ISNUMBER(Q604)),P604-Q604,"")</f>
        <v/>
      </c>
      <c r="S604" s="24"/>
      <c r="T604" s="28" t="str">
        <f aca="false">IF(S604&lt;&gt;"",S604,IF(B604="","",IFERROR(IF(INDEX(Batches!$G$5:$G$64,MATCH(B604,Batches!$A$5:$A$64,0))="","",INDEX(Batches!$G$5:$G$64,MATCH(B604,Batches!$A$5:$A$64,0))),"")))</f>
        <v/>
      </c>
      <c r="U604" s="23"/>
      <c r="V604" s="24"/>
      <c r="W604" s="28" t="str">
        <f aca="false">IF(OR(X604="",X604="Pending"),"",IF(V604&lt;&gt;"",V604,IFERROR(IF(INDEX(Batches!$H$5:$H$64,MATCH(B604,Batches!$A$5:$A$64,0))="","",INDEX(Batches!$H$5:$H$64,MATCH(B604,Batches!$A$5:$A$64,0))),"")))</f>
        <v/>
      </c>
      <c r="X604" s="23"/>
      <c r="Y604" s="23"/>
      <c r="Z604" s="26"/>
      <c r="AA604" s="27" t="str">
        <f aca="false">IF(R604="","",IF(X604="Not accepted",R604,IF(OR(X604="Accepted",X604="Withdrawn by hospital"),IF(X604="Accepted",0,R604),IF(ISNUMBER(Z604),R604-Z604,""))))</f>
        <v/>
      </c>
      <c r="AB604" s="23"/>
      <c r="AC604" s="25"/>
      <c r="AD604" s="23"/>
      <c r="AE604" s="23"/>
      <c r="AF604" s="24"/>
      <c r="AG604" s="23"/>
      <c r="AH604" s="24"/>
      <c r="AI604" s="29" t="str">
        <f aca="false">IF(X604="Not accepted","Maintained",IF(X604="Partially accepted","Partially maintained",IF(X604="Accepted","Reversed",IF(X604="Withdrawn by hospital","Withdrawn by hospital",""))))</f>
        <v/>
      </c>
      <c r="AJ604" s="28" t="str">
        <f aca="false">IF(AI604="","",W604)</f>
        <v/>
      </c>
      <c r="AK604" s="29" t="str">
        <f aca="false">IF(AND(ISNUMBER(T604),ISNUMBER(W604)),W604-T604,"")</f>
        <v/>
      </c>
      <c r="AL604" s="29" t="str">
        <f aca="false">IF(A604="","",SUMIF(Actions!$C$5:$C$1004,A604,Actions!$F$5:$F$1004))</f>
        <v/>
      </c>
      <c r="AM604" s="25"/>
    </row>
    <row r="605" customFormat="false" ht="15" hidden="false" customHeight="false" outlineLevel="0" collapsed="false">
      <c r="A605" s="23"/>
      <c r="B605" s="23"/>
      <c r="C605" s="23"/>
      <c r="D605" s="23"/>
      <c r="E605" s="23"/>
      <c r="F605" s="23"/>
      <c r="G605" s="23"/>
      <c r="H605" s="23"/>
      <c r="I605" s="23"/>
      <c r="J605" s="23"/>
      <c r="K605" s="24"/>
      <c r="L605" s="23"/>
      <c r="M605" s="25"/>
      <c r="N605" s="25"/>
      <c r="O605" s="23"/>
      <c r="P605" s="26"/>
      <c r="Q605" s="26"/>
      <c r="R605" s="27" t="str">
        <f aca="false">IF(AND(ISNUMBER(P605),ISNUMBER(Q605)),P605-Q605,"")</f>
        <v/>
      </c>
      <c r="S605" s="24"/>
      <c r="T605" s="28" t="str">
        <f aca="false">IF(S605&lt;&gt;"",S605,IF(B605="","",IFERROR(IF(INDEX(Batches!$G$5:$G$64,MATCH(B605,Batches!$A$5:$A$64,0))="","",INDEX(Batches!$G$5:$G$64,MATCH(B605,Batches!$A$5:$A$64,0))),"")))</f>
        <v/>
      </c>
      <c r="U605" s="23"/>
      <c r="V605" s="24"/>
      <c r="W605" s="28" t="str">
        <f aca="false">IF(OR(X605="",X605="Pending"),"",IF(V605&lt;&gt;"",V605,IFERROR(IF(INDEX(Batches!$H$5:$H$64,MATCH(B605,Batches!$A$5:$A$64,0))="","",INDEX(Batches!$H$5:$H$64,MATCH(B605,Batches!$A$5:$A$64,0))),"")))</f>
        <v/>
      </c>
      <c r="X605" s="23"/>
      <c r="Y605" s="23"/>
      <c r="Z605" s="26"/>
      <c r="AA605" s="27" t="str">
        <f aca="false">IF(R605="","",IF(X605="Not accepted",R605,IF(OR(X605="Accepted",X605="Withdrawn by hospital"),IF(X605="Accepted",0,R605),IF(ISNUMBER(Z605),R605-Z605,""))))</f>
        <v/>
      </c>
      <c r="AB605" s="23"/>
      <c r="AC605" s="25"/>
      <c r="AD605" s="23"/>
      <c r="AE605" s="23"/>
      <c r="AF605" s="24"/>
      <c r="AG605" s="23"/>
      <c r="AH605" s="24"/>
      <c r="AI605" s="29" t="str">
        <f aca="false">IF(X605="Not accepted","Maintained",IF(X605="Partially accepted","Partially maintained",IF(X605="Accepted","Reversed",IF(X605="Withdrawn by hospital","Withdrawn by hospital",""))))</f>
        <v/>
      </c>
      <c r="AJ605" s="28" t="str">
        <f aca="false">IF(AI605="","",W605)</f>
        <v/>
      </c>
      <c r="AK605" s="29" t="str">
        <f aca="false">IF(AND(ISNUMBER(T605),ISNUMBER(W605)),W605-T605,"")</f>
        <v/>
      </c>
      <c r="AL605" s="29" t="str">
        <f aca="false">IF(A605="","",SUMIF(Actions!$C$5:$C$1004,A605,Actions!$F$5:$F$1004))</f>
        <v/>
      </c>
      <c r="AM605" s="25"/>
    </row>
    <row r="606" customFormat="false" ht="15" hidden="false" customHeight="false" outlineLevel="0" collapsed="false">
      <c r="A606" s="23"/>
      <c r="B606" s="23"/>
      <c r="C606" s="23"/>
      <c r="D606" s="23"/>
      <c r="E606" s="23"/>
      <c r="F606" s="23"/>
      <c r="G606" s="23"/>
      <c r="H606" s="23"/>
      <c r="I606" s="23"/>
      <c r="J606" s="23"/>
      <c r="K606" s="24"/>
      <c r="L606" s="23"/>
      <c r="M606" s="25"/>
      <c r="N606" s="25"/>
      <c r="O606" s="23"/>
      <c r="P606" s="26"/>
      <c r="Q606" s="26"/>
      <c r="R606" s="27" t="str">
        <f aca="false">IF(AND(ISNUMBER(P606),ISNUMBER(Q606)),P606-Q606,"")</f>
        <v/>
      </c>
      <c r="S606" s="24"/>
      <c r="T606" s="28" t="str">
        <f aca="false">IF(S606&lt;&gt;"",S606,IF(B606="","",IFERROR(IF(INDEX(Batches!$G$5:$G$64,MATCH(B606,Batches!$A$5:$A$64,0))="","",INDEX(Batches!$G$5:$G$64,MATCH(B606,Batches!$A$5:$A$64,0))),"")))</f>
        <v/>
      </c>
      <c r="U606" s="23"/>
      <c r="V606" s="24"/>
      <c r="W606" s="28" t="str">
        <f aca="false">IF(OR(X606="",X606="Pending"),"",IF(V606&lt;&gt;"",V606,IFERROR(IF(INDEX(Batches!$H$5:$H$64,MATCH(B606,Batches!$A$5:$A$64,0))="","",INDEX(Batches!$H$5:$H$64,MATCH(B606,Batches!$A$5:$A$64,0))),"")))</f>
        <v/>
      </c>
      <c r="X606" s="23"/>
      <c r="Y606" s="23"/>
      <c r="Z606" s="26"/>
      <c r="AA606" s="27" t="str">
        <f aca="false">IF(R606="","",IF(X606="Not accepted",R606,IF(OR(X606="Accepted",X606="Withdrawn by hospital"),IF(X606="Accepted",0,R606),IF(ISNUMBER(Z606),R606-Z606,""))))</f>
        <v/>
      </c>
      <c r="AB606" s="23"/>
      <c r="AC606" s="25"/>
      <c r="AD606" s="23"/>
      <c r="AE606" s="23"/>
      <c r="AF606" s="24"/>
      <c r="AG606" s="23"/>
      <c r="AH606" s="24"/>
      <c r="AI606" s="29" t="str">
        <f aca="false">IF(X606="Not accepted","Maintained",IF(X606="Partially accepted","Partially maintained",IF(X606="Accepted","Reversed",IF(X606="Withdrawn by hospital","Withdrawn by hospital",""))))</f>
        <v/>
      </c>
      <c r="AJ606" s="28" t="str">
        <f aca="false">IF(AI606="","",W606)</f>
        <v/>
      </c>
      <c r="AK606" s="29" t="str">
        <f aca="false">IF(AND(ISNUMBER(T606),ISNUMBER(W606)),W606-T606,"")</f>
        <v/>
      </c>
      <c r="AL606" s="29" t="str">
        <f aca="false">IF(A606="","",SUMIF(Actions!$C$5:$C$1004,A606,Actions!$F$5:$F$1004))</f>
        <v/>
      </c>
      <c r="AM606" s="25"/>
    </row>
    <row r="607" customFormat="false" ht="15" hidden="false" customHeight="false" outlineLevel="0" collapsed="false">
      <c r="A607" s="23"/>
      <c r="B607" s="23"/>
      <c r="C607" s="23"/>
      <c r="D607" s="23"/>
      <c r="E607" s="23"/>
      <c r="F607" s="23"/>
      <c r="G607" s="23"/>
      <c r="H607" s="23"/>
      <c r="I607" s="23"/>
      <c r="J607" s="23"/>
      <c r="K607" s="24"/>
      <c r="L607" s="23"/>
      <c r="M607" s="25"/>
      <c r="N607" s="25"/>
      <c r="O607" s="23"/>
      <c r="P607" s="26"/>
      <c r="Q607" s="26"/>
      <c r="R607" s="27" t="str">
        <f aca="false">IF(AND(ISNUMBER(P607),ISNUMBER(Q607)),P607-Q607,"")</f>
        <v/>
      </c>
      <c r="S607" s="24"/>
      <c r="T607" s="28" t="str">
        <f aca="false">IF(S607&lt;&gt;"",S607,IF(B607="","",IFERROR(IF(INDEX(Batches!$G$5:$G$64,MATCH(B607,Batches!$A$5:$A$64,0))="","",INDEX(Batches!$G$5:$G$64,MATCH(B607,Batches!$A$5:$A$64,0))),"")))</f>
        <v/>
      </c>
      <c r="U607" s="23"/>
      <c r="V607" s="24"/>
      <c r="W607" s="28" t="str">
        <f aca="false">IF(OR(X607="",X607="Pending"),"",IF(V607&lt;&gt;"",V607,IFERROR(IF(INDEX(Batches!$H$5:$H$64,MATCH(B607,Batches!$A$5:$A$64,0))="","",INDEX(Batches!$H$5:$H$64,MATCH(B607,Batches!$A$5:$A$64,0))),"")))</f>
        <v/>
      </c>
      <c r="X607" s="23"/>
      <c r="Y607" s="23"/>
      <c r="Z607" s="26"/>
      <c r="AA607" s="27" t="str">
        <f aca="false">IF(R607="","",IF(X607="Not accepted",R607,IF(OR(X607="Accepted",X607="Withdrawn by hospital"),IF(X607="Accepted",0,R607),IF(ISNUMBER(Z607),R607-Z607,""))))</f>
        <v/>
      </c>
      <c r="AB607" s="23"/>
      <c r="AC607" s="25"/>
      <c r="AD607" s="23"/>
      <c r="AE607" s="23"/>
      <c r="AF607" s="24"/>
      <c r="AG607" s="23"/>
      <c r="AH607" s="24"/>
      <c r="AI607" s="29" t="str">
        <f aca="false">IF(X607="Not accepted","Maintained",IF(X607="Partially accepted","Partially maintained",IF(X607="Accepted","Reversed",IF(X607="Withdrawn by hospital","Withdrawn by hospital",""))))</f>
        <v/>
      </c>
      <c r="AJ607" s="28" t="str">
        <f aca="false">IF(AI607="","",W607)</f>
        <v/>
      </c>
      <c r="AK607" s="29" t="str">
        <f aca="false">IF(AND(ISNUMBER(T607),ISNUMBER(W607)),W607-T607,"")</f>
        <v/>
      </c>
      <c r="AL607" s="29" t="str">
        <f aca="false">IF(A607="","",SUMIF(Actions!$C$5:$C$1004,A607,Actions!$F$5:$F$1004))</f>
        <v/>
      </c>
      <c r="AM607" s="25"/>
    </row>
    <row r="608" customFormat="false" ht="15" hidden="false" customHeight="false" outlineLevel="0" collapsed="false">
      <c r="A608" s="23"/>
      <c r="B608" s="23"/>
      <c r="C608" s="23"/>
      <c r="D608" s="23"/>
      <c r="E608" s="23"/>
      <c r="F608" s="23"/>
      <c r="G608" s="23"/>
      <c r="H608" s="23"/>
      <c r="I608" s="23"/>
      <c r="J608" s="23"/>
      <c r="K608" s="24"/>
      <c r="L608" s="23"/>
      <c r="M608" s="25"/>
      <c r="N608" s="25"/>
      <c r="O608" s="23"/>
      <c r="P608" s="26"/>
      <c r="Q608" s="26"/>
      <c r="R608" s="27" t="str">
        <f aca="false">IF(AND(ISNUMBER(P608),ISNUMBER(Q608)),P608-Q608,"")</f>
        <v/>
      </c>
      <c r="S608" s="24"/>
      <c r="T608" s="28" t="str">
        <f aca="false">IF(S608&lt;&gt;"",S608,IF(B608="","",IFERROR(IF(INDEX(Batches!$G$5:$G$64,MATCH(B608,Batches!$A$5:$A$64,0))="","",INDEX(Batches!$G$5:$G$64,MATCH(B608,Batches!$A$5:$A$64,0))),"")))</f>
        <v/>
      </c>
      <c r="U608" s="23"/>
      <c r="V608" s="24"/>
      <c r="W608" s="28" t="str">
        <f aca="false">IF(OR(X608="",X608="Pending"),"",IF(V608&lt;&gt;"",V608,IFERROR(IF(INDEX(Batches!$H$5:$H$64,MATCH(B608,Batches!$A$5:$A$64,0))="","",INDEX(Batches!$H$5:$H$64,MATCH(B608,Batches!$A$5:$A$64,0))),"")))</f>
        <v/>
      </c>
      <c r="X608" s="23"/>
      <c r="Y608" s="23"/>
      <c r="Z608" s="26"/>
      <c r="AA608" s="27" t="str">
        <f aca="false">IF(R608="","",IF(X608="Not accepted",R608,IF(OR(X608="Accepted",X608="Withdrawn by hospital"),IF(X608="Accepted",0,R608),IF(ISNUMBER(Z608),R608-Z608,""))))</f>
        <v/>
      </c>
      <c r="AB608" s="23"/>
      <c r="AC608" s="25"/>
      <c r="AD608" s="23"/>
      <c r="AE608" s="23"/>
      <c r="AF608" s="24"/>
      <c r="AG608" s="23"/>
      <c r="AH608" s="24"/>
      <c r="AI608" s="29" t="str">
        <f aca="false">IF(X608="Not accepted","Maintained",IF(X608="Partially accepted","Partially maintained",IF(X608="Accepted","Reversed",IF(X608="Withdrawn by hospital","Withdrawn by hospital",""))))</f>
        <v/>
      </c>
      <c r="AJ608" s="28" t="str">
        <f aca="false">IF(AI608="","",W608)</f>
        <v/>
      </c>
      <c r="AK608" s="29" t="str">
        <f aca="false">IF(AND(ISNUMBER(T608),ISNUMBER(W608)),W608-T608,"")</f>
        <v/>
      </c>
      <c r="AL608" s="29" t="str">
        <f aca="false">IF(A608="","",SUMIF(Actions!$C$5:$C$1004,A608,Actions!$F$5:$F$1004))</f>
        <v/>
      </c>
      <c r="AM608" s="25"/>
    </row>
    <row r="609" customFormat="false" ht="15" hidden="false" customHeight="false" outlineLevel="0" collapsed="false">
      <c r="A609" s="23"/>
      <c r="B609" s="23"/>
      <c r="C609" s="23"/>
      <c r="D609" s="23"/>
      <c r="E609" s="23"/>
      <c r="F609" s="23"/>
      <c r="G609" s="23"/>
      <c r="H609" s="23"/>
      <c r="I609" s="23"/>
      <c r="J609" s="23"/>
      <c r="K609" s="24"/>
      <c r="L609" s="23"/>
      <c r="M609" s="25"/>
      <c r="N609" s="25"/>
      <c r="O609" s="23"/>
      <c r="P609" s="26"/>
      <c r="Q609" s="26"/>
      <c r="R609" s="27" t="str">
        <f aca="false">IF(AND(ISNUMBER(P609),ISNUMBER(Q609)),P609-Q609,"")</f>
        <v/>
      </c>
      <c r="S609" s="24"/>
      <c r="T609" s="28" t="str">
        <f aca="false">IF(S609&lt;&gt;"",S609,IF(B609="","",IFERROR(IF(INDEX(Batches!$G$5:$G$64,MATCH(B609,Batches!$A$5:$A$64,0))="","",INDEX(Batches!$G$5:$G$64,MATCH(B609,Batches!$A$5:$A$64,0))),"")))</f>
        <v/>
      </c>
      <c r="U609" s="23"/>
      <c r="V609" s="24"/>
      <c r="W609" s="28" t="str">
        <f aca="false">IF(OR(X609="",X609="Pending"),"",IF(V609&lt;&gt;"",V609,IFERROR(IF(INDEX(Batches!$H$5:$H$64,MATCH(B609,Batches!$A$5:$A$64,0))="","",INDEX(Batches!$H$5:$H$64,MATCH(B609,Batches!$A$5:$A$64,0))),"")))</f>
        <v/>
      </c>
      <c r="X609" s="23"/>
      <c r="Y609" s="23"/>
      <c r="Z609" s="26"/>
      <c r="AA609" s="27" t="str">
        <f aca="false">IF(R609="","",IF(X609="Not accepted",R609,IF(OR(X609="Accepted",X609="Withdrawn by hospital"),IF(X609="Accepted",0,R609),IF(ISNUMBER(Z609),R609-Z609,""))))</f>
        <v/>
      </c>
      <c r="AB609" s="23"/>
      <c r="AC609" s="25"/>
      <c r="AD609" s="23"/>
      <c r="AE609" s="23"/>
      <c r="AF609" s="24"/>
      <c r="AG609" s="23"/>
      <c r="AH609" s="24"/>
      <c r="AI609" s="29" t="str">
        <f aca="false">IF(X609="Not accepted","Maintained",IF(X609="Partially accepted","Partially maintained",IF(X609="Accepted","Reversed",IF(X609="Withdrawn by hospital","Withdrawn by hospital",""))))</f>
        <v/>
      </c>
      <c r="AJ609" s="28" t="str">
        <f aca="false">IF(AI609="","",W609)</f>
        <v/>
      </c>
      <c r="AK609" s="29" t="str">
        <f aca="false">IF(AND(ISNUMBER(T609),ISNUMBER(W609)),W609-T609,"")</f>
        <v/>
      </c>
      <c r="AL609" s="29" t="str">
        <f aca="false">IF(A609="","",SUMIF(Actions!$C$5:$C$1004,A609,Actions!$F$5:$F$1004))</f>
        <v/>
      </c>
      <c r="AM609" s="25"/>
    </row>
    <row r="610" customFormat="false" ht="15" hidden="false" customHeight="false" outlineLevel="0" collapsed="false">
      <c r="A610" s="23"/>
      <c r="B610" s="23"/>
      <c r="C610" s="23"/>
      <c r="D610" s="23"/>
      <c r="E610" s="23"/>
      <c r="F610" s="23"/>
      <c r="G610" s="23"/>
      <c r="H610" s="23"/>
      <c r="I610" s="23"/>
      <c r="J610" s="23"/>
      <c r="K610" s="24"/>
      <c r="L610" s="23"/>
      <c r="M610" s="25"/>
      <c r="N610" s="25"/>
      <c r="O610" s="23"/>
      <c r="P610" s="26"/>
      <c r="Q610" s="26"/>
      <c r="R610" s="27" t="str">
        <f aca="false">IF(AND(ISNUMBER(P610),ISNUMBER(Q610)),P610-Q610,"")</f>
        <v/>
      </c>
      <c r="S610" s="24"/>
      <c r="T610" s="28" t="str">
        <f aca="false">IF(S610&lt;&gt;"",S610,IF(B610="","",IFERROR(IF(INDEX(Batches!$G$5:$G$64,MATCH(B610,Batches!$A$5:$A$64,0))="","",INDEX(Batches!$G$5:$G$64,MATCH(B610,Batches!$A$5:$A$64,0))),"")))</f>
        <v/>
      </c>
      <c r="U610" s="23"/>
      <c r="V610" s="24"/>
      <c r="W610" s="28" t="str">
        <f aca="false">IF(OR(X610="",X610="Pending"),"",IF(V610&lt;&gt;"",V610,IFERROR(IF(INDEX(Batches!$H$5:$H$64,MATCH(B610,Batches!$A$5:$A$64,0))="","",INDEX(Batches!$H$5:$H$64,MATCH(B610,Batches!$A$5:$A$64,0))),"")))</f>
        <v/>
      </c>
      <c r="X610" s="23"/>
      <c r="Y610" s="23"/>
      <c r="Z610" s="26"/>
      <c r="AA610" s="27" t="str">
        <f aca="false">IF(R610="","",IF(X610="Not accepted",R610,IF(OR(X610="Accepted",X610="Withdrawn by hospital"),IF(X610="Accepted",0,R610),IF(ISNUMBER(Z610),R610-Z610,""))))</f>
        <v/>
      </c>
      <c r="AB610" s="23"/>
      <c r="AC610" s="25"/>
      <c r="AD610" s="23"/>
      <c r="AE610" s="23"/>
      <c r="AF610" s="24"/>
      <c r="AG610" s="23"/>
      <c r="AH610" s="24"/>
      <c r="AI610" s="29" t="str">
        <f aca="false">IF(X610="Not accepted","Maintained",IF(X610="Partially accepted","Partially maintained",IF(X610="Accepted","Reversed",IF(X610="Withdrawn by hospital","Withdrawn by hospital",""))))</f>
        <v/>
      </c>
      <c r="AJ610" s="28" t="str">
        <f aca="false">IF(AI610="","",W610)</f>
        <v/>
      </c>
      <c r="AK610" s="29" t="str">
        <f aca="false">IF(AND(ISNUMBER(T610),ISNUMBER(W610)),W610-T610,"")</f>
        <v/>
      </c>
      <c r="AL610" s="29" t="str">
        <f aca="false">IF(A610="","",SUMIF(Actions!$C$5:$C$1004,A610,Actions!$F$5:$F$1004))</f>
        <v/>
      </c>
      <c r="AM610" s="25"/>
    </row>
    <row r="611" customFormat="false" ht="15" hidden="false" customHeight="false" outlineLevel="0" collapsed="false">
      <c r="A611" s="23"/>
      <c r="B611" s="23"/>
      <c r="C611" s="23"/>
      <c r="D611" s="23"/>
      <c r="E611" s="23"/>
      <c r="F611" s="23"/>
      <c r="G611" s="23"/>
      <c r="H611" s="23"/>
      <c r="I611" s="23"/>
      <c r="J611" s="23"/>
      <c r="K611" s="24"/>
      <c r="L611" s="23"/>
      <c r="M611" s="25"/>
      <c r="N611" s="25"/>
      <c r="O611" s="23"/>
      <c r="P611" s="26"/>
      <c r="Q611" s="26"/>
      <c r="R611" s="27" t="str">
        <f aca="false">IF(AND(ISNUMBER(P611),ISNUMBER(Q611)),P611-Q611,"")</f>
        <v/>
      </c>
      <c r="S611" s="24"/>
      <c r="T611" s="28" t="str">
        <f aca="false">IF(S611&lt;&gt;"",S611,IF(B611="","",IFERROR(IF(INDEX(Batches!$G$5:$G$64,MATCH(B611,Batches!$A$5:$A$64,0))="","",INDEX(Batches!$G$5:$G$64,MATCH(B611,Batches!$A$5:$A$64,0))),"")))</f>
        <v/>
      </c>
      <c r="U611" s="23"/>
      <c r="V611" s="24"/>
      <c r="W611" s="28" t="str">
        <f aca="false">IF(OR(X611="",X611="Pending"),"",IF(V611&lt;&gt;"",V611,IFERROR(IF(INDEX(Batches!$H$5:$H$64,MATCH(B611,Batches!$A$5:$A$64,0))="","",INDEX(Batches!$H$5:$H$64,MATCH(B611,Batches!$A$5:$A$64,0))),"")))</f>
        <v/>
      </c>
      <c r="X611" s="23"/>
      <c r="Y611" s="23"/>
      <c r="Z611" s="26"/>
      <c r="AA611" s="27" t="str">
        <f aca="false">IF(R611="","",IF(X611="Not accepted",R611,IF(OR(X611="Accepted",X611="Withdrawn by hospital"),IF(X611="Accepted",0,R611),IF(ISNUMBER(Z611),R611-Z611,""))))</f>
        <v/>
      </c>
      <c r="AB611" s="23"/>
      <c r="AC611" s="25"/>
      <c r="AD611" s="23"/>
      <c r="AE611" s="23"/>
      <c r="AF611" s="24"/>
      <c r="AG611" s="23"/>
      <c r="AH611" s="24"/>
      <c r="AI611" s="29" t="str">
        <f aca="false">IF(X611="Not accepted","Maintained",IF(X611="Partially accepted","Partially maintained",IF(X611="Accepted","Reversed",IF(X611="Withdrawn by hospital","Withdrawn by hospital",""))))</f>
        <v/>
      </c>
      <c r="AJ611" s="28" t="str">
        <f aca="false">IF(AI611="","",W611)</f>
        <v/>
      </c>
      <c r="AK611" s="29" t="str">
        <f aca="false">IF(AND(ISNUMBER(T611),ISNUMBER(W611)),W611-T611,"")</f>
        <v/>
      </c>
      <c r="AL611" s="29" t="str">
        <f aca="false">IF(A611="","",SUMIF(Actions!$C$5:$C$1004,A611,Actions!$F$5:$F$1004))</f>
        <v/>
      </c>
      <c r="AM611" s="25"/>
    </row>
    <row r="612" customFormat="false" ht="15" hidden="false" customHeight="false" outlineLevel="0" collapsed="false">
      <c r="A612" s="23"/>
      <c r="B612" s="23"/>
      <c r="C612" s="23"/>
      <c r="D612" s="23"/>
      <c r="E612" s="23"/>
      <c r="F612" s="23"/>
      <c r="G612" s="23"/>
      <c r="H612" s="23"/>
      <c r="I612" s="23"/>
      <c r="J612" s="23"/>
      <c r="K612" s="24"/>
      <c r="L612" s="23"/>
      <c r="M612" s="25"/>
      <c r="N612" s="25"/>
      <c r="O612" s="23"/>
      <c r="P612" s="26"/>
      <c r="Q612" s="26"/>
      <c r="R612" s="27" t="str">
        <f aca="false">IF(AND(ISNUMBER(P612),ISNUMBER(Q612)),P612-Q612,"")</f>
        <v/>
      </c>
      <c r="S612" s="24"/>
      <c r="T612" s="28" t="str">
        <f aca="false">IF(S612&lt;&gt;"",S612,IF(B612="","",IFERROR(IF(INDEX(Batches!$G$5:$G$64,MATCH(B612,Batches!$A$5:$A$64,0))="","",INDEX(Batches!$G$5:$G$64,MATCH(B612,Batches!$A$5:$A$64,0))),"")))</f>
        <v/>
      </c>
      <c r="U612" s="23"/>
      <c r="V612" s="24"/>
      <c r="W612" s="28" t="str">
        <f aca="false">IF(OR(X612="",X612="Pending"),"",IF(V612&lt;&gt;"",V612,IFERROR(IF(INDEX(Batches!$H$5:$H$64,MATCH(B612,Batches!$A$5:$A$64,0))="","",INDEX(Batches!$H$5:$H$64,MATCH(B612,Batches!$A$5:$A$64,0))),"")))</f>
        <v/>
      </c>
      <c r="X612" s="23"/>
      <c r="Y612" s="23"/>
      <c r="Z612" s="26"/>
      <c r="AA612" s="27" t="str">
        <f aca="false">IF(R612="","",IF(X612="Not accepted",R612,IF(OR(X612="Accepted",X612="Withdrawn by hospital"),IF(X612="Accepted",0,R612),IF(ISNUMBER(Z612),R612-Z612,""))))</f>
        <v/>
      </c>
      <c r="AB612" s="23"/>
      <c r="AC612" s="25"/>
      <c r="AD612" s="23"/>
      <c r="AE612" s="23"/>
      <c r="AF612" s="24"/>
      <c r="AG612" s="23"/>
      <c r="AH612" s="24"/>
      <c r="AI612" s="29" t="str">
        <f aca="false">IF(X612="Not accepted","Maintained",IF(X612="Partially accepted","Partially maintained",IF(X612="Accepted","Reversed",IF(X612="Withdrawn by hospital","Withdrawn by hospital",""))))</f>
        <v/>
      </c>
      <c r="AJ612" s="28" t="str">
        <f aca="false">IF(AI612="","",W612)</f>
        <v/>
      </c>
      <c r="AK612" s="29" t="str">
        <f aca="false">IF(AND(ISNUMBER(T612),ISNUMBER(W612)),W612-T612,"")</f>
        <v/>
      </c>
      <c r="AL612" s="29" t="str">
        <f aca="false">IF(A612="","",SUMIF(Actions!$C$5:$C$1004,A612,Actions!$F$5:$F$1004))</f>
        <v/>
      </c>
      <c r="AM612" s="25"/>
    </row>
    <row r="613" customFormat="false" ht="15" hidden="false" customHeight="false" outlineLevel="0" collapsed="false">
      <c r="A613" s="23"/>
      <c r="B613" s="23"/>
      <c r="C613" s="23"/>
      <c r="D613" s="23"/>
      <c r="E613" s="23"/>
      <c r="F613" s="23"/>
      <c r="G613" s="23"/>
      <c r="H613" s="23"/>
      <c r="I613" s="23"/>
      <c r="J613" s="23"/>
      <c r="K613" s="24"/>
      <c r="L613" s="23"/>
      <c r="M613" s="25"/>
      <c r="N613" s="25"/>
      <c r="O613" s="23"/>
      <c r="P613" s="26"/>
      <c r="Q613" s="26"/>
      <c r="R613" s="27" t="str">
        <f aca="false">IF(AND(ISNUMBER(P613),ISNUMBER(Q613)),P613-Q613,"")</f>
        <v/>
      </c>
      <c r="S613" s="24"/>
      <c r="T613" s="28" t="str">
        <f aca="false">IF(S613&lt;&gt;"",S613,IF(B613="","",IFERROR(IF(INDEX(Batches!$G$5:$G$64,MATCH(B613,Batches!$A$5:$A$64,0))="","",INDEX(Batches!$G$5:$G$64,MATCH(B613,Batches!$A$5:$A$64,0))),"")))</f>
        <v/>
      </c>
      <c r="U613" s="23"/>
      <c r="V613" s="24"/>
      <c r="W613" s="28" t="str">
        <f aca="false">IF(OR(X613="",X613="Pending"),"",IF(V613&lt;&gt;"",V613,IFERROR(IF(INDEX(Batches!$H$5:$H$64,MATCH(B613,Batches!$A$5:$A$64,0))="","",INDEX(Batches!$H$5:$H$64,MATCH(B613,Batches!$A$5:$A$64,0))),"")))</f>
        <v/>
      </c>
      <c r="X613" s="23"/>
      <c r="Y613" s="23"/>
      <c r="Z613" s="26"/>
      <c r="AA613" s="27" t="str">
        <f aca="false">IF(R613="","",IF(X613="Not accepted",R613,IF(OR(X613="Accepted",X613="Withdrawn by hospital"),IF(X613="Accepted",0,R613),IF(ISNUMBER(Z613),R613-Z613,""))))</f>
        <v/>
      </c>
      <c r="AB613" s="23"/>
      <c r="AC613" s="25"/>
      <c r="AD613" s="23"/>
      <c r="AE613" s="23"/>
      <c r="AF613" s="24"/>
      <c r="AG613" s="23"/>
      <c r="AH613" s="24"/>
      <c r="AI613" s="29" t="str">
        <f aca="false">IF(X613="Not accepted","Maintained",IF(X613="Partially accepted","Partially maintained",IF(X613="Accepted","Reversed",IF(X613="Withdrawn by hospital","Withdrawn by hospital",""))))</f>
        <v/>
      </c>
      <c r="AJ613" s="28" t="str">
        <f aca="false">IF(AI613="","",W613)</f>
        <v/>
      </c>
      <c r="AK613" s="29" t="str">
        <f aca="false">IF(AND(ISNUMBER(T613),ISNUMBER(W613)),W613-T613,"")</f>
        <v/>
      </c>
      <c r="AL613" s="29" t="str">
        <f aca="false">IF(A613="","",SUMIF(Actions!$C$5:$C$1004,A613,Actions!$F$5:$F$1004))</f>
        <v/>
      </c>
      <c r="AM613" s="25"/>
    </row>
    <row r="614" customFormat="false" ht="15" hidden="false" customHeight="false" outlineLevel="0" collapsed="false">
      <c r="A614" s="23"/>
      <c r="B614" s="23"/>
      <c r="C614" s="23"/>
      <c r="D614" s="23"/>
      <c r="E614" s="23"/>
      <c r="F614" s="23"/>
      <c r="G614" s="23"/>
      <c r="H614" s="23"/>
      <c r="I614" s="23"/>
      <c r="J614" s="23"/>
      <c r="K614" s="24"/>
      <c r="L614" s="23"/>
      <c r="M614" s="25"/>
      <c r="N614" s="25"/>
      <c r="O614" s="23"/>
      <c r="P614" s="26"/>
      <c r="Q614" s="26"/>
      <c r="R614" s="27" t="str">
        <f aca="false">IF(AND(ISNUMBER(P614),ISNUMBER(Q614)),P614-Q614,"")</f>
        <v/>
      </c>
      <c r="S614" s="24"/>
      <c r="T614" s="28" t="str">
        <f aca="false">IF(S614&lt;&gt;"",S614,IF(B614="","",IFERROR(IF(INDEX(Batches!$G$5:$G$64,MATCH(B614,Batches!$A$5:$A$64,0))="","",INDEX(Batches!$G$5:$G$64,MATCH(B614,Batches!$A$5:$A$64,0))),"")))</f>
        <v/>
      </c>
      <c r="U614" s="23"/>
      <c r="V614" s="24"/>
      <c r="W614" s="28" t="str">
        <f aca="false">IF(OR(X614="",X614="Pending"),"",IF(V614&lt;&gt;"",V614,IFERROR(IF(INDEX(Batches!$H$5:$H$64,MATCH(B614,Batches!$A$5:$A$64,0))="","",INDEX(Batches!$H$5:$H$64,MATCH(B614,Batches!$A$5:$A$64,0))),"")))</f>
        <v/>
      </c>
      <c r="X614" s="23"/>
      <c r="Y614" s="23"/>
      <c r="Z614" s="26"/>
      <c r="AA614" s="27" t="str">
        <f aca="false">IF(R614="","",IF(X614="Not accepted",R614,IF(OR(X614="Accepted",X614="Withdrawn by hospital"),IF(X614="Accepted",0,R614),IF(ISNUMBER(Z614),R614-Z614,""))))</f>
        <v/>
      </c>
      <c r="AB614" s="23"/>
      <c r="AC614" s="25"/>
      <c r="AD614" s="23"/>
      <c r="AE614" s="23"/>
      <c r="AF614" s="24"/>
      <c r="AG614" s="23"/>
      <c r="AH614" s="24"/>
      <c r="AI614" s="29" t="str">
        <f aca="false">IF(X614="Not accepted","Maintained",IF(X614="Partially accepted","Partially maintained",IF(X614="Accepted","Reversed",IF(X614="Withdrawn by hospital","Withdrawn by hospital",""))))</f>
        <v/>
      </c>
      <c r="AJ614" s="28" t="str">
        <f aca="false">IF(AI614="","",W614)</f>
        <v/>
      </c>
      <c r="AK614" s="29" t="str">
        <f aca="false">IF(AND(ISNUMBER(T614),ISNUMBER(W614)),W614-T614,"")</f>
        <v/>
      </c>
      <c r="AL614" s="29" t="str">
        <f aca="false">IF(A614="","",SUMIF(Actions!$C$5:$C$1004,A614,Actions!$F$5:$F$1004))</f>
        <v/>
      </c>
      <c r="AM614" s="25"/>
    </row>
    <row r="615" customFormat="false" ht="15" hidden="false" customHeight="false" outlineLevel="0" collapsed="false">
      <c r="A615" s="23"/>
      <c r="B615" s="23"/>
      <c r="C615" s="23"/>
      <c r="D615" s="23"/>
      <c r="E615" s="23"/>
      <c r="F615" s="23"/>
      <c r="G615" s="23"/>
      <c r="H615" s="23"/>
      <c r="I615" s="23"/>
      <c r="J615" s="23"/>
      <c r="K615" s="24"/>
      <c r="L615" s="23"/>
      <c r="M615" s="25"/>
      <c r="N615" s="25"/>
      <c r="O615" s="23"/>
      <c r="P615" s="26"/>
      <c r="Q615" s="26"/>
      <c r="R615" s="27" t="str">
        <f aca="false">IF(AND(ISNUMBER(P615),ISNUMBER(Q615)),P615-Q615,"")</f>
        <v/>
      </c>
      <c r="S615" s="24"/>
      <c r="T615" s="28" t="str">
        <f aca="false">IF(S615&lt;&gt;"",S615,IF(B615="","",IFERROR(IF(INDEX(Batches!$G$5:$G$64,MATCH(B615,Batches!$A$5:$A$64,0))="","",INDEX(Batches!$G$5:$G$64,MATCH(B615,Batches!$A$5:$A$64,0))),"")))</f>
        <v/>
      </c>
      <c r="U615" s="23"/>
      <c r="V615" s="24"/>
      <c r="W615" s="28" t="str">
        <f aca="false">IF(OR(X615="",X615="Pending"),"",IF(V615&lt;&gt;"",V615,IFERROR(IF(INDEX(Batches!$H$5:$H$64,MATCH(B615,Batches!$A$5:$A$64,0))="","",INDEX(Batches!$H$5:$H$64,MATCH(B615,Batches!$A$5:$A$64,0))),"")))</f>
        <v/>
      </c>
      <c r="X615" s="23"/>
      <c r="Y615" s="23"/>
      <c r="Z615" s="26"/>
      <c r="AA615" s="27" t="str">
        <f aca="false">IF(R615="","",IF(X615="Not accepted",R615,IF(OR(X615="Accepted",X615="Withdrawn by hospital"),IF(X615="Accepted",0,R615),IF(ISNUMBER(Z615),R615-Z615,""))))</f>
        <v/>
      </c>
      <c r="AB615" s="23"/>
      <c r="AC615" s="25"/>
      <c r="AD615" s="23"/>
      <c r="AE615" s="23"/>
      <c r="AF615" s="24"/>
      <c r="AG615" s="23"/>
      <c r="AH615" s="24"/>
      <c r="AI615" s="29" t="str">
        <f aca="false">IF(X615="Not accepted","Maintained",IF(X615="Partially accepted","Partially maintained",IF(X615="Accepted","Reversed",IF(X615="Withdrawn by hospital","Withdrawn by hospital",""))))</f>
        <v/>
      </c>
      <c r="AJ615" s="28" t="str">
        <f aca="false">IF(AI615="","",W615)</f>
        <v/>
      </c>
      <c r="AK615" s="29" t="str">
        <f aca="false">IF(AND(ISNUMBER(T615),ISNUMBER(W615)),W615-T615,"")</f>
        <v/>
      </c>
      <c r="AL615" s="29" t="str">
        <f aca="false">IF(A615="","",SUMIF(Actions!$C$5:$C$1004,A615,Actions!$F$5:$F$1004))</f>
        <v/>
      </c>
      <c r="AM615" s="25"/>
    </row>
    <row r="616" customFormat="false" ht="15" hidden="false" customHeight="false" outlineLevel="0" collapsed="false">
      <c r="A616" s="23"/>
      <c r="B616" s="23"/>
      <c r="C616" s="23"/>
      <c r="D616" s="23"/>
      <c r="E616" s="23"/>
      <c r="F616" s="23"/>
      <c r="G616" s="23"/>
      <c r="H616" s="23"/>
      <c r="I616" s="23"/>
      <c r="J616" s="23"/>
      <c r="K616" s="24"/>
      <c r="L616" s="23"/>
      <c r="M616" s="25"/>
      <c r="N616" s="25"/>
      <c r="O616" s="23"/>
      <c r="P616" s="26"/>
      <c r="Q616" s="26"/>
      <c r="R616" s="27" t="str">
        <f aca="false">IF(AND(ISNUMBER(P616),ISNUMBER(Q616)),P616-Q616,"")</f>
        <v/>
      </c>
      <c r="S616" s="24"/>
      <c r="T616" s="28" t="str">
        <f aca="false">IF(S616&lt;&gt;"",S616,IF(B616="","",IFERROR(IF(INDEX(Batches!$G$5:$G$64,MATCH(B616,Batches!$A$5:$A$64,0))="","",INDEX(Batches!$G$5:$G$64,MATCH(B616,Batches!$A$5:$A$64,0))),"")))</f>
        <v/>
      </c>
      <c r="U616" s="23"/>
      <c r="V616" s="24"/>
      <c r="W616" s="28" t="str">
        <f aca="false">IF(OR(X616="",X616="Pending"),"",IF(V616&lt;&gt;"",V616,IFERROR(IF(INDEX(Batches!$H$5:$H$64,MATCH(B616,Batches!$A$5:$A$64,0))="","",INDEX(Batches!$H$5:$H$64,MATCH(B616,Batches!$A$5:$A$64,0))),"")))</f>
        <v/>
      </c>
      <c r="X616" s="23"/>
      <c r="Y616" s="23"/>
      <c r="Z616" s="26"/>
      <c r="AA616" s="27" t="str">
        <f aca="false">IF(R616="","",IF(X616="Not accepted",R616,IF(OR(X616="Accepted",X616="Withdrawn by hospital"),IF(X616="Accepted",0,R616),IF(ISNUMBER(Z616),R616-Z616,""))))</f>
        <v/>
      </c>
      <c r="AB616" s="23"/>
      <c r="AC616" s="25"/>
      <c r="AD616" s="23"/>
      <c r="AE616" s="23"/>
      <c r="AF616" s="24"/>
      <c r="AG616" s="23"/>
      <c r="AH616" s="24"/>
      <c r="AI616" s="29" t="str">
        <f aca="false">IF(X616="Not accepted","Maintained",IF(X616="Partially accepted","Partially maintained",IF(X616="Accepted","Reversed",IF(X616="Withdrawn by hospital","Withdrawn by hospital",""))))</f>
        <v/>
      </c>
      <c r="AJ616" s="28" t="str">
        <f aca="false">IF(AI616="","",W616)</f>
        <v/>
      </c>
      <c r="AK616" s="29" t="str">
        <f aca="false">IF(AND(ISNUMBER(T616),ISNUMBER(W616)),W616-T616,"")</f>
        <v/>
      </c>
      <c r="AL616" s="29" t="str">
        <f aca="false">IF(A616="","",SUMIF(Actions!$C$5:$C$1004,A616,Actions!$F$5:$F$1004))</f>
        <v/>
      </c>
      <c r="AM616" s="25"/>
    </row>
    <row r="617" customFormat="false" ht="15" hidden="false" customHeight="false" outlineLevel="0" collapsed="false">
      <c r="A617" s="23"/>
      <c r="B617" s="23"/>
      <c r="C617" s="23"/>
      <c r="D617" s="23"/>
      <c r="E617" s="23"/>
      <c r="F617" s="23"/>
      <c r="G617" s="23"/>
      <c r="H617" s="23"/>
      <c r="I617" s="23"/>
      <c r="J617" s="23"/>
      <c r="K617" s="24"/>
      <c r="L617" s="23"/>
      <c r="M617" s="25"/>
      <c r="N617" s="25"/>
      <c r="O617" s="23"/>
      <c r="P617" s="26"/>
      <c r="Q617" s="26"/>
      <c r="R617" s="27" t="str">
        <f aca="false">IF(AND(ISNUMBER(P617),ISNUMBER(Q617)),P617-Q617,"")</f>
        <v/>
      </c>
      <c r="S617" s="24"/>
      <c r="T617" s="28" t="str">
        <f aca="false">IF(S617&lt;&gt;"",S617,IF(B617="","",IFERROR(IF(INDEX(Batches!$G$5:$G$64,MATCH(B617,Batches!$A$5:$A$64,0))="","",INDEX(Batches!$G$5:$G$64,MATCH(B617,Batches!$A$5:$A$64,0))),"")))</f>
        <v/>
      </c>
      <c r="U617" s="23"/>
      <c r="V617" s="24"/>
      <c r="W617" s="28" t="str">
        <f aca="false">IF(OR(X617="",X617="Pending"),"",IF(V617&lt;&gt;"",V617,IFERROR(IF(INDEX(Batches!$H$5:$H$64,MATCH(B617,Batches!$A$5:$A$64,0))="","",INDEX(Batches!$H$5:$H$64,MATCH(B617,Batches!$A$5:$A$64,0))),"")))</f>
        <v/>
      </c>
      <c r="X617" s="23"/>
      <c r="Y617" s="23"/>
      <c r="Z617" s="26"/>
      <c r="AA617" s="27" t="str">
        <f aca="false">IF(R617="","",IF(X617="Not accepted",R617,IF(OR(X617="Accepted",X617="Withdrawn by hospital"),IF(X617="Accepted",0,R617),IF(ISNUMBER(Z617),R617-Z617,""))))</f>
        <v/>
      </c>
      <c r="AB617" s="23"/>
      <c r="AC617" s="25"/>
      <c r="AD617" s="23"/>
      <c r="AE617" s="23"/>
      <c r="AF617" s="24"/>
      <c r="AG617" s="23"/>
      <c r="AH617" s="24"/>
      <c r="AI617" s="29" t="str">
        <f aca="false">IF(X617="Not accepted","Maintained",IF(X617="Partially accepted","Partially maintained",IF(X617="Accepted","Reversed",IF(X617="Withdrawn by hospital","Withdrawn by hospital",""))))</f>
        <v/>
      </c>
      <c r="AJ617" s="28" t="str">
        <f aca="false">IF(AI617="","",W617)</f>
        <v/>
      </c>
      <c r="AK617" s="29" t="str">
        <f aca="false">IF(AND(ISNUMBER(T617),ISNUMBER(W617)),W617-T617,"")</f>
        <v/>
      </c>
      <c r="AL617" s="29" t="str">
        <f aca="false">IF(A617="","",SUMIF(Actions!$C$5:$C$1004,A617,Actions!$F$5:$F$1004))</f>
        <v/>
      </c>
      <c r="AM617" s="25"/>
    </row>
    <row r="618" customFormat="false" ht="15" hidden="false" customHeight="false" outlineLevel="0" collapsed="false">
      <c r="A618" s="23"/>
      <c r="B618" s="23"/>
      <c r="C618" s="23"/>
      <c r="D618" s="23"/>
      <c r="E618" s="23"/>
      <c r="F618" s="23"/>
      <c r="G618" s="23"/>
      <c r="H618" s="23"/>
      <c r="I618" s="23"/>
      <c r="J618" s="23"/>
      <c r="K618" s="24"/>
      <c r="L618" s="23"/>
      <c r="M618" s="25"/>
      <c r="N618" s="25"/>
      <c r="O618" s="23"/>
      <c r="P618" s="26"/>
      <c r="Q618" s="26"/>
      <c r="R618" s="27" t="str">
        <f aca="false">IF(AND(ISNUMBER(P618),ISNUMBER(Q618)),P618-Q618,"")</f>
        <v/>
      </c>
      <c r="S618" s="24"/>
      <c r="T618" s="28" t="str">
        <f aca="false">IF(S618&lt;&gt;"",S618,IF(B618="","",IFERROR(IF(INDEX(Batches!$G$5:$G$64,MATCH(B618,Batches!$A$5:$A$64,0))="","",INDEX(Batches!$G$5:$G$64,MATCH(B618,Batches!$A$5:$A$64,0))),"")))</f>
        <v/>
      </c>
      <c r="U618" s="23"/>
      <c r="V618" s="24"/>
      <c r="W618" s="28" t="str">
        <f aca="false">IF(OR(X618="",X618="Pending"),"",IF(V618&lt;&gt;"",V618,IFERROR(IF(INDEX(Batches!$H$5:$H$64,MATCH(B618,Batches!$A$5:$A$64,0))="","",INDEX(Batches!$H$5:$H$64,MATCH(B618,Batches!$A$5:$A$64,0))),"")))</f>
        <v/>
      </c>
      <c r="X618" s="23"/>
      <c r="Y618" s="23"/>
      <c r="Z618" s="26"/>
      <c r="AA618" s="27" t="str">
        <f aca="false">IF(R618="","",IF(X618="Not accepted",R618,IF(OR(X618="Accepted",X618="Withdrawn by hospital"),IF(X618="Accepted",0,R618),IF(ISNUMBER(Z618),R618-Z618,""))))</f>
        <v/>
      </c>
      <c r="AB618" s="23"/>
      <c r="AC618" s="25"/>
      <c r="AD618" s="23"/>
      <c r="AE618" s="23"/>
      <c r="AF618" s="24"/>
      <c r="AG618" s="23"/>
      <c r="AH618" s="24"/>
      <c r="AI618" s="29" t="str">
        <f aca="false">IF(X618="Not accepted","Maintained",IF(X618="Partially accepted","Partially maintained",IF(X618="Accepted","Reversed",IF(X618="Withdrawn by hospital","Withdrawn by hospital",""))))</f>
        <v/>
      </c>
      <c r="AJ618" s="28" t="str">
        <f aca="false">IF(AI618="","",W618)</f>
        <v/>
      </c>
      <c r="AK618" s="29" t="str">
        <f aca="false">IF(AND(ISNUMBER(T618),ISNUMBER(W618)),W618-T618,"")</f>
        <v/>
      </c>
      <c r="AL618" s="29" t="str">
        <f aca="false">IF(A618="","",SUMIF(Actions!$C$5:$C$1004,A618,Actions!$F$5:$F$1004))</f>
        <v/>
      </c>
      <c r="AM618" s="25"/>
    </row>
    <row r="619" customFormat="false" ht="15" hidden="false" customHeight="false" outlineLevel="0" collapsed="false">
      <c r="A619" s="23"/>
      <c r="B619" s="23"/>
      <c r="C619" s="23"/>
      <c r="D619" s="23"/>
      <c r="E619" s="23"/>
      <c r="F619" s="23"/>
      <c r="G619" s="23"/>
      <c r="H619" s="23"/>
      <c r="I619" s="23"/>
      <c r="J619" s="23"/>
      <c r="K619" s="24"/>
      <c r="L619" s="23"/>
      <c r="M619" s="25"/>
      <c r="N619" s="25"/>
      <c r="O619" s="23"/>
      <c r="P619" s="26"/>
      <c r="Q619" s="26"/>
      <c r="R619" s="27" t="str">
        <f aca="false">IF(AND(ISNUMBER(P619),ISNUMBER(Q619)),P619-Q619,"")</f>
        <v/>
      </c>
      <c r="S619" s="24"/>
      <c r="T619" s="28" t="str">
        <f aca="false">IF(S619&lt;&gt;"",S619,IF(B619="","",IFERROR(IF(INDEX(Batches!$G$5:$G$64,MATCH(B619,Batches!$A$5:$A$64,0))="","",INDEX(Batches!$G$5:$G$64,MATCH(B619,Batches!$A$5:$A$64,0))),"")))</f>
        <v/>
      </c>
      <c r="U619" s="23"/>
      <c r="V619" s="24"/>
      <c r="W619" s="28" t="str">
        <f aca="false">IF(OR(X619="",X619="Pending"),"",IF(V619&lt;&gt;"",V619,IFERROR(IF(INDEX(Batches!$H$5:$H$64,MATCH(B619,Batches!$A$5:$A$64,0))="","",INDEX(Batches!$H$5:$H$64,MATCH(B619,Batches!$A$5:$A$64,0))),"")))</f>
        <v/>
      </c>
      <c r="X619" s="23"/>
      <c r="Y619" s="23"/>
      <c r="Z619" s="26"/>
      <c r="AA619" s="27" t="str">
        <f aca="false">IF(R619="","",IF(X619="Not accepted",R619,IF(OR(X619="Accepted",X619="Withdrawn by hospital"),IF(X619="Accepted",0,R619),IF(ISNUMBER(Z619),R619-Z619,""))))</f>
        <v/>
      </c>
      <c r="AB619" s="23"/>
      <c r="AC619" s="25"/>
      <c r="AD619" s="23"/>
      <c r="AE619" s="23"/>
      <c r="AF619" s="24"/>
      <c r="AG619" s="23"/>
      <c r="AH619" s="24"/>
      <c r="AI619" s="29" t="str">
        <f aca="false">IF(X619="Not accepted","Maintained",IF(X619="Partially accepted","Partially maintained",IF(X619="Accepted","Reversed",IF(X619="Withdrawn by hospital","Withdrawn by hospital",""))))</f>
        <v/>
      </c>
      <c r="AJ619" s="28" t="str">
        <f aca="false">IF(AI619="","",W619)</f>
        <v/>
      </c>
      <c r="AK619" s="29" t="str">
        <f aca="false">IF(AND(ISNUMBER(T619),ISNUMBER(W619)),W619-T619,"")</f>
        <v/>
      </c>
      <c r="AL619" s="29" t="str">
        <f aca="false">IF(A619="","",SUMIF(Actions!$C$5:$C$1004,A619,Actions!$F$5:$F$1004))</f>
        <v/>
      </c>
      <c r="AM619" s="25"/>
    </row>
    <row r="620" customFormat="false" ht="15" hidden="false" customHeight="false" outlineLevel="0" collapsed="false">
      <c r="A620" s="23"/>
      <c r="B620" s="23"/>
      <c r="C620" s="23"/>
      <c r="D620" s="23"/>
      <c r="E620" s="23"/>
      <c r="F620" s="23"/>
      <c r="G620" s="23"/>
      <c r="H620" s="23"/>
      <c r="I620" s="23"/>
      <c r="J620" s="23"/>
      <c r="K620" s="24"/>
      <c r="L620" s="23"/>
      <c r="M620" s="25"/>
      <c r="N620" s="25"/>
      <c r="O620" s="23"/>
      <c r="P620" s="26"/>
      <c r="Q620" s="26"/>
      <c r="R620" s="27" t="str">
        <f aca="false">IF(AND(ISNUMBER(P620),ISNUMBER(Q620)),P620-Q620,"")</f>
        <v/>
      </c>
      <c r="S620" s="24"/>
      <c r="T620" s="28" t="str">
        <f aca="false">IF(S620&lt;&gt;"",S620,IF(B620="","",IFERROR(IF(INDEX(Batches!$G$5:$G$64,MATCH(B620,Batches!$A$5:$A$64,0))="","",INDEX(Batches!$G$5:$G$64,MATCH(B620,Batches!$A$5:$A$64,0))),"")))</f>
        <v/>
      </c>
      <c r="U620" s="23"/>
      <c r="V620" s="24"/>
      <c r="W620" s="28" t="str">
        <f aca="false">IF(OR(X620="",X620="Pending"),"",IF(V620&lt;&gt;"",V620,IFERROR(IF(INDEX(Batches!$H$5:$H$64,MATCH(B620,Batches!$A$5:$A$64,0))="","",INDEX(Batches!$H$5:$H$64,MATCH(B620,Batches!$A$5:$A$64,0))),"")))</f>
        <v/>
      </c>
      <c r="X620" s="23"/>
      <c r="Y620" s="23"/>
      <c r="Z620" s="26"/>
      <c r="AA620" s="27" t="str">
        <f aca="false">IF(R620="","",IF(X620="Not accepted",R620,IF(OR(X620="Accepted",X620="Withdrawn by hospital"),IF(X620="Accepted",0,R620),IF(ISNUMBER(Z620),R620-Z620,""))))</f>
        <v/>
      </c>
      <c r="AB620" s="23"/>
      <c r="AC620" s="25"/>
      <c r="AD620" s="23"/>
      <c r="AE620" s="23"/>
      <c r="AF620" s="24"/>
      <c r="AG620" s="23"/>
      <c r="AH620" s="24"/>
      <c r="AI620" s="29" t="str">
        <f aca="false">IF(X620="Not accepted","Maintained",IF(X620="Partially accepted","Partially maintained",IF(X620="Accepted","Reversed",IF(X620="Withdrawn by hospital","Withdrawn by hospital",""))))</f>
        <v/>
      </c>
      <c r="AJ620" s="28" t="str">
        <f aca="false">IF(AI620="","",W620)</f>
        <v/>
      </c>
      <c r="AK620" s="29" t="str">
        <f aca="false">IF(AND(ISNUMBER(T620),ISNUMBER(W620)),W620-T620,"")</f>
        <v/>
      </c>
      <c r="AL620" s="29" t="str">
        <f aca="false">IF(A620="","",SUMIF(Actions!$C$5:$C$1004,A620,Actions!$F$5:$F$1004))</f>
        <v/>
      </c>
      <c r="AM620" s="25"/>
    </row>
    <row r="621" customFormat="false" ht="15" hidden="false" customHeight="false" outlineLevel="0" collapsed="false">
      <c r="A621" s="23"/>
      <c r="B621" s="23"/>
      <c r="C621" s="23"/>
      <c r="D621" s="23"/>
      <c r="E621" s="23"/>
      <c r="F621" s="23"/>
      <c r="G621" s="23"/>
      <c r="H621" s="23"/>
      <c r="I621" s="23"/>
      <c r="J621" s="23"/>
      <c r="K621" s="24"/>
      <c r="L621" s="23"/>
      <c r="M621" s="25"/>
      <c r="N621" s="25"/>
      <c r="O621" s="23"/>
      <c r="P621" s="26"/>
      <c r="Q621" s="26"/>
      <c r="R621" s="27" t="str">
        <f aca="false">IF(AND(ISNUMBER(P621),ISNUMBER(Q621)),P621-Q621,"")</f>
        <v/>
      </c>
      <c r="S621" s="24"/>
      <c r="T621" s="28" t="str">
        <f aca="false">IF(S621&lt;&gt;"",S621,IF(B621="","",IFERROR(IF(INDEX(Batches!$G$5:$G$64,MATCH(B621,Batches!$A$5:$A$64,0))="","",INDEX(Batches!$G$5:$G$64,MATCH(B621,Batches!$A$5:$A$64,0))),"")))</f>
        <v/>
      </c>
      <c r="U621" s="23"/>
      <c r="V621" s="24"/>
      <c r="W621" s="28" t="str">
        <f aca="false">IF(OR(X621="",X621="Pending"),"",IF(V621&lt;&gt;"",V621,IFERROR(IF(INDEX(Batches!$H$5:$H$64,MATCH(B621,Batches!$A$5:$A$64,0))="","",INDEX(Batches!$H$5:$H$64,MATCH(B621,Batches!$A$5:$A$64,0))),"")))</f>
        <v/>
      </c>
      <c r="X621" s="23"/>
      <c r="Y621" s="23"/>
      <c r="Z621" s="26"/>
      <c r="AA621" s="27" t="str">
        <f aca="false">IF(R621="","",IF(X621="Not accepted",R621,IF(OR(X621="Accepted",X621="Withdrawn by hospital"),IF(X621="Accepted",0,R621),IF(ISNUMBER(Z621),R621-Z621,""))))</f>
        <v/>
      </c>
      <c r="AB621" s="23"/>
      <c r="AC621" s="25"/>
      <c r="AD621" s="23"/>
      <c r="AE621" s="23"/>
      <c r="AF621" s="24"/>
      <c r="AG621" s="23"/>
      <c r="AH621" s="24"/>
      <c r="AI621" s="29" t="str">
        <f aca="false">IF(X621="Not accepted","Maintained",IF(X621="Partially accepted","Partially maintained",IF(X621="Accepted","Reversed",IF(X621="Withdrawn by hospital","Withdrawn by hospital",""))))</f>
        <v/>
      </c>
      <c r="AJ621" s="28" t="str">
        <f aca="false">IF(AI621="","",W621)</f>
        <v/>
      </c>
      <c r="AK621" s="29" t="str">
        <f aca="false">IF(AND(ISNUMBER(T621),ISNUMBER(W621)),W621-T621,"")</f>
        <v/>
      </c>
      <c r="AL621" s="29" t="str">
        <f aca="false">IF(A621="","",SUMIF(Actions!$C$5:$C$1004,A621,Actions!$F$5:$F$1004))</f>
        <v/>
      </c>
      <c r="AM621" s="25"/>
    </row>
    <row r="622" customFormat="false" ht="15" hidden="false" customHeight="false" outlineLevel="0" collapsed="false">
      <c r="A622" s="23"/>
      <c r="B622" s="23"/>
      <c r="C622" s="23"/>
      <c r="D622" s="23"/>
      <c r="E622" s="23"/>
      <c r="F622" s="23"/>
      <c r="G622" s="23"/>
      <c r="H622" s="23"/>
      <c r="I622" s="23"/>
      <c r="J622" s="23"/>
      <c r="K622" s="24"/>
      <c r="L622" s="23"/>
      <c r="M622" s="25"/>
      <c r="N622" s="25"/>
      <c r="O622" s="23"/>
      <c r="P622" s="26"/>
      <c r="Q622" s="26"/>
      <c r="R622" s="27" t="str">
        <f aca="false">IF(AND(ISNUMBER(P622),ISNUMBER(Q622)),P622-Q622,"")</f>
        <v/>
      </c>
      <c r="S622" s="24"/>
      <c r="T622" s="28" t="str">
        <f aca="false">IF(S622&lt;&gt;"",S622,IF(B622="","",IFERROR(IF(INDEX(Batches!$G$5:$G$64,MATCH(B622,Batches!$A$5:$A$64,0))="","",INDEX(Batches!$G$5:$G$64,MATCH(B622,Batches!$A$5:$A$64,0))),"")))</f>
        <v/>
      </c>
      <c r="U622" s="23"/>
      <c r="V622" s="24"/>
      <c r="W622" s="28" t="str">
        <f aca="false">IF(OR(X622="",X622="Pending"),"",IF(V622&lt;&gt;"",V622,IFERROR(IF(INDEX(Batches!$H$5:$H$64,MATCH(B622,Batches!$A$5:$A$64,0))="","",INDEX(Batches!$H$5:$H$64,MATCH(B622,Batches!$A$5:$A$64,0))),"")))</f>
        <v/>
      </c>
      <c r="X622" s="23"/>
      <c r="Y622" s="23"/>
      <c r="Z622" s="26"/>
      <c r="AA622" s="27" t="str">
        <f aca="false">IF(R622="","",IF(X622="Not accepted",R622,IF(OR(X622="Accepted",X622="Withdrawn by hospital"),IF(X622="Accepted",0,R622),IF(ISNUMBER(Z622),R622-Z622,""))))</f>
        <v/>
      </c>
      <c r="AB622" s="23"/>
      <c r="AC622" s="25"/>
      <c r="AD622" s="23"/>
      <c r="AE622" s="23"/>
      <c r="AF622" s="24"/>
      <c r="AG622" s="23"/>
      <c r="AH622" s="24"/>
      <c r="AI622" s="29" t="str">
        <f aca="false">IF(X622="Not accepted","Maintained",IF(X622="Partially accepted","Partially maintained",IF(X622="Accepted","Reversed",IF(X622="Withdrawn by hospital","Withdrawn by hospital",""))))</f>
        <v/>
      </c>
      <c r="AJ622" s="28" t="str">
        <f aca="false">IF(AI622="","",W622)</f>
        <v/>
      </c>
      <c r="AK622" s="29" t="str">
        <f aca="false">IF(AND(ISNUMBER(T622),ISNUMBER(W622)),W622-T622,"")</f>
        <v/>
      </c>
      <c r="AL622" s="29" t="str">
        <f aca="false">IF(A622="","",SUMIF(Actions!$C$5:$C$1004,A622,Actions!$F$5:$F$1004))</f>
        <v/>
      </c>
      <c r="AM622" s="25"/>
    </row>
    <row r="623" customFormat="false" ht="15" hidden="false" customHeight="false" outlineLevel="0" collapsed="false">
      <c r="A623" s="23"/>
      <c r="B623" s="23"/>
      <c r="C623" s="23"/>
      <c r="D623" s="23"/>
      <c r="E623" s="23"/>
      <c r="F623" s="23"/>
      <c r="G623" s="23"/>
      <c r="H623" s="23"/>
      <c r="I623" s="23"/>
      <c r="J623" s="23"/>
      <c r="K623" s="24"/>
      <c r="L623" s="23"/>
      <c r="M623" s="25"/>
      <c r="N623" s="25"/>
      <c r="O623" s="23"/>
      <c r="P623" s="26"/>
      <c r="Q623" s="26"/>
      <c r="R623" s="27" t="str">
        <f aca="false">IF(AND(ISNUMBER(P623),ISNUMBER(Q623)),P623-Q623,"")</f>
        <v/>
      </c>
      <c r="S623" s="24"/>
      <c r="T623" s="28" t="str">
        <f aca="false">IF(S623&lt;&gt;"",S623,IF(B623="","",IFERROR(IF(INDEX(Batches!$G$5:$G$64,MATCH(B623,Batches!$A$5:$A$64,0))="","",INDEX(Batches!$G$5:$G$64,MATCH(B623,Batches!$A$5:$A$64,0))),"")))</f>
        <v/>
      </c>
      <c r="U623" s="23"/>
      <c r="V623" s="24"/>
      <c r="W623" s="28" t="str">
        <f aca="false">IF(OR(X623="",X623="Pending"),"",IF(V623&lt;&gt;"",V623,IFERROR(IF(INDEX(Batches!$H$5:$H$64,MATCH(B623,Batches!$A$5:$A$64,0))="","",INDEX(Batches!$H$5:$H$64,MATCH(B623,Batches!$A$5:$A$64,0))),"")))</f>
        <v/>
      </c>
      <c r="X623" s="23"/>
      <c r="Y623" s="23"/>
      <c r="Z623" s="26"/>
      <c r="AA623" s="27" t="str">
        <f aca="false">IF(R623="","",IF(X623="Not accepted",R623,IF(OR(X623="Accepted",X623="Withdrawn by hospital"),IF(X623="Accepted",0,R623),IF(ISNUMBER(Z623),R623-Z623,""))))</f>
        <v/>
      </c>
      <c r="AB623" s="23"/>
      <c r="AC623" s="25"/>
      <c r="AD623" s="23"/>
      <c r="AE623" s="23"/>
      <c r="AF623" s="24"/>
      <c r="AG623" s="23"/>
      <c r="AH623" s="24"/>
      <c r="AI623" s="29" t="str">
        <f aca="false">IF(X623="Not accepted","Maintained",IF(X623="Partially accepted","Partially maintained",IF(X623="Accepted","Reversed",IF(X623="Withdrawn by hospital","Withdrawn by hospital",""))))</f>
        <v/>
      </c>
      <c r="AJ623" s="28" t="str">
        <f aca="false">IF(AI623="","",W623)</f>
        <v/>
      </c>
      <c r="AK623" s="29" t="str">
        <f aca="false">IF(AND(ISNUMBER(T623),ISNUMBER(W623)),W623-T623,"")</f>
        <v/>
      </c>
      <c r="AL623" s="29" t="str">
        <f aca="false">IF(A623="","",SUMIF(Actions!$C$5:$C$1004,A623,Actions!$F$5:$F$1004))</f>
        <v/>
      </c>
      <c r="AM623" s="25"/>
    </row>
    <row r="624" customFormat="false" ht="15" hidden="false" customHeight="false" outlineLevel="0" collapsed="false">
      <c r="A624" s="23"/>
      <c r="B624" s="23"/>
      <c r="C624" s="23"/>
      <c r="D624" s="23"/>
      <c r="E624" s="23"/>
      <c r="F624" s="23"/>
      <c r="G624" s="23"/>
      <c r="H624" s="23"/>
      <c r="I624" s="23"/>
      <c r="J624" s="23"/>
      <c r="K624" s="24"/>
      <c r="L624" s="23"/>
      <c r="M624" s="25"/>
      <c r="N624" s="25"/>
      <c r="O624" s="23"/>
      <c r="P624" s="26"/>
      <c r="Q624" s="26"/>
      <c r="R624" s="27" t="str">
        <f aca="false">IF(AND(ISNUMBER(P624),ISNUMBER(Q624)),P624-Q624,"")</f>
        <v/>
      </c>
      <c r="S624" s="24"/>
      <c r="T624" s="28" t="str">
        <f aca="false">IF(S624&lt;&gt;"",S624,IF(B624="","",IFERROR(IF(INDEX(Batches!$G$5:$G$64,MATCH(B624,Batches!$A$5:$A$64,0))="","",INDEX(Batches!$G$5:$G$64,MATCH(B624,Batches!$A$5:$A$64,0))),"")))</f>
        <v/>
      </c>
      <c r="U624" s="23"/>
      <c r="V624" s="24"/>
      <c r="W624" s="28" t="str">
        <f aca="false">IF(OR(X624="",X624="Pending"),"",IF(V624&lt;&gt;"",V624,IFERROR(IF(INDEX(Batches!$H$5:$H$64,MATCH(B624,Batches!$A$5:$A$64,0))="","",INDEX(Batches!$H$5:$H$64,MATCH(B624,Batches!$A$5:$A$64,0))),"")))</f>
        <v/>
      </c>
      <c r="X624" s="23"/>
      <c r="Y624" s="23"/>
      <c r="Z624" s="26"/>
      <c r="AA624" s="27" t="str">
        <f aca="false">IF(R624="","",IF(X624="Not accepted",R624,IF(OR(X624="Accepted",X624="Withdrawn by hospital"),IF(X624="Accepted",0,R624),IF(ISNUMBER(Z624),R624-Z624,""))))</f>
        <v/>
      </c>
      <c r="AB624" s="23"/>
      <c r="AC624" s="25"/>
      <c r="AD624" s="23"/>
      <c r="AE624" s="23"/>
      <c r="AF624" s="24"/>
      <c r="AG624" s="23"/>
      <c r="AH624" s="24"/>
      <c r="AI624" s="29" t="str">
        <f aca="false">IF(X624="Not accepted","Maintained",IF(X624="Partially accepted","Partially maintained",IF(X624="Accepted","Reversed",IF(X624="Withdrawn by hospital","Withdrawn by hospital",""))))</f>
        <v/>
      </c>
      <c r="AJ624" s="28" t="str">
        <f aca="false">IF(AI624="","",W624)</f>
        <v/>
      </c>
      <c r="AK624" s="29" t="str">
        <f aca="false">IF(AND(ISNUMBER(T624),ISNUMBER(W624)),W624-T624,"")</f>
        <v/>
      </c>
      <c r="AL624" s="29" t="str">
        <f aca="false">IF(A624="","",SUMIF(Actions!$C$5:$C$1004,A624,Actions!$F$5:$F$1004))</f>
        <v/>
      </c>
      <c r="AM624" s="25"/>
    </row>
    <row r="625" customFormat="false" ht="15" hidden="false" customHeight="false" outlineLevel="0" collapsed="false">
      <c r="A625" s="23"/>
      <c r="B625" s="23"/>
      <c r="C625" s="23"/>
      <c r="D625" s="23"/>
      <c r="E625" s="23"/>
      <c r="F625" s="23"/>
      <c r="G625" s="23"/>
      <c r="H625" s="23"/>
      <c r="I625" s="23"/>
      <c r="J625" s="23"/>
      <c r="K625" s="24"/>
      <c r="L625" s="23"/>
      <c r="M625" s="25"/>
      <c r="N625" s="25"/>
      <c r="O625" s="23"/>
      <c r="P625" s="26"/>
      <c r="Q625" s="26"/>
      <c r="R625" s="27" t="str">
        <f aca="false">IF(AND(ISNUMBER(P625),ISNUMBER(Q625)),P625-Q625,"")</f>
        <v/>
      </c>
      <c r="S625" s="24"/>
      <c r="T625" s="28" t="str">
        <f aca="false">IF(S625&lt;&gt;"",S625,IF(B625="","",IFERROR(IF(INDEX(Batches!$G$5:$G$64,MATCH(B625,Batches!$A$5:$A$64,0))="","",INDEX(Batches!$G$5:$G$64,MATCH(B625,Batches!$A$5:$A$64,0))),"")))</f>
        <v/>
      </c>
      <c r="U625" s="23"/>
      <c r="V625" s="24"/>
      <c r="W625" s="28" t="str">
        <f aca="false">IF(OR(X625="",X625="Pending"),"",IF(V625&lt;&gt;"",V625,IFERROR(IF(INDEX(Batches!$H$5:$H$64,MATCH(B625,Batches!$A$5:$A$64,0))="","",INDEX(Batches!$H$5:$H$64,MATCH(B625,Batches!$A$5:$A$64,0))),"")))</f>
        <v/>
      </c>
      <c r="X625" s="23"/>
      <c r="Y625" s="23"/>
      <c r="Z625" s="26"/>
      <c r="AA625" s="27" t="str">
        <f aca="false">IF(R625="","",IF(X625="Not accepted",R625,IF(OR(X625="Accepted",X625="Withdrawn by hospital"),IF(X625="Accepted",0,R625),IF(ISNUMBER(Z625),R625-Z625,""))))</f>
        <v/>
      </c>
      <c r="AB625" s="23"/>
      <c r="AC625" s="25"/>
      <c r="AD625" s="23"/>
      <c r="AE625" s="23"/>
      <c r="AF625" s="24"/>
      <c r="AG625" s="23"/>
      <c r="AH625" s="24"/>
      <c r="AI625" s="29" t="str">
        <f aca="false">IF(X625="Not accepted","Maintained",IF(X625="Partially accepted","Partially maintained",IF(X625="Accepted","Reversed",IF(X625="Withdrawn by hospital","Withdrawn by hospital",""))))</f>
        <v/>
      </c>
      <c r="AJ625" s="28" t="str">
        <f aca="false">IF(AI625="","",W625)</f>
        <v/>
      </c>
      <c r="AK625" s="29" t="str">
        <f aca="false">IF(AND(ISNUMBER(T625),ISNUMBER(W625)),W625-T625,"")</f>
        <v/>
      </c>
      <c r="AL625" s="29" t="str">
        <f aca="false">IF(A625="","",SUMIF(Actions!$C$5:$C$1004,A625,Actions!$F$5:$F$1004))</f>
        <v/>
      </c>
      <c r="AM625" s="25"/>
    </row>
    <row r="626" customFormat="false" ht="15" hidden="false" customHeight="false" outlineLevel="0" collapsed="false">
      <c r="A626" s="23"/>
      <c r="B626" s="23"/>
      <c r="C626" s="23"/>
      <c r="D626" s="23"/>
      <c r="E626" s="23"/>
      <c r="F626" s="23"/>
      <c r="G626" s="23"/>
      <c r="H626" s="23"/>
      <c r="I626" s="23"/>
      <c r="J626" s="23"/>
      <c r="K626" s="24"/>
      <c r="L626" s="23"/>
      <c r="M626" s="25"/>
      <c r="N626" s="25"/>
      <c r="O626" s="23"/>
      <c r="P626" s="26"/>
      <c r="Q626" s="26"/>
      <c r="R626" s="27" t="str">
        <f aca="false">IF(AND(ISNUMBER(P626),ISNUMBER(Q626)),P626-Q626,"")</f>
        <v/>
      </c>
      <c r="S626" s="24"/>
      <c r="T626" s="28" t="str">
        <f aca="false">IF(S626&lt;&gt;"",S626,IF(B626="","",IFERROR(IF(INDEX(Batches!$G$5:$G$64,MATCH(B626,Batches!$A$5:$A$64,0))="","",INDEX(Batches!$G$5:$G$64,MATCH(B626,Batches!$A$5:$A$64,0))),"")))</f>
        <v/>
      </c>
      <c r="U626" s="23"/>
      <c r="V626" s="24"/>
      <c r="W626" s="28" t="str">
        <f aca="false">IF(OR(X626="",X626="Pending"),"",IF(V626&lt;&gt;"",V626,IFERROR(IF(INDEX(Batches!$H$5:$H$64,MATCH(B626,Batches!$A$5:$A$64,0))="","",INDEX(Batches!$H$5:$H$64,MATCH(B626,Batches!$A$5:$A$64,0))),"")))</f>
        <v/>
      </c>
      <c r="X626" s="23"/>
      <c r="Y626" s="23"/>
      <c r="Z626" s="26"/>
      <c r="AA626" s="27" t="str">
        <f aca="false">IF(R626="","",IF(X626="Not accepted",R626,IF(OR(X626="Accepted",X626="Withdrawn by hospital"),IF(X626="Accepted",0,R626),IF(ISNUMBER(Z626),R626-Z626,""))))</f>
        <v/>
      </c>
      <c r="AB626" s="23"/>
      <c r="AC626" s="25"/>
      <c r="AD626" s="23"/>
      <c r="AE626" s="23"/>
      <c r="AF626" s="24"/>
      <c r="AG626" s="23"/>
      <c r="AH626" s="24"/>
      <c r="AI626" s="29" t="str">
        <f aca="false">IF(X626="Not accepted","Maintained",IF(X626="Partially accepted","Partially maintained",IF(X626="Accepted","Reversed",IF(X626="Withdrawn by hospital","Withdrawn by hospital",""))))</f>
        <v/>
      </c>
      <c r="AJ626" s="28" t="str">
        <f aca="false">IF(AI626="","",W626)</f>
        <v/>
      </c>
      <c r="AK626" s="29" t="str">
        <f aca="false">IF(AND(ISNUMBER(T626),ISNUMBER(W626)),W626-T626,"")</f>
        <v/>
      </c>
      <c r="AL626" s="29" t="str">
        <f aca="false">IF(A626="","",SUMIF(Actions!$C$5:$C$1004,A626,Actions!$F$5:$F$1004))</f>
        <v/>
      </c>
      <c r="AM626" s="25"/>
    </row>
    <row r="627" customFormat="false" ht="15" hidden="false" customHeight="false" outlineLevel="0" collapsed="false">
      <c r="A627" s="23"/>
      <c r="B627" s="23"/>
      <c r="C627" s="23"/>
      <c r="D627" s="23"/>
      <c r="E627" s="23"/>
      <c r="F627" s="23"/>
      <c r="G627" s="23"/>
      <c r="H627" s="23"/>
      <c r="I627" s="23"/>
      <c r="J627" s="23"/>
      <c r="K627" s="24"/>
      <c r="L627" s="23"/>
      <c r="M627" s="25"/>
      <c r="N627" s="25"/>
      <c r="O627" s="23"/>
      <c r="P627" s="26"/>
      <c r="Q627" s="26"/>
      <c r="R627" s="27" t="str">
        <f aca="false">IF(AND(ISNUMBER(P627),ISNUMBER(Q627)),P627-Q627,"")</f>
        <v/>
      </c>
      <c r="S627" s="24"/>
      <c r="T627" s="28" t="str">
        <f aca="false">IF(S627&lt;&gt;"",S627,IF(B627="","",IFERROR(IF(INDEX(Batches!$G$5:$G$64,MATCH(B627,Batches!$A$5:$A$64,0))="","",INDEX(Batches!$G$5:$G$64,MATCH(B627,Batches!$A$5:$A$64,0))),"")))</f>
        <v/>
      </c>
      <c r="U627" s="23"/>
      <c r="V627" s="24"/>
      <c r="W627" s="28" t="str">
        <f aca="false">IF(OR(X627="",X627="Pending"),"",IF(V627&lt;&gt;"",V627,IFERROR(IF(INDEX(Batches!$H$5:$H$64,MATCH(B627,Batches!$A$5:$A$64,0))="","",INDEX(Batches!$H$5:$H$64,MATCH(B627,Batches!$A$5:$A$64,0))),"")))</f>
        <v/>
      </c>
      <c r="X627" s="23"/>
      <c r="Y627" s="23"/>
      <c r="Z627" s="26"/>
      <c r="AA627" s="27" t="str">
        <f aca="false">IF(R627="","",IF(X627="Not accepted",R627,IF(OR(X627="Accepted",X627="Withdrawn by hospital"),IF(X627="Accepted",0,R627),IF(ISNUMBER(Z627),R627-Z627,""))))</f>
        <v/>
      </c>
      <c r="AB627" s="23"/>
      <c r="AC627" s="25"/>
      <c r="AD627" s="23"/>
      <c r="AE627" s="23"/>
      <c r="AF627" s="24"/>
      <c r="AG627" s="23"/>
      <c r="AH627" s="24"/>
      <c r="AI627" s="29" t="str">
        <f aca="false">IF(X627="Not accepted","Maintained",IF(X627="Partially accepted","Partially maintained",IF(X627="Accepted","Reversed",IF(X627="Withdrawn by hospital","Withdrawn by hospital",""))))</f>
        <v/>
      </c>
      <c r="AJ627" s="28" t="str">
        <f aca="false">IF(AI627="","",W627)</f>
        <v/>
      </c>
      <c r="AK627" s="29" t="str">
        <f aca="false">IF(AND(ISNUMBER(T627),ISNUMBER(W627)),W627-T627,"")</f>
        <v/>
      </c>
      <c r="AL627" s="29" t="str">
        <f aca="false">IF(A627="","",SUMIF(Actions!$C$5:$C$1004,A627,Actions!$F$5:$F$1004))</f>
        <v/>
      </c>
      <c r="AM627" s="25"/>
    </row>
    <row r="628" customFormat="false" ht="15" hidden="false" customHeight="false" outlineLevel="0" collapsed="false">
      <c r="A628" s="23"/>
      <c r="B628" s="23"/>
      <c r="C628" s="23"/>
      <c r="D628" s="23"/>
      <c r="E628" s="23"/>
      <c r="F628" s="23"/>
      <c r="G628" s="23"/>
      <c r="H628" s="23"/>
      <c r="I628" s="23"/>
      <c r="J628" s="23"/>
      <c r="K628" s="24"/>
      <c r="L628" s="23"/>
      <c r="M628" s="25"/>
      <c r="N628" s="25"/>
      <c r="O628" s="23"/>
      <c r="P628" s="26"/>
      <c r="Q628" s="26"/>
      <c r="R628" s="27" t="str">
        <f aca="false">IF(AND(ISNUMBER(P628),ISNUMBER(Q628)),P628-Q628,"")</f>
        <v/>
      </c>
      <c r="S628" s="24"/>
      <c r="T628" s="28" t="str">
        <f aca="false">IF(S628&lt;&gt;"",S628,IF(B628="","",IFERROR(IF(INDEX(Batches!$G$5:$G$64,MATCH(B628,Batches!$A$5:$A$64,0))="","",INDEX(Batches!$G$5:$G$64,MATCH(B628,Batches!$A$5:$A$64,0))),"")))</f>
        <v/>
      </c>
      <c r="U628" s="23"/>
      <c r="V628" s="24"/>
      <c r="W628" s="28" t="str">
        <f aca="false">IF(OR(X628="",X628="Pending"),"",IF(V628&lt;&gt;"",V628,IFERROR(IF(INDEX(Batches!$H$5:$H$64,MATCH(B628,Batches!$A$5:$A$64,0))="","",INDEX(Batches!$H$5:$H$64,MATCH(B628,Batches!$A$5:$A$64,0))),"")))</f>
        <v/>
      </c>
      <c r="X628" s="23"/>
      <c r="Y628" s="23"/>
      <c r="Z628" s="26"/>
      <c r="AA628" s="27" t="str">
        <f aca="false">IF(R628="","",IF(X628="Not accepted",R628,IF(OR(X628="Accepted",X628="Withdrawn by hospital"),IF(X628="Accepted",0,R628),IF(ISNUMBER(Z628),R628-Z628,""))))</f>
        <v/>
      </c>
      <c r="AB628" s="23"/>
      <c r="AC628" s="25"/>
      <c r="AD628" s="23"/>
      <c r="AE628" s="23"/>
      <c r="AF628" s="24"/>
      <c r="AG628" s="23"/>
      <c r="AH628" s="24"/>
      <c r="AI628" s="29" t="str">
        <f aca="false">IF(X628="Not accepted","Maintained",IF(X628="Partially accepted","Partially maintained",IF(X628="Accepted","Reversed",IF(X628="Withdrawn by hospital","Withdrawn by hospital",""))))</f>
        <v/>
      </c>
      <c r="AJ628" s="28" t="str">
        <f aca="false">IF(AI628="","",W628)</f>
        <v/>
      </c>
      <c r="AK628" s="29" t="str">
        <f aca="false">IF(AND(ISNUMBER(T628),ISNUMBER(W628)),W628-T628,"")</f>
        <v/>
      </c>
      <c r="AL628" s="29" t="str">
        <f aca="false">IF(A628="","",SUMIF(Actions!$C$5:$C$1004,A628,Actions!$F$5:$F$1004))</f>
        <v/>
      </c>
      <c r="AM628" s="25"/>
    </row>
    <row r="629" customFormat="false" ht="15" hidden="false" customHeight="false" outlineLevel="0" collapsed="false">
      <c r="A629" s="23"/>
      <c r="B629" s="23"/>
      <c r="C629" s="23"/>
      <c r="D629" s="23"/>
      <c r="E629" s="23"/>
      <c r="F629" s="23"/>
      <c r="G629" s="23"/>
      <c r="H629" s="23"/>
      <c r="I629" s="23"/>
      <c r="J629" s="23"/>
      <c r="K629" s="24"/>
      <c r="L629" s="23"/>
      <c r="M629" s="25"/>
      <c r="N629" s="25"/>
      <c r="O629" s="23"/>
      <c r="P629" s="26"/>
      <c r="Q629" s="26"/>
      <c r="R629" s="27" t="str">
        <f aca="false">IF(AND(ISNUMBER(P629),ISNUMBER(Q629)),P629-Q629,"")</f>
        <v/>
      </c>
      <c r="S629" s="24"/>
      <c r="T629" s="28" t="str">
        <f aca="false">IF(S629&lt;&gt;"",S629,IF(B629="","",IFERROR(IF(INDEX(Batches!$G$5:$G$64,MATCH(B629,Batches!$A$5:$A$64,0))="","",INDEX(Batches!$G$5:$G$64,MATCH(B629,Batches!$A$5:$A$64,0))),"")))</f>
        <v/>
      </c>
      <c r="U629" s="23"/>
      <c r="V629" s="24"/>
      <c r="W629" s="28" t="str">
        <f aca="false">IF(OR(X629="",X629="Pending"),"",IF(V629&lt;&gt;"",V629,IFERROR(IF(INDEX(Batches!$H$5:$H$64,MATCH(B629,Batches!$A$5:$A$64,0))="","",INDEX(Batches!$H$5:$H$64,MATCH(B629,Batches!$A$5:$A$64,0))),"")))</f>
        <v/>
      </c>
      <c r="X629" s="23"/>
      <c r="Y629" s="23"/>
      <c r="Z629" s="26"/>
      <c r="AA629" s="27" t="str">
        <f aca="false">IF(R629="","",IF(X629="Not accepted",R629,IF(OR(X629="Accepted",X629="Withdrawn by hospital"),IF(X629="Accepted",0,R629),IF(ISNUMBER(Z629),R629-Z629,""))))</f>
        <v/>
      </c>
      <c r="AB629" s="23"/>
      <c r="AC629" s="25"/>
      <c r="AD629" s="23"/>
      <c r="AE629" s="23"/>
      <c r="AF629" s="24"/>
      <c r="AG629" s="23"/>
      <c r="AH629" s="24"/>
      <c r="AI629" s="29" t="str">
        <f aca="false">IF(X629="Not accepted","Maintained",IF(X629="Partially accepted","Partially maintained",IF(X629="Accepted","Reversed",IF(X629="Withdrawn by hospital","Withdrawn by hospital",""))))</f>
        <v/>
      </c>
      <c r="AJ629" s="28" t="str">
        <f aca="false">IF(AI629="","",W629)</f>
        <v/>
      </c>
      <c r="AK629" s="29" t="str">
        <f aca="false">IF(AND(ISNUMBER(T629),ISNUMBER(W629)),W629-T629,"")</f>
        <v/>
      </c>
      <c r="AL629" s="29" t="str">
        <f aca="false">IF(A629="","",SUMIF(Actions!$C$5:$C$1004,A629,Actions!$F$5:$F$1004))</f>
        <v/>
      </c>
      <c r="AM629" s="25"/>
    </row>
    <row r="630" customFormat="false" ht="15" hidden="false" customHeight="false" outlineLevel="0" collapsed="false">
      <c r="A630" s="23"/>
      <c r="B630" s="23"/>
      <c r="C630" s="23"/>
      <c r="D630" s="23"/>
      <c r="E630" s="23"/>
      <c r="F630" s="23"/>
      <c r="G630" s="23"/>
      <c r="H630" s="23"/>
      <c r="I630" s="23"/>
      <c r="J630" s="23"/>
      <c r="K630" s="24"/>
      <c r="L630" s="23"/>
      <c r="M630" s="25"/>
      <c r="N630" s="25"/>
      <c r="O630" s="23"/>
      <c r="P630" s="26"/>
      <c r="Q630" s="26"/>
      <c r="R630" s="27" t="str">
        <f aca="false">IF(AND(ISNUMBER(P630),ISNUMBER(Q630)),P630-Q630,"")</f>
        <v/>
      </c>
      <c r="S630" s="24"/>
      <c r="T630" s="28" t="str">
        <f aca="false">IF(S630&lt;&gt;"",S630,IF(B630="","",IFERROR(IF(INDEX(Batches!$G$5:$G$64,MATCH(B630,Batches!$A$5:$A$64,0))="","",INDEX(Batches!$G$5:$G$64,MATCH(B630,Batches!$A$5:$A$64,0))),"")))</f>
        <v/>
      </c>
      <c r="U630" s="23"/>
      <c r="V630" s="24"/>
      <c r="W630" s="28" t="str">
        <f aca="false">IF(OR(X630="",X630="Pending"),"",IF(V630&lt;&gt;"",V630,IFERROR(IF(INDEX(Batches!$H$5:$H$64,MATCH(B630,Batches!$A$5:$A$64,0))="","",INDEX(Batches!$H$5:$H$64,MATCH(B630,Batches!$A$5:$A$64,0))),"")))</f>
        <v/>
      </c>
      <c r="X630" s="23"/>
      <c r="Y630" s="23"/>
      <c r="Z630" s="26"/>
      <c r="AA630" s="27" t="str">
        <f aca="false">IF(R630="","",IF(X630="Not accepted",R630,IF(OR(X630="Accepted",X630="Withdrawn by hospital"),IF(X630="Accepted",0,R630),IF(ISNUMBER(Z630),R630-Z630,""))))</f>
        <v/>
      </c>
      <c r="AB630" s="23"/>
      <c r="AC630" s="25"/>
      <c r="AD630" s="23"/>
      <c r="AE630" s="23"/>
      <c r="AF630" s="24"/>
      <c r="AG630" s="23"/>
      <c r="AH630" s="24"/>
      <c r="AI630" s="29" t="str">
        <f aca="false">IF(X630="Not accepted","Maintained",IF(X630="Partially accepted","Partially maintained",IF(X630="Accepted","Reversed",IF(X630="Withdrawn by hospital","Withdrawn by hospital",""))))</f>
        <v/>
      </c>
      <c r="AJ630" s="28" t="str">
        <f aca="false">IF(AI630="","",W630)</f>
        <v/>
      </c>
      <c r="AK630" s="29" t="str">
        <f aca="false">IF(AND(ISNUMBER(T630),ISNUMBER(W630)),W630-T630,"")</f>
        <v/>
      </c>
      <c r="AL630" s="29" t="str">
        <f aca="false">IF(A630="","",SUMIF(Actions!$C$5:$C$1004,A630,Actions!$F$5:$F$1004))</f>
        <v/>
      </c>
      <c r="AM630" s="25"/>
    </row>
    <row r="631" customFormat="false" ht="15" hidden="false" customHeight="false" outlineLevel="0" collapsed="false">
      <c r="A631" s="23"/>
      <c r="B631" s="23"/>
      <c r="C631" s="23"/>
      <c r="D631" s="23"/>
      <c r="E631" s="23"/>
      <c r="F631" s="23"/>
      <c r="G631" s="23"/>
      <c r="H631" s="23"/>
      <c r="I631" s="23"/>
      <c r="J631" s="23"/>
      <c r="K631" s="24"/>
      <c r="L631" s="23"/>
      <c r="M631" s="25"/>
      <c r="N631" s="25"/>
      <c r="O631" s="23"/>
      <c r="P631" s="26"/>
      <c r="Q631" s="26"/>
      <c r="R631" s="27" t="str">
        <f aca="false">IF(AND(ISNUMBER(P631),ISNUMBER(Q631)),P631-Q631,"")</f>
        <v/>
      </c>
      <c r="S631" s="24"/>
      <c r="T631" s="28" t="str">
        <f aca="false">IF(S631&lt;&gt;"",S631,IF(B631="","",IFERROR(IF(INDEX(Batches!$G$5:$G$64,MATCH(B631,Batches!$A$5:$A$64,0))="","",INDEX(Batches!$G$5:$G$64,MATCH(B631,Batches!$A$5:$A$64,0))),"")))</f>
        <v/>
      </c>
      <c r="U631" s="23"/>
      <c r="V631" s="24"/>
      <c r="W631" s="28" t="str">
        <f aca="false">IF(OR(X631="",X631="Pending"),"",IF(V631&lt;&gt;"",V631,IFERROR(IF(INDEX(Batches!$H$5:$H$64,MATCH(B631,Batches!$A$5:$A$64,0))="","",INDEX(Batches!$H$5:$H$64,MATCH(B631,Batches!$A$5:$A$64,0))),"")))</f>
        <v/>
      </c>
      <c r="X631" s="23"/>
      <c r="Y631" s="23"/>
      <c r="Z631" s="26"/>
      <c r="AA631" s="27" t="str">
        <f aca="false">IF(R631="","",IF(X631="Not accepted",R631,IF(OR(X631="Accepted",X631="Withdrawn by hospital"),IF(X631="Accepted",0,R631),IF(ISNUMBER(Z631),R631-Z631,""))))</f>
        <v/>
      </c>
      <c r="AB631" s="23"/>
      <c r="AC631" s="25"/>
      <c r="AD631" s="23"/>
      <c r="AE631" s="23"/>
      <c r="AF631" s="24"/>
      <c r="AG631" s="23"/>
      <c r="AH631" s="24"/>
      <c r="AI631" s="29" t="str">
        <f aca="false">IF(X631="Not accepted","Maintained",IF(X631="Partially accepted","Partially maintained",IF(X631="Accepted","Reversed",IF(X631="Withdrawn by hospital","Withdrawn by hospital",""))))</f>
        <v/>
      </c>
      <c r="AJ631" s="28" t="str">
        <f aca="false">IF(AI631="","",W631)</f>
        <v/>
      </c>
      <c r="AK631" s="29" t="str">
        <f aca="false">IF(AND(ISNUMBER(T631),ISNUMBER(W631)),W631-T631,"")</f>
        <v/>
      </c>
      <c r="AL631" s="29" t="str">
        <f aca="false">IF(A631="","",SUMIF(Actions!$C$5:$C$1004,A631,Actions!$F$5:$F$1004))</f>
        <v/>
      </c>
      <c r="AM631" s="25"/>
    </row>
    <row r="632" customFormat="false" ht="15" hidden="false" customHeight="false" outlineLevel="0" collapsed="false">
      <c r="A632" s="23"/>
      <c r="B632" s="23"/>
      <c r="C632" s="23"/>
      <c r="D632" s="23"/>
      <c r="E632" s="23"/>
      <c r="F632" s="23"/>
      <c r="G632" s="23"/>
      <c r="H632" s="23"/>
      <c r="I632" s="23"/>
      <c r="J632" s="23"/>
      <c r="K632" s="24"/>
      <c r="L632" s="23"/>
      <c r="M632" s="25"/>
      <c r="N632" s="25"/>
      <c r="O632" s="23"/>
      <c r="P632" s="26"/>
      <c r="Q632" s="26"/>
      <c r="R632" s="27" t="str">
        <f aca="false">IF(AND(ISNUMBER(P632),ISNUMBER(Q632)),P632-Q632,"")</f>
        <v/>
      </c>
      <c r="S632" s="24"/>
      <c r="T632" s="28" t="str">
        <f aca="false">IF(S632&lt;&gt;"",S632,IF(B632="","",IFERROR(IF(INDEX(Batches!$G$5:$G$64,MATCH(B632,Batches!$A$5:$A$64,0))="","",INDEX(Batches!$G$5:$G$64,MATCH(B632,Batches!$A$5:$A$64,0))),"")))</f>
        <v/>
      </c>
      <c r="U632" s="23"/>
      <c r="V632" s="24"/>
      <c r="W632" s="28" t="str">
        <f aca="false">IF(OR(X632="",X632="Pending"),"",IF(V632&lt;&gt;"",V632,IFERROR(IF(INDEX(Batches!$H$5:$H$64,MATCH(B632,Batches!$A$5:$A$64,0))="","",INDEX(Batches!$H$5:$H$64,MATCH(B632,Batches!$A$5:$A$64,0))),"")))</f>
        <v/>
      </c>
      <c r="X632" s="23"/>
      <c r="Y632" s="23"/>
      <c r="Z632" s="26"/>
      <c r="AA632" s="27" t="str">
        <f aca="false">IF(R632="","",IF(X632="Not accepted",R632,IF(OR(X632="Accepted",X632="Withdrawn by hospital"),IF(X632="Accepted",0,R632),IF(ISNUMBER(Z632),R632-Z632,""))))</f>
        <v/>
      </c>
      <c r="AB632" s="23"/>
      <c r="AC632" s="25"/>
      <c r="AD632" s="23"/>
      <c r="AE632" s="23"/>
      <c r="AF632" s="24"/>
      <c r="AG632" s="23"/>
      <c r="AH632" s="24"/>
      <c r="AI632" s="29" t="str">
        <f aca="false">IF(X632="Not accepted","Maintained",IF(X632="Partially accepted","Partially maintained",IF(X632="Accepted","Reversed",IF(X632="Withdrawn by hospital","Withdrawn by hospital",""))))</f>
        <v/>
      </c>
      <c r="AJ632" s="28" t="str">
        <f aca="false">IF(AI632="","",W632)</f>
        <v/>
      </c>
      <c r="AK632" s="29" t="str">
        <f aca="false">IF(AND(ISNUMBER(T632),ISNUMBER(W632)),W632-T632,"")</f>
        <v/>
      </c>
      <c r="AL632" s="29" t="str">
        <f aca="false">IF(A632="","",SUMIF(Actions!$C$5:$C$1004,A632,Actions!$F$5:$F$1004))</f>
        <v/>
      </c>
      <c r="AM632" s="25"/>
    </row>
    <row r="633" customFormat="false" ht="15" hidden="false" customHeight="false" outlineLevel="0" collapsed="false">
      <c r="A633" s="23"/>
      <c r="B633" s="23"/>
      <c r="C633" s="23"/>
      <c r="D633" s="23"/>
      <c r="E633" s="23"/>
      <c r="F633" s="23"/>
      <c r="G633" s="23"/>
      <c r="H633" s="23"/>
      <c r="I633" s="23"/>
      <c r="J633" s="23"/>
      <c r="K633" s="24"/>
      <c r="L633" s="23"/>
      <c r="M633" s="25"/>
      <c r="N633" s="25"/>
      <c r="O633" s="23"/>
      <c r="P633" s="26"/>
      <c r="Q633" s="26"/>
      <c r="R633" s="27" t="str">
        <f aca="false">IF(AND(ISNUMBER(P633),ISNUMBER(Q633)),P633-Q633,"")</f>
        <v/>
      </c>
      <c r="S633" s="24"/>
      <c r="T633" s="28" t="str">
        <f aca="false">IF(S633&lt;&gt;"",S633,IF(B633="","",IFERROR(IF(INDEX(Batches!$G$5:$G$64,MATCH(B633,Batches!$A$5:$A$64,0))="","",INDEX(Batches!$G$5:$G$64,MATCH(B633,Batches!$A$5:$A$64,0))),"")))</f>
        <v/>
      </c>
      <c r="U633" s="23"/>
      <c r="V633" s="24"/>
      <c r="W633" s="28" t="str">
        <f aca="false">IF(OR(X633="",X633="Pending"),"",IF(V633&lt;&gt;"",V633,IFERROR(IF(INDEX(Batches!$H$5:$H$64,MATCH(B633,Batches!$A$5:$A$64,0))="","",INDEX(Batches!$H$5:$H$64,MATCH(B633,Batches!$A$5:$A$64,0))),"")))</f>
        <v/>
      </c>
      <c r="X633" s="23"/>
      <c r="Y633" s="23"/>
      <c r="Z633" s="26"/>
      <c r="AA633" s="27" t="str">
        <f aca="false">IF(R633="","",IF(X633="Not accepted",R633,IF(OR(X633="Accepted",X633="Withdrawn by hospital"),IF(X633="Accepted",0,R633),IF(ISNUMBER(Z633),R633-Z633,""))))</f>
        <v/>
      </c>
      <c r="AB633" s="23"/>
      <c r="AC633" s="25"/>
      <c r="AD633" s="23"/>
      <c r="AE633" s="23"/>
      <c r="AF633" s="24"/>
      <c r="AG633" s="23"/>
      <c r="AH633" s="24"/>
      <c r="AI633" s="29" t="str">
        <f aca="false">IF(X633="Not accepted","Maintained",IF(X633="Partially accepted","Partially maintained",IF(X633="Accepted","Reversed",IF(X633="Withdrawn by hospital","Withdrawn by hospital",""))))</f>
        <v/>
      </c>
      <c r="AJ633" s="28" t="str">
        <f aca="false">IF(AI633="","",W633)</f>
        <v/>
      </c>
      <c r="AK633" s="29" t="str">
        <f aca="false">IF(AND(ISNUMBER(T633),ISNUMBER(W633)),W633-T633,"")</f>
        <v/>
      </c>
      <c r="AL633" s="29" t="str">
        <f aca="false">IF(A633="","",SUMIF(Actions!$C$5:$C$1004,A633,Actions!$F$5:$F$1004))</f>
        <v/>
      </c>
      <c r="AM633" s="25"/>
    </row>
    <row r="634" customFormat="false" ht="15" hidden="false" customHeight="false" outlineLevel="0" collapsed="false">
      <c r="A634" s="23"/>
      <c r="B634" s="23"/>
      <c r="C634" s="23"/>
      <c r="D634" s="23"/>
      <c r="E634" s="23"/>
      <c r="F634" s="23"/>
      <c r="G634" s="23"/>
      <c r="H634" s="23"/>
      <c r="I634" s="23"/>
      <c r="J634" s="23"/>
      <c r="K634" s="24"/>
      <c r="L634" s="23"/>
      <c r="M634" s="25"/>
      <c r="N634" s="25"/>
      <c r="O634" s="23"/>
      <c r="P634" s="26"/>
      <c r="Q634" s="26"/>
      <c r="R634" s="27" t="str">
        <f aca="false">IF(AND(ISNUMBER(P634),ISNUMBER(Q634)),P634-Q634,"")</f>
        <v/>
      </c>
      <c r="S634" s="24"/>
      <c r="T634" s="28" t="str">
        <f aca="false">IF(S634&lt;&gt;"",S634,IF(B634="","",IFERROR(IF(INDEX(Batches!$G$5:$G$64,MATCH(B634,Batches!$A$5:$A$64,0))="","",INDEX(Batches!$G$5:$G$64,MATCH(B634,Batches!$A$5:$A$64,0))),"")))</f>
        <v/>
      </c>
      <c r="U634" s="23"/>
      <c r="V634" s="24"/>
      <c r="W634" s="28" t="str">
        <f aca="false">IF(OR(X634="",X634="Pending"),"",IF(V634&lt;&gt;"",V634,IFERROR(IF(INDEX(Batches!$H$5:$H$64,MATCH(B634,Batches!$A$5:$A$64,0))="","",INDEX(Batches!$H$5:$H$64,MATCH(B634,Batches!$A$5:$A$64,0))),"")))</f>
        <v/>
      </c>
      <c r="X634" s="23"/>
      <c r="Y634" s="23"/>
      <c r="Z634" s="26"/>
      <c r="AA634" s="27" t="str">
        <f aca="false">IF(R634="","",IF(X634="Not accepted",R634,IF(OR(X634="Accepted",X634="Withdrawn by hospital"),IF(X634="Accepted",0,R634),IF(ISNUMBER(Z634),R634-Z634,""))))</f>
        <v/>
      </c>
      <c r="AB634" s="23"/>
      <c r="AC634" s="25"/>
      <c r="AD634" s="23"/>
      <c r="AE634" s="23"/>
      <c r="AF634" s="24"/>
      <c r="AG634" s="23"/>
      <c r="AH634" s="24"/>
      <c r="AI634" s="29" t="str">
        <f aca="false">IF(X634="Not accepted","Maintained",IF(X634="Partially accepted","Partially maintained",IF(X634="Accepted","Reversed",IF(X634="Withdrawn by hospital","Withdrawn by hospital",""))))</f>
        <v/>
      </c>
      <c r="AJ634" s="28" t="str">
        <f aca="false">IF(AI634="","",W634)</f>
        <v/>
      </c>
      <c r="AK634" s="29" t="str">
        <f aca="false">IF(AND(ISNUMBER(T634),ISNUMBER(W634)),W634-T634,"")</f>
        <v/>
      </c>
      <c r="AL634" s="29" t="str">
        <f aca="false">IF(A634="","",SUMIF(Actions!$C$5:$C$1004,A634,Actions!$F$5:$F$1004))</f>
        <v/>
      </c>
      <c r="AM634" s="25"/>
    </row>
    <row r="635" customFormat="false" ht="15" hidden="false" customHeight="false" outlineLevel="0" collapsed="false">
      <c r="A635" s="23"/>
      <c r="B635" s="23"/>
      <c r="C635" s="23"/>
      <c r="D635" s="23"/>
      <c r="E635" s="23"/>
      <c r="F635" s="23"/>
      <c r="G635" s="23"/>
      <c r="H635" s="23"/>
      <c r="I635" s="23"/>
      <c r="J635" s="23"/>
      <c r="K635" s="24"/>
      <c r="L635" s="23"/>
      <c r="M635" s="25"/>
      <c r="N635" s="25"/>
      <c r="O635" s="23"/>
      <c r="P635" s="26"/>
      <c r="Q635" s="26"/>
      <c r="R635" s="27" t="str">
        <f aca="false">IF(AND(ISNUMBER(P635),ISNUMBER(Q635)),P635-Q635,"")</f>
        <v/>
      </c>
      <c r="S635" s="24"/>
      <c r="T635" s="28" t="str">
        <f aca="false">IF(S635&lt;&gt;"",S635,IF(B635="","",IFERROR(IF(INDEX(Batches!$G$5:$G$64,MATCH(B635,Batches!$A$5:$A$64,0))="","",INDEX(Batches!$G$5:$G$64,MATCH(B635,Batches!$A$5:$A$64,0))),"")))</f>
        <v/>
      </c>
      <c r="U635" s="23"/>
      <c r="V635" s="24"/>
      <c r="W635" s="28" t="str">
        <f aca="false">IF(OR(X635="",X635="Pending"),"",IF(V635&lt;&gt;"",V635,IFERROR(IF(INDEX(Batches!$H$5:$H$64,MATCH(B635,Batches!$A$5:$A$64,0))="","",INDEX(Batches!$H$5:$H$64,MATCH(B635,Batches!$A$5:$A$64,0))),"")))</f>
        <v/>
      </c>
      <c r="X635" s="23"/>
      <c r="Y635" s="23"/>
      <c r="Z635" s="26"/>
      <c r="AA635" s="27" t="str">
        <f aca="false">IF(R635="","",IF(X635="Not accepted",R635,IF(OR(X635="Accepted",X635="Withdrawn by hospital"),IF(X635="Accepted",0,R635),IF(ISNUMBER(Z635),R635-Z635,""))))</f>
        <v/>
      </c>
      <c r="AB635" s="23"/>
      <c r="AC635" s="25"/>
      <c r="AD635" s="23"/>
      <c r="AE635" s="23"/>
      <c r="AF635" s="24"/>
      <c r="AG635" s="23"/>
      <c r="AH635" s="24"/>
      <c r="AI635" s="29" t="str">
        <f aca="false">IF(X635="Not accepted","Maintained",IF(X635="Partially accepted","Partially maintained",IF(X635="Accepted","Reversed",IF(X635="Withdrawn by hospital","Withdrawn by hospital",""))))</f>
        <v/>
      </c>
      <c r="AJ635" s="28" t="str">
        <f aca="false">IF(AI635="","",W635)</f>
        <v/>
      </c>
      <c r="AK635" s="29" t="str">
        <f aca="false">IF(AND(ISNUMBER(T635),ISNUMBER(W635)),W635-T635,"")</f>
        <v/>
      </c>
      <c r="AL635" s="29" t="str">
        <f aca="false">IF(A635="","",SUMIF(Actions!$C$5:$C$1004,A635,Actions!$F$5:$F$1004))</f>
        <v/>
      </c>
      <c r="AM635" s="25"/>
    </row>
    <row r="636" customFormat="false" ht="15" hidden="false" customHeight="false" outlineLevel="0" collapsed="false">
      <c r="A636" s="23"/>
      <c r="B636" s="23"/>
      <c r="C636" s="23"/>
      <c r="D636" s="23"/>
      <c r="E636" s="23"/>
      <c r="F636" s="23"/>
      <c r="G636" s="23"/>
      <c r="H636" s="23"/>
      <c r="I636" s="23"/>
      <c r="J636" s="23"/>
      <c r="K636" s="24"/>
      <c r="L636" s="23"/>
      <c r="M636" s="25"/>
      <c r="N636" s="25"/>
      <c r="O636" s="23"/>
      <c r="P636" s="26"/>
      <c r="Q636" s="26"/>
      <c r="R636" s="27" t="str">
        <f aca="false">IF(AND(ISNUMBER(P636),ISNUMBER(Q636)),P636-Q636,"")</f>
        <v/>
      </c>
      <c r="S636" s="24"/>
      <c r="T636" s="28" t="str">
        <f aca="false">IF(S636&lt;&gt;"",S636,IF(B636="","",IFERROR(IF(INDEX(Batches!$G$5:$G$64,MATCH(B636,Batches!$A$5:$A$64,0))="","",INDEX(Batches!$G$5:$G$64,MATCH(B636,Batches!$A$5:$A$64,0))),"")))</f>
        <v/>
      </c>
      <c r="U636" s="23"/>
      <c r="V636" s="24"/>
      <c r="W636" s="28" t="str">
        <f aca="false">IF(OR(X636="",X636="Pending"),"",IF(V636&lt;&gt;"",V636,IFERROR(IF(INDEX(Batches!$H$5:$H$64,MATCH(B636,Batches!$A$5:$A$64,0))="","",INDEX(Batches!$H$5:$H$64,MATCH(B636,Batches!$A$5:$A$64,0))),"")))</f>
        <v/>
      </c>
      <c r="X636" s="23"/>
      <c r="Y636" s="23"/>
      <c r="Z636" s="26"/>
      <c r="AA636" s="27" t="str">
        <f aca="false">IF(R636="","",IF(X636="Not accepted",R636,IF(OR(X636="Accepted",X636="Withdrawn by hospital"),IF(X636="Accepted",0,R636),IF(ISNUMBER(Z636),R636-Z636,""))))</f>
        <v/>
      </c>
      <c r="AB636" s="23"/>
      <c r="AC636" s="25"/>
      <c r="AD636" s="23"/>
      <c r="AE636" s="23"/>
      <c r="AF636" s="24"/>
      <c r="AG636" s="23"/>
      <c r="AH636" s="24"/>
      <c r="AI636" s="29" t="str">
        <f aca="false">IF(X636="Not accepted","Maintained",IF(X636="Partially accepted","Partially maintained",IF(X636="Accepted","Reversed",IF(X636="Withdrawn by hospital","Withdrawn by hospital",""))))</f>
        <v/>
      </c>
      <c r="AJ636" s="28" t="str">
        <f aca="false">IF(AI636="","",W636)</f>
        <v/>
      </c>
      <c r="AK636" s="29" t="str">
        <f aca="false">IF(AND(ISNUMBER(T636),ISNUMBER(W636)),W636-T636,"")</f>
        <v/>
      </c>
      <c r="AL636" s="29" t="str">
        <f aca="false">IF(A636="","",SUMIF(Actions!$C$5:$C$1004,A636,Actions!$F$5:$F$1004))</f>
        <v/>
      </c>
      <c r="AM636" s="25"/>
    </row>
    <row r="637" customFormat="false" ht="15" hidden="false" customHeight="false" outlineLevel="0" collapsed="false">
      <c r="A637" s="23"/>
      <c r="B637" s="23"/>
      <c r="C637" s="23"/>
      <c r="D637" s="23"/>
      <c r="E637" s="23"/>
      <c r="F637" s="23"/>
      <c r="G637" s="23"/>
      <c r="H637" s="23"/>
      <c r="I637" s="23"/>
      <c r="J637" s="23"/>
      <c r="K637" s="24"/>
      <c r="L637" s="23"/>
      <c r="M637" s="25"/>
      <c r="N637" s="25"/>
      <c r="O637" s="23"/>
      <c r="P637" s="26"/>
      <c r="Q637" s="26"/>
      <c r="R637" s="27" t="str">
        <f aca="false">IF(AND(ISNUMBER(P637),ISNUMBER(Q637)),P637-Q637,"")</f>
        <v/>
      </c>
      <c r="S637" s="24"/>
      <c r="T637" s="28" t="str">
        <f aca="false">IF(S637&lt;&gt;"",S637,IF(B637="","",IFERROR(IF(INDEX(Batches!$G$5:$G$64,MATCH(B637,Batches!$A$5:$A$64,0))="","",INDEX(Batches!$G$5:$G$64,MATCH(B637,Batches!$A$5:$A$64,0))),"")))</f>
        <v/>
      </c>
      <c r="U637" s="23"/>
      <c r="V637" s="24"/>
      <c r="W637" s="28" t="str">
        <f aca="false">IF(OR(X637="",X637="Pending"),"",IF(V637&lt;&gt;"",V637,IFERROR(IF(INDEX(Batches!$H$5:$H$64,MATCH(B637,Batches!$A$5:$A$64,0))="","",INDEX(Batches!$H$5:$H$64,MATCH(B637,Batches!$A$5:$A$64,0))),"")))</f>
        <v/>
      </c>
      <c r="X637" s="23"/>
      <c r="Y637" s="23"/>
      <c r="Z637" s="26"/>
      <c r="AA637" s="27" t="str">
        <f aca="false">IF(R637="","",IF(X637="Not accepted",R637,IF(OR(X637="Accepted",X637="Withdrawn by hospital"),IF(X637="Accepted",0,R637),IF(ISNUMBER(Z637),R637-Z637,""))))</f>
        <v/>
      </c>
      <c r="AB637" s="23"/>
      <c r="AC637" s="25"/>
      <c r="AD637" s="23"/>
      <c r="AE637" s="23"/>
      <c r="AF637" s="24"/>
      <c r="AG637" s="23"/>
      <c r="AH637" s="24"/>
      <c r="AI637" s="29" t="str">
        <f aca="false">IF(X637="Not accepted","Maintained",IF(X637="Partially accepted","Partially maintained",IF(X637="Accepted","Reversed",IF(X637="Withdrawn by hospital","Withdrawn by hospital",""))))</f>
        <v/>
      </c>
      <c r="AJ637" s="28" t="str">
        <f aca="false">IF(AI637="","",W637)</f>
        <v/>
      </c>
      <c r="AK637" s="29" t="str">
        <f aca="false">IF(AND(ISNUMBER(T637),ISNUMBER(W637)),W637-T637,"")</f>
        <v/>
      </c>
      <c r="AL637" s="29" t="str">
        <f aca="false">IF(A637="","",SUMIF(Actions!$C$5:$C$1004,A637,Actions!$F$5:$F$1004))</f>
        <v/>
      </c>
      <c r="AM637" s="25"/>
    </row>
    <row r="638" customFormat="false" ht="15" hidden="false" customHeight="false" outlineLevel="0" collapsed="false">
      <c r="A638" s="23"/>
      <c r="B638" s="23"/>
      <c r="C638" s="23"/>
      <c r="D638" s="23"/>
      <c r="E638" s="23"/>
      <c r="F638" s="23"/>
      <c r="G638" s="23"/>
      <c r="H638" s="23"/>
      <c r="I638" s="23"/>
      <c r="J638" s="23"/>
      <c r="K638" s="24"/>
      <c r="L638" s="23"/>
      <c r="M638" s="25"/>
      <c r="N638" s="25"/>
      <c r="O638" s="23"/>
      <c r="P638" s="26"/>
      <c r="Q638" s="26"/>
      <c r="R638" s="27" t="str">
        <f aca="false">IF(AND(ISNUMBER(P638),ISNUMBER(Q638)),P638-Q638,"")</f>
        <v/>
      </c>
      <c r="S638" s="24"/>
      <c r="T638" s="28" t="str">
        <f aca="false">IF(S638&lt;&gt;"",S638,IF(B638="","",IFERROR(IF(INDEX(Batches!$G$5:$G$64,MATCH(B638,Batches!$A$5:$A$64,0))="","",INDEX(Batches!$G$5:$G$64,MATCH(B638,Batches!$A$5:$A$64,0))),"")))</f>
        <v/>
      </c>
      <c r="U638" s="23"/>
      <c r="V638" s="24"/>
      <c r="W638" s="28" t="str">
        <f aca="false">IF(OR(X638="",X638="Pending"),"",IF(V638&lt;&gt;"",V638,IFERROR(IF(INDEX(Batches!$H$5:$H$64,MATCH(B638,Batches!$A$5:$A$64,0))="","",INDEX(Batches!$H$5:$H$64,MATCH(B638,Batches!$A$5:$A$64,0))),"")))</f>
        <v/>
      </c>
      <c r="X638" s="23"/>
      <c r="Y638" s="23"/>
      <c r="Z638" s="26"/>
      <c r="AA638" s="27" t="str">
        <f aca="false">IF(R638="","",IF(X638="Not accepted",R638,IF(OR(X638="Accepted",X638="Withdrawn by hospital"),IF(X638="Accepted",0,R638),IF(ISNUMBER(Z638),R638-Z638,""))))</f>
        <v/>
      </c>
      <c r="AB638" s="23"/>
      <c r="AC638" s="25"/>
      <c r="AD638" s="23"/>
      <c r="AE638" s="23"/>
      <c r="AF638" s="24"/>
      <c r="AG638" s="23"/>
      <c r="AH638" s="24"/>
      <c r="AI638" s="29" t="str">
        <f aca="false">IF(X638="Not accepted","Maintained",IF(X638="Partially accepted","Partially maintained",IF(X638="Accepted","Reversed",IF(X638="Withdrawn by hospital","Withdrawn by hospital",""))))</f>
        <v/>
      </c>
      <c r="AJ638" s="28" t="str">
        <f aca="false">IF(AI638="","",W638)</f>
        <v/>
      </c>
      <c r="AK638" s="29" t="str">
        <f aca="false">IF(AND(ISNUMBER(T638),ISNUMBER(W638)),W638-T638,"")</f>
        <v/>
      </c>
      <c r="AL638" s="29" t="str">
        <f aca="false">IF(A638="","",SUMIF(Actions!$C$5:$C$1004,A638,Actions!$F$5:$F$1004))</f>
        <v/>
      </c>
      <c r="AM638" s="25"/>
    </row>
    <row r="639" customFormat="false" ht="15" hidden="false" customHeight="false" outlineLevel="0" collapsed="false">
      <c r="A639" s="23"/>
      <c r="B639" s="23"/>
      <c r="C639" s="23"/>
      <c r="D639" s="23"/>
      <c r="E639" s="23"/>
      <c r="F639" s="23"/>
      <c r="G639" s="23"/>
      <c r="H639" s="23"/>
      <c r="I639" s="23"/>
      <c r="J639" s="23"/>
      <c r="K639" s="24"/>
      <c r="L639" s="23"/>
      <c r="M639" s="25"/>
      <c r="N639" s="25"/>
      <c r="O639" s="23"/>
      <c r="P639" s="26"/>
      <c r="Q639" s="26"/>
      <c r="R639" s="27" t="str">
        <f aca="false">IF(AND(ISNUMBER(P639),ISNUMBER(Q639)),P639-Q639,"")</f>
        <v/>
      </c>
      <c r="S639" s="24"/>
      <c r="T639" s="28" t="str">
        <f aca="false">IF(S639&lt;&gt;"",S639,IF(B639="","",IFERROR(IF(INDEX(Batches!$G$5:$G$64,MATCH(B639,Batches!$A$5:$A$64,0))="","",INDEX(Batches!$G$5:$G$64,MATCH(B639,Batches!$A$5:$A$64,0))),"")))</f>
        <v/>
      </c>
      <c r="U639" s="23"/>
      <c r="V639" s="24"/>
      <c r="W639" s="28" t="str">
        <f aca="false">IF(OR(X639="",X639="Pending"),"",IF(V639&lt;&gt;"",V639,IFERROR(IF(INDEX(Batches!$H$5:$H$64,MATCH(B639,Batches!$A$5:$A$64,0))="","",INDEX(Batches!$H$5:$H$64,MATCH(B639,Batches!$A$5:$A$64,0))),"")))</f>
        <v/>
      </c>
      <c r="X639" s="23"/>
      <c r="Y639" s="23"/>
      <c r="Z639" s="26"/>
      <c r="AA639" s="27" t="str">
        <f aca="false">IF(R639="","",IF(X639="Not accepted",R639,IF(OR(X639="Accepted",X639="Withdrawn by hospital"),IF(X639="Accepted",0,R639),IF(ISNUMBER(Z639),R639-Z639,""))))</f>
        <v/>
      </c>
      <c r="AB639" s="23"/>
      <c r="AC639" s="25"/>
      <c r="AD639" s="23"/>
      <c r="AE639" s="23"/>
      <c r="AF639" s="24"/>
      <c r="AG639" s="23"/>
      <c r="AH639" s="24"/>
      <c r="AI639" s="29" t="str">
        <f aca="false">IF(X639="Not accepted","Maintained",IF(X639="Partially accepted","Partially maintained",IF(X639="Accepted","Reversed",IF(X639="Withdrawn by hospital","Withdrawn by hospital",""))))</f>
        <v/>
      </c>
      <c r="AJ639" s="28" t="str">
        <f aca="false">IF(AI639="","",W639)</f>
        <v/>
      </c>
      <c r="AK639" s="29" t="str">
        <f aca="false">IF(AND(ISNUMBER(T639),ISNUMBER(W639)),W639-T639,"")</f>
        <v/>
      </c>
      <c r="AL639" s="29" t="str">
        <f aca="false">IF(A639="","",SUMIF(Actions!$C$5:$C$1004,A639,Actions!$F$5:$F$1004))</f>
        <v/>
      </c>
      <c r="AM639" s="25"/>
    </row>
    <row r="640" customFormat="false" ht="15" hidden="false" customHeight="false" outlineLevel="0" collapsed="false">
      <c r="A640" s="23"/>
      <c r="B640" s="23"/>
      <c r="C640" s="23"/>
      <c r="D640" s="23"/>
      <c r="E640" s="23"/>
      <c r="F640" s="23"/>
      <c r="G640" s="23"/>
      <c r="H640" s="23"/>
      <c r="I640" s="23"/>
      <c r="J640" s="23"/>
      <c r="K640" s="24"/>
      <c r="L640" s="23"/>
      <c r="M640" s="25"/>
      <c r="N640" s="25"/>
      <c r="O640" s="23"/>
      <c r="P640" s="26"/>
      <c r="Q640" s="26"/>
      <c r="R640" s="27" t="str">
        <f aca="false">IF(AND(ISNUMBER(P640),ISNUMBER(Q640)),P640-Q640,"")</f>
        <v/>
      </c>
      <c r="S640" s="24"/>
      <c r="T640" s="28" t="str">
        <f aca="false">IF(S640&lt;&gt;"",S640,IF(B640="","",IFERROR(IF(INDEX(Batches!$G$5:$G$64,MATCH(B640,Batches!$A$5:$A$64,0))="","",INDEX(Batches!$G$5:$G$64,MATCH(B640,Batches!$A$5:$A$64,0))),"")))</f>
        <v/>
      </c>
      <c r="U640" s="23"/>
      <c r="V640" s="24"/>
      <c r="W640" s="28" t="str">
        <f aca="false">IF(OR(X640="",X640="Pending"),"",IF(V640&lt;&gt;"",V640,IFERROR(IF(INDEX(Batches!$H$5:$H$64,MATCH(B640,Batches!$A$5:$A$64,0))="","",INDEX(Batches!$H$5:$H$64,MATCH(B640,Batches!$A$5:$A$64,0))),"")))</f>
        <v/>
      </c>
      <c r="X640" s="23"/>
      <c r="Y640" s="23"/>
      <c r="Z640" s="26"/>
      <c r="AA640" s="27" t="str">
        <f aca="false">IF(R640="","",IF(X640="Not accepted",R640,IF(OR(X640="Accepted",X640="Withdrawn by hospital"),IF(X640="Accepted",0,R640),IF(ISNUMBER(Z640),R640-Z640,""))))</f>
        <v/>
      </c>
      <c r="AB640" s="23"/>
      <c r="AC640" s="25"/>
      <c r="AD640" s="23"/>
      <c r="AE640" s="23"/>
      <c r="AF640" s="24"/>
      <c r="AG640" s="23"/>
      <c r="AH640" s="24"/>
      <c r="AI640" s="29" t="str">
        <f aca="false">IF(X640="Not accepted","Maintained",IF(X640="Partially accepted","Partially maintained",IF(X640="Accepted","Reversed",IF(X640="Withdrawn by hospital","Withdrawn by hospital",""))))</f>
        <v/>
      </c>
      <c r="AJ640" s="28" t="str">
        <f aca="false">IF(AI640="","",W640)</f>
        <v/>
      </c>
      <c r="AK640" s="29" t="str">
        <f aca="false">IF(AND(ISNUMBER(T640),ISNUMBER(W640)),W640-T640,"")</f>
        <v/>
      </c>
      <c r="AL640" s="29" t="str">
        <f aca="false">IF(A640="","",SUMIF(Actions!$C$5:$C$1004,A640,Actions!$F$5:$F$1004))</f>
        <v/>
      </c>
      <c r="AM640" s="25"/>
    </row>
    <row r="641" customFormat="false" ht="15" hidden="false" customHeight="false" outlineLevel="0" collapsed="false">
      <c r="A641" s="23"/>
      <c r="B641" s="23"/>
      <c r="C641" s="23"/>
      <c r="D641" s="23"/>
      <c r="E641" s="23"/>
      <c r="F641" s="23"/>
      <c r="G641" s="23"/>
      <c r="H641" s="23"/>
      <c r="I641" s="23"/>
      <c r="J641" s="23"/>
      <c r="K641" s="24"/>
      <c r="L641" s="23"/>
      <c r="M641" s="25"/>
      <c r="N641" s="25"/>
      <c r="O641" s="23"/>
      <c r="P641" s="26"/>
      <c r="Q641" s="26"/>
      <c r="R641" s="27" t="str">
        <f aca="false">IF(AND(ISNUMBER(P641),ISNUMBER(Q641)),P641-Q641,"")</f>
        <v/>
      </c>
      <c r="S641" s="24"/>
      <c r="T641" s="28" t="str">
        <f aca="false">IF(S641&lt;&gt;"",S641,IF(B641="","",IFERROR(IF(INDEX(Batches!$G$5:$G$64,MATCH(B641,Batches!$A$5:$A$64,0))="","",INDEX(Batches!$G$5:$G$64,MATCH(B641,Batches!$A$5:$A$64,0))),"")))</f>
        <v/>
      </c>
      <c r="U641" s="23"/>
      <c r="V641" s="24"/>
      <c r="W641" s="28" t="str">
        <f aca="false">IF(OR(X641="",X641="Pending"),"",IF(V641&lt;&gt;"",V641,IFERROR(IF(INDEX(Batches!$H$5:$H$64,MATCH(B641,Batches!$A$5:$A$64,0))="","",INDEX(Batches!$H$5:$H$64,MATCH(B641,Batches!$A$5:$A$64,0))),"")))</f>
        <v/>
      </c>
      <c r="X641" s="23"/>
      <c r="Y641" s="23"/>
      <c r="Z641" s="26"/>
      <c r="AA641" s="27" t="str">
        <f aca="false">IF(R641="","",IF(X641="Not accepted",R641,IF(OR(X641="Accepted",X641="Withdrawn by hospital"),IF(X641="Accepted",0,R641),IF(ISNUMBER(Z641),R641-Z641,""))))</f>
        <v/>
      </c>
      <c r="AB641" s="23"/>
      <c r="AC641" s="25"/>
      <c r="AD641" s="23"/>
      <c r="AE641" s="23"/>
      <c r="AF641" s="24"/>
      <c r="AG641" s="23"/>
      <c r="AH641" s="24"/>
      <c r="AI641" s="29" t="str">
        <f aca="false">IF(X641="Not accepted","Maintained",IF(X641="Partially accepted","Partially maintained",IF(X641="Accepted","Reversed",IF(X641="Withdrawn by hospital","Withdrawn by hospital",""))))</f>
        <v/>
      </c>
      <c r="AJ641" s="28" t="str">
        <f aca="false">IF(AI641="","",W641)</f>
        <v/>
      </c>
      <c r="AK641" s="29" t="str">
        <f aca="false">IF(AND(ISNUMBER(T641),ISNUMBER(W641)),W641-T641,"")</f>
        <v/>
      </c>
      <c r="AL641" s="29" t="str">
        <f aca="false">IF(A641="","",SUMIF(Actions!$C$5:$C$1004,A641,Actions!$F$5:$F$1004))</f>
        <v/>
      </c>
      <c r="AM641" s="25"/>
    </row>
    <row r="642" customFormat="false" ht="15" hidden="false" customHeight="false" outlineLevel="0" collapsed="false">
      <c r="A642" s="23"/>
      <c r="B642" s="23"/>
      <c r="C642" s="23"/>
      <c r="D642" s="23"/>
      <c r="E642" s="23"/>
      <c r="F642" s="23"/>
      <c r="G642" s="23"/>
      <c r="H642" s="23"/>
      <c r="I642" s="23"/>
      <c r="J642" s="23"/>
      <c r="K642" s="24"/>
      <c r="L642" s="23"/>
      <c r="M642" s="25"/>
      <c r="N642" s="25"/>
      <c r="O642" s="23"/>
      <c r="P642" s="26"/>
      <c r="Q642" s="26"/>
      <c r="R642" s="27" t="str">
        <f aca="false">IF(AND(ISNUMBER(P642),ISNUMBER(Q642)),P642-Q642,"")</f>
        <v/>
      </c>
      <c r="S642" s="24"/>
      <c r="T642" s="28" t="str">
        <f aca="false">IF(S642&lt;&gt;"",S642,IF(B642="","",IFERROR(IF(INDEX(Batches!$G$5:$G$64,MATCH(B642,Batches!$A$5:$A$64,0))="","",INDEX(Batches!$G$5:$G$64,MATCH(B642,Batches!$A$5:$A$64,0))),"")))</f>
        <v/>
      </c>
      <c r="U642" s="23"/>
      <c r="V642" s="24"/>
      <c r="W642" s="28" t="str">
        <f aca="false">IF(OR(X642="",X642="Pending"),"",IF(V642&lt;&gt;"",V642,IFERROR(IF(INDEX(Batches!$H$5:$H$64,MATCH(B642,Batches!$A$5:$A$64,0))="","",INDEX(Batches!$H$5:$H$64,MATCH(B642,Batches!$A$5:$A$64,0))),"")))</f>
        <v/>
      </c>
      <c r="X642" s="23"/>
      <c r="Y642" s="23"/>
      <c r="Z642" s="26"/>
      <c r="AA642" s="27" t="str">
        <f aca="false">IF(R642="","",IF(X642="Not accepted",R642,IF(OR(X642="Accepted",X642="Withdrawn by hospital"),IF(X642="Accepted",0,R642),IF(ISNUMBER(Z642),R642-Z642,""))))</f>
        <v/>
      </c>
      <c r="AB642" s="23"/>
      <c r="AC642" s="25"/>
      <c r="AD642" s="23"/>
      <c r="AE642" s="23"/>
      <c r="AF642" s="24"/>
      <c r="AG642" s="23"/>
      <c r="AH642" s="24"/>
      <c r="AI642" s="29" t="str">
        <f aca="false">IF(X642="Not accepted","Maintained",IF(X642="Partially accepted","Partially maintained",IF(X642="Accepted","Reversed",IF(X642="Withdrawn by hospital","Withdrawn by hospital",""))))</f>
        <v/>
      </c>
      <c r="AJ642" s="28" t="str">
        <f aca="false">IF(AI642="","",W642)</f>
        <v/>
      </c>
      <c r="AK642" s="29" t="str">
        <f aca="false">IF(AND(ISNUMBER(T642),ISNUMBER(W642)),W642-T642,"")</f>
        <v/>
      </c>
      <c r="AL642" s="29" t="str">
        <f aca="false">IF(A642="","",SUMIF(Actions!$C$5:$C$1004,A642,Actions!$F$5:$F$1004))</f>
        <v/>
      </c>
      <c r="AM642" s="25"/>
    </row>
    <row r="643" customFormat="false" ht="15" hidden="false" customHeight="false" outlineLevel="0" collapsed="false">
      <c r="A643" s="23"/>
      <c r="B643" s="23"/>
      <c r="C643" s="23"/>
      <c r="D643" s="23"/>
      <c r="E643" s="23"/>
      <c r="F643" s="23"/>
      <c r="G643" s="23"/>
      <c r="H643" s="23"/>
      <c r="I643" s="23"/>
      <c r="J643" s="23"/>
      <c r="K643" s="24"/>
      <c r="L643" s="23"/>
      <c r="M643" s="25"/>
      <c r="N643" s="25"/>
      <c r="O643" s="23"/>
      <c r="P643" s="26"/>
      <c r="Q643" s="26"/>
      <c r="R643" s="27" t="str">
        <f aca="false">IF(AND(ISNUMBER(P643),ISNUMBER(Q643)),P643-Q643,"")</f>
        <v/>
      </c>
      <c r="S643" s="24"/>
      <c r="T643" s="28" t="str">
        <f aca="false">IF(S643&lt;&gt;"",S643,IF(B643="","",IFERROR(IF(INDEX(Batches!$G$5:$G$64,MATCH(B643,Batches!$A$5:$A$64,0))="","",INDEX(Batches!$G$5:$G$64,MATCH(B643,Batches!$A$5:$A$64,0))),"")))</f>
        <v/>
      </c>
      <c r="U643" s="23"/>
      <c r="V643" s="24"/>
      <c r="W643" s="28" t="str">
        <f aca="false">IF(OR(X643="",X643="Pending"),"",IF(V643&lt;&gt;"",V643,IFERROR(IF(INDEX(Batches!$H$5:$H$64,MATCH(B643,Batches!$A$5:$A$64,0))="","",INDEX(Batches!$H$5:$H$64,MATCH(B643,Batches!$A$5:$A$64,0))),"")))</f>
        <v/>
      </c>
      <c r="X643" s="23"/>
      <c r="Y643" s="23"/>
      <c r="Z643" s="26"/>
      <c r="AA643" s="27" t="str">
        <f aca="false">IF(R643="","",IF(X643="Not accepted",R643,IF(OR(X643="Accepted",X643="Withdrawn by hospital"),IF(X643="Accepted",0,R643),IF(ISNUMBER(Z643),R643-Z643,""))))</f>
        <v/>
      </c>
      <c r="AB643" s="23"/>
      <c r="AC643" s="25"/>
      <c r="AD643" s="23"/>
      <c r="AE643" s="23"/>
      <c r="AF643" s="24"/>
      <c r="AG643" s="23"/>
      <c r="AH643" s="24"/>
      <c r="AI643" s="29" t="str">
        <f aca="false">IF(X643="Not accepted","Maintained",IF(X643="Partially accepted","Partially maintained",IF(X643="Accepted","Reversed",IF(X643="Withdrawn by hospital","Withdrawn by hospital",""))))</f>
        <v/>
      </c>
      <c r="AJ643" s="28" t="str">
        <f aca="false">IF(AI643="","",W643)</f>
        <v/>
      </c>
      <c r="AK643" s="29" t="str">
        <f aca="false">IF(AND(ISNUMBER(T643),ISNUMBER(W643)),W643-T643,"")</f>
        <v/>
      </c>
      <c r="AL643" s="29" t="str">
        <f aca="false">IF(A643="","",SUMIF(Actions!$C$5:$C$1004,A643,Actions!$F$5:$F$1004))</f>
        <v/>
      </c>
      <c r="AM643" s="25"/>
    </row>
    <row r="644" customFormat="false" ht="15" hidden="false" customHeight="false" outlineLevel="0" collapsed="false">
      <c r="A644" s="23"/>
      <c r="B644" s="23"/>
      <c r="C644" s="23"/>
      <c r="D644" s="23"/>
      <c r="E644" s="23"/>
      <c r="F644" s="23"/>
      <c r="G644" s="23"/>
      <c r="H644" s="23"/>
      <c r="I644" s="23"/>
      <c r="J644" s="23"/>
      <c r="K644" s="24"/>
      <c r="L644" s="23"/>
      <c r="M644" s="25"/>
      <c r="N644" s="25"/>
      <c r="O644" s="23"/>
      <c r="P644" s="26"/>
      <c r="Q644" s="26"/>
      <c r="R644" s="27" t="str">
        <f aca="false">IF(AND(ISNUMBER(P644),ISNUMBER(Q644)),P644-Q644,"")</f>
        <v/>
      </c>
      <c r="S644" s="24"/>
      <c r="T644" s="28" t="str">
        <f aca="false">IF(S644&lt;&gt;"",S644,IF(B644="","",IFERROR(IF(INDEX(Batches!$G$5:$G$64,MATCH(B644,Batches!$A$5:$A$64,0))="","",INDEX(Batches!$G$5:$G$64,MATCH(B644,Batches!$A$5:$A$64,0))),"")))</f>
        <v/>
      </c>
      <c r="U644" s="23"/>
      <c r="V644" s="24"/>
      <c r="W644" s="28" t="str">
        <f aca="false">IF(OR(X644="",X644="Pending"),"",IF(V644&lt;&gt;"",V644,IFERROR(IF(INDEX(Batches!$H$5:$H$64,MATCH(B644,Batches!$A$5:$A$64,0))="","",INDEX(Batches!$H$5:$H$64,MATCH(B644,Batches!$A$5:$A$64,0))),"")))</f>
        <v/>
      </c>
      <c r="X644" s="23"/>
      <c r="Y644" s="23"/>
      <c r="Z644" s="26"/>
      <c r="AA644" s="27" t="str">
        <f aca="false">IF(R644="","",IF(X644="Not accepted",R644,IF(OR(X644="Accepted",X644="Withdrawn by hospital"),IF(X644="Accepted",0,R644),IF(ISNUMBER(Z644),R644-Z644,""))))</f>
        <v/>
      </c>
      <c r="AB644" s="23"/>
      <c r="AC644" s="25"/>
      <c r="AD644" s="23"/>
      <c r="AE644" s="23"/>
      <c r="AF644" s="24"/>
      <c r="AG644" s="23"/>
      <c r="AH644" s="24"/>
      <c r="AI644" s="29" t="str">
        <f aca="false">IF(X644="Not accepted","Maintained",IF(X644="Partially accepted","Partially maintained",IF(X644="Accepted","Reversed",IF(X644="Withdrawn by hospital","Withdrawn by hospital",""))))</f>
        <v/>
      </c>
      <c r="AJ644" s="28" t="str">
        <f aca="false">IF(AI644="","",W644)</f>
        <v/>
      </c>
      <c r="AK644" s="29" t="str">
        <f aca="false">IF(AND(ISNUMBER(T644),ISNUMBER(W644)),W644-T644,"")</f>
        <v/>
      </c>
      <c r="AL644" s="29" t="str">
        <f aca="false">IF(A644="","",SUMIF(Actions!$C$5:$C$1004,A644,Actions!$F$5:$F$1004))</f>
        <v/>
      </c>
      <c r="AM644" s="25"/>
    </row>
    <row r="645" customFormat="false" ht="15" hidden="false" customHeight="false" outlineLevel="0" collapsed="false">
      <c r="A645" s="23"/>
      <c r="B645" s="23"/>
      <c r="C645" s="23"/>
      <c r="D645" s="23"/>
      <c r="E645" s="23"/>
      <c r="F645" s="23"/>
      <c r="G645" s="23"/>
      <c r="H645" s="23"/>
      <c r="I645" s="23"/>
      <c r="J645" s="23"/>
      <c r="K645" s="24"/>
      <c r="L645" s="23"/>
      <c r="M645" s="25"/>
      <c r="N645" s="25"/>
      <c r="O645" s="23"/>
      <c r="P645" s="26"/>
      <c r="Q645" s="26"/>
      <c r="R645" s="27" t="str">
        <f aca="false">IF(AND(ISNUMBER(P645),ISNUMBER(Q645)),P645-Q645,"")</f>
        <v/>
      </c>
      <c r="S645" s="24"/>
      <c r="T645" s="28" t="str">
        <f aca="false">IF(S645&lt;&gt;"",S645,IF(B645="","",IFERROR(IF(INDEX(Batches!$G$5:$G$64,MATCH(B645,Batches!$A$5:$A$64,0))="","",INDEX(Batches!$G$5:$G$64,MATCH(B645,Batches!$A$5:$A$64,0))),"")))</f>
        <v/>
      </c>
      <c r="U645" s="23"/>
      <c r="V645" s="24"/>
      <c r="W645" s="28" t="str">
        <f aca="false">IF(OR(X645="",X645="Pending"),"",IF(V645&lt;&gt;"",V645,IFERROR(IF(INDEX(Batches!$H$5:$H$64,MATCH(B645,Batches!$A$5:$A$64,0))="","",INDEX(Batches!$H$5:$H$64,MATCH(B645,Batches!$A$5:$A$64,0))),"")))</f>
        <v/>
      </c>
      <c r="X645" s="23"/>
      <c r="Y645" s="23"/>
      <c r="Z645" s="26"/>
      <c r="AA645" s="27" t="str">
        <f aca="false">IF(R645="","",IF(X645="Not accepted",R645,IF(OR(X645="Accepted",X645="Withdrawn by hospital"),IF(X645="Accepted",0,R645),IF(ISNUMBER(Z645),R645-Z645,""))))</f>
        <v/>
      </c>
      <c r="AB645" s="23"/>
      <c r="AC645" s="25"/>
      <c r="AD645" s="23"/>
      <c r="AE645" s="23"/>
      <c r="AF645" s="24"/>
      <c r="AG645" s="23"/>
      <c r="AH645" s="24"/>
      <c r="AI645" s="29" t="str">
        <f aca="false">IF(X645="Not accepted","Maintained",IF(X645="Partially accepted","Partially maintained",IF(X645="Accepted","Reversed",IF(X645="Withdrawn by hospital","Withdrawn by hospital",""))))</f>
        <v/>
      </c>
      <c r="AJ645" s="28" t="str">
        <f aca="false">IF(AI645="","",W645)</f>
        <v/>
      </c>
      <c r="AK645" s="29" t="str">
        <f aca="false">IF(AND(ISNUMBER(T645),ISNUMBER(W645)),W645-T645,"")</f>
        <v/>
      </c>
      <c r="AL645" s="29" t="str">
        <f aca="false">IF(A645="","",SUMIF(Actions!$C$5:$C$1004,A645,Actions!$F$5:$F$1004))</f>
        <v/>
      </c>
      <c r="AM645" s="25"/>
    </row>
    <row r="646" customFormat="false" ht="15" hidden="false" customHeight="false" outlineLevel="0" collapsed="false">
      <c r="A646" s="23"/>
      <c r="B646" s="23"/>
      <c r="C646" s="23"/>
      <c r="D646" s="23"/>
      <c r="E646" s="23"/>
      <c r="F646" s="23"/>
      <c r="G646" s="23"/>
      <c r="H646" s="23"/>
      <c r="I646" s="23"/>
      <c r="J646" s="23"/>
      <c r="K646" s="24"/>
      <c r="L646" s="23"/>
      <c r="M646" s="25"/>
      <c r="N646" s="25"/>
      <c r="O646" s="23"/>
      <c r="P646" s="26"/>
      <c r="Q646" s="26"/>
      <c r="R646" s="27" t="str">
        <f aca="false">IF(AND(ISNUMBER(P646),ISNUMBER(Q646)),P646-Q646,"")</f>
        <v/>
      </c>
      <c r="S646" s="24"/>
      <c r="T646" s="28" t="str">
        <f aca="false">IF(S646&lt;&gt;"",S646,IF(B646="","",IFERROR(IF(INDEX(Batches!$G$5:$G$64,MATCH(B646,Batches!$A$5:$A$64,0))="","",INDEX(Batches!$G$5:$G$64,MATCH(B646,Batches!$A$5:$A$64,0))),"")))</f>
        <v/>
      </c>
      <c r="U646" s="23"/>
      <c r="V646" s="24"/>
      <c r="W646" s="28" t="str">
        <f aca="false">IF(OR(X646="",X646="Pending"),"",IF(V646&lt;&gt;"",V646,IFERROR(IF(INDEX(Batches!$H$5:$H$64,MATCH(B646,Batches!$A$5:$A$64,0))="","",INDEX(Batches!$H$5:$H$64,MATCH(B646,Batches!$A$5:$A$64,0))),"")))</f>
        <v/>
      </c>
      <c r="X646" s="23"/>
      <c r="Y646" s="23"/>
      <c r="Z646" s="26"/>
      <c r="AA646" s="27" t="str">
        <f aca="false">IF(R646="","",IF(X646="Not accepted",R646,IF(OR(X646="Accepted",X646="Withdrawn by hospital"),IF(X646="Accepted",0,R646),IF(ISNUMBER(Z646),R646-Z646,""))))</f>
        <v/>
      </c>
      <c r="AB646" s="23"/>
      <c r="AC646" s="25"/>
      <c r="AD646" s="23"/>
      <c r="AE646" s="23"/>
      <c r="AF646" s="24"/>
      <c r="AG646" s="23"/>
      <c r="AH646" s="24"/>
      <c r="AI646" s="29" t="str">
        <f aca="false">IF(X646="Not accepted","Maintained",IF(X646="Partially accepted","Partially maintained",IF(X646="Accepted","Reversed",IF(X646="Withdrawn by hospital","Withdrawn by hospital",""))))</f>
        <v/>
      </c>
      <c r="AJ646" s="28" t="str">
        <f aca="false">IF(AI646="","",W646)</f>
        <v/>
      </c>
      <c r="AK646" s="29" t="str">
        <f aca="false">IF(AND(ISNUMBER(T646),ISNUMBER(W646)),W646-T646,"")</f>
        <v/>
      </c>
      <c r="AL646" s="29" t="str">
        <f aca="false">IF(A646="","",SUMIF(Actions!$C$5:$C$1004,A646,Actions!$F$5:$F$1004))</f>
        <v/>
      </c>
      <c r="AM646" s="25"/>
    </row>
    <row r="647" customFormat="false" ht="15" hidden="false" customHeight="false" outlineLevel="0" collapsed="false">
      <c r="A647" s="23"/>
      <c r="B647" s="23"/>
      <c r="C647" s="23"/>
      <c r="D647" s="23"/>
      <c r="E647" s="23"/>
      <c r="F647" s="23"/>
      <c r="G647" s="23"/>
      <c r="H647" s="23"/>
      <c r="I647" s="23"/>
      <c r="J647" s="23"/>
      <c r="K647" s="24"/>
      <c r="L647" s="23"/>
      <c r="M647" s="25"/>
      <c r="N647" s="25"/>
      <c r="O647" s="23"/>
      <c r="P647" s="26"/>
      <c r="Q647" s="26"/>
      <c r="R647" s="27" t="str">
        <f aca="false">IF(AND(ISNUMBER(P647),ISNUMBER(Q647)),P647-Q647,"")</f>
        <v/>
      </c>
      <c r="S647" s="24"/>
      <c r="T647" s="28" t="str">
        <f aca="false">IF(S647&lt;&gt;"",S647,IF(B647="","",IFERROR(IF(INDEX(Batches!$G$5:$G$64,MATCH(B647,Batches!$A$5:$A$64,0))="","",INDEX(Batches!$G$5:$G$64,MATCH(B647,Batches!$A$5:$A$64,0))),"")))</f>
        <v/>
      </c>
      <c r="U647" s="23"/>
      <c r="V647" s="24"/>
      <c r="W647" s="28" t="str">
        <f aca="false">IF(OR(X647="",X647="Pending"),"",IF(V647&lt;&gt;"",V647,IFERROR(IF(INDEX(Batches!$H$5:$H$64,MATCH(B647,Batches!$A$5:$A$64,0))="","",INDEX(Batches!$H$5:$H$64,MATCH(B647,Batches!$A$5:$A$64,0))),"")))</f>
        <v/>
      </c>
      <c r="X647" s="23"/>
      <c r="Y647" s="23"/>
      <c r="Z647" s="26"/>
      <c r="AA647" s="27" t="str">
        <f aca="false">IF(R647="","",IF(X647="Not accepted",R647,IF(OR(X647="Accepted",X647="Withdrawn by hospital"),IF(X647="Accepted",0,R647),IF(ISNUMBER(Z647),R647-Z647,""))))</f>
        <v/>
      </c>
      <c r="AB647" s="23"/>
      <c r="AC647" s="25"/>
      <c r="AD647" s="23"/>
      <c r="AE647" s="23"/>
      <c r="AF647" s="24"/>
      <c r="AG647" s="23"/>
      <c r="AH647" s="24"/>
      <c r="AI647" s="29" t="str">
        <f aca="false">IF(X647="Not accepted","Maintained",IF(X647="Partially accepted","Partially maintained",IF(X647="Accepted","Reversed",IF(X647="Withdrawn by hospital","Withdrawn by hospital",""))))</f>
        <v/>
      </c>
      <c r="AJ647" s="28" t="str">
        <f aca="false">IF(AI647="","",W647)</f>
        <v/>
      </c>
      <c r="AK647" s="29" t="str">
        <f aca="false">IF(AND(ISNUMBER(T647),ISNUMBER(W647)),W647-T647,"")</f>
        <v/>
      </c>
      <c r="AL647" s="29" t="str">
        <f aca="false">IF(A647="","",SUMIF(Actions!$C$5:$C$1004,A647,Actions!$F$5:$F$1004))</f>
        <v/>
      </c>
      <c r="AM647" s="25"/>
    </row>
    <row r="648" customFormat="false" ht="15" hidden="false" customHeight="false" outlineLevel="0" collapsed="false">
      <c r="A648" s="23"/>
      <c r="B648" s="23"/>
      <c r="C648" s="23"/>
      <c r="D648" s="23"/>
      <c r="E648" s="23"/>
      <c r="F648" s="23"/>
      <c r="G648" s="23"/>
      <c r="H648" s="23"/>
      <c r="I648" s="23"/>
      <c r="J648" s="23"/>
      <c r="K648" s="24"/>
      <c r="L648" s="23"/>
      <c r="M648" s="25"/>
      <c r="N648" s="25"/>
      <c r="O648" s="23"/>
      <c r="P648" s="26"/>
      <c r="Q648" s="26"/>
      <c r="R648" s="27" t="str">
        <f aca="false">IF(AND(ISNUMBER(P648),ISNUMBER(Q648)),P648-Q648,"")</f>
        <v/>
      </c>
      <c r="S648" s="24"/>
      <c r="T648" s="28" t="str">
        <f aca="false">IF(S648&lt;&gt;"",S648,IF(B648="","",IFERROR(IF(INDEX(Batches!$G$5:$G$64,MATCH(B648,Batches!$A$5:$A$64,0))="","",INDEX(Batches!$G$5:$G$64,MATCH(B648,Batches!$A$5:$A$64,0))),"")))</f>
        <v/>
      </c>
      <c r="U648" s="23"/>
      <c r="V648" s="24"/>
      <c r="W648" s="28" t="str">
        <f aca="false">IF(OR(X648="",X648="Pending"),"",IF(V648&lt;&gt;"",V648,IFERROR(IF(INDEX(Batches!$H$5:$H$64,MATCH(B648,Batches!$A$5:$A$64,0))="","",INDEX(Batches!$H$5:$H$64,MATCH(B648,Batches!$A$5:$A$64,0))),"")))</f>
        <v/>
      </c>
      <c r="X648" s="23"/>
      <c r="Y648" s="23"/>
      <c r="Z648" s="26"/>
      <c r="AA648" s="27" t="str">
        <f aca="false">IF(R648="","",IF(X648="Not accepted",R648,IF(OR(X648="Accepted",X648="Withdrawn by hospital"),IF(X648="Accepted",0,R648),IF(ISNUMBER(Z648),R648-Z648,""))))</f>
        <v/>
      </c>
      <c r="AB648" s="23"/>
      <c r="AC648" s="25"/>
      <c r="AD648" s="23"/>
      <c r="AE648" s="23"/>
      <c r="AF648" s="24"/>
      <c r="AG648" s="23"/>
      <c r="AH648" s="24"/>
      <c r="AI648" s="29" t="str">
        <f aca="false">IF(X648="Not accepted","Maintained",IF(X648="Partially accepted","Partially maintained",IF(X648="Accepted","Reversed",IF(X648="Withdrawn by hospital","Withdrawn by hospital",""))))</f>
        <v/>
      </c>
      <c r="AJ648" s="28" t="str">
        <f aca="false">IF(AI648="","",W648)</f>
        <v/>
      </c>
      <c r="AK648" s="29" t="str">
        <f aca="false">IF(AND(ISNUMBER(T648),ISNUMBER(W648)),W648-T648,"")</f>
        <v/>
      </c>
      <c r="AL648" s="29" t="str">
        <f aca="false">IF(A648="","",SUMIF(Actions!$C$5:$C$1004,A648,Actions!$F$5:$F$1004))</f>
        <v/>
      </c>
      <c r="AM648" s="25"/>
    </row>
    <row r="649" customFormat="false" ht="15" hidden="false" customHeight="false" outlineLevel="0" collapsed="false">
      <c r="A649" s="23"/>
      <c r="B649" s="23"/>
      <c r="C649" s="23"/>
      <c r="D649" s="23"/>
      <c r="E649" s="23"/>
      <c r="F649" s="23"/>
      <c r="G649" s="23"/>
      <c r="H649" s="23"/>
      <c r="I649" s="23"/>
      <c r="J649" s="23"/>
      <c r="K649" s="24"/>
      <c r="L649" s="23"/>
      <c r="M649" s="25"/>
      <c r="N649" s="25"/>
      <c r="O649" s="23"/>
      <c r="P649" s="26"/>
      <c r="Q649" s="26"/>
      <c r="R649" s="27" t="str">
        <f aca="false">IF(AND(ISNUMBER(P649),ISNUMBER(Q649)),P649-Q649,"")</f>
        <v/>
      </c>
      <c r="S649" s="24"/>
      <c r="T649" s="28" t="str">
        <f aca="false">IF(S649&lt;&gt;"",S649,IF(B649="","",IFERROR(IF(INDEX(Batches!$G$5:$G$64,MATCH(B649,Batches!$A$5:$A$64,0))="","",INDEX(Batches!$G$5:$G$64,MATCH(B649,Batches!$A$5:$A$64,0))),"")))</f>
        <v/>
      </c>
      <c r="U649" s="23"/>
      <c r="V649" s="24"/>
      <c r="W649" s="28" t="str">
        <f aca="false">IF(OR(X649="",X649="Pending"),"",IF(V649&lt;&gt;"",V649,IFERROR(IF(INDEX(Batches!$H$5:$H$64,MATCH(B649,Batches!$A$5:$A$64,0))="","",INDEX(Batches!$H$5:$H$64,MATCH(B649,Batches!$A$5:$A$64,0))),"")))</f>
        <v/>
      </c>
      <c r="X649" s="23"/>
      <c r="Y649" s="23"/>
      <c r="Z649" s="26"/>
      <c r="AA649" s="27" t="str">
        <f aca="false">IF(R649="","",IF(X649="Not accepted",R649,IF(OR(X649="Accepted",X649="Withdrawn by hospital"),IF(X649="Accepted",0,R649),IF(ISNUMBER(Z649),R649-Z649,""))))</f>
        <v/>
      </c>
      <c r="AB649" s="23"/>
      <c r="AC649" s="25"/>
      <c r="AD649" s="23"/>
      <c r="AE649" s="23"/>
      <c r="AF649" s="24"/>
      <c r="AG649" s="23"/>
      <c r="AH649" s="24"/>
      <c r="AI649" s="29" t="str">
        <f aca="false">IF(X649="Not accepted","Maintained",IF(X649="Partially accepted","Partially maintained",IF(X649="Accepted","Reversed",IF(X649="Withdrawn by hospital","Withdrawn by hospital",""))))</f>
        <v/>
      </c>
      <c r="AJ649" s="28" t="str">
        <f aca="false">IF(AI649="","",W649)</f>
        <v/>
      </c>
      <c r="AK649" s="29" t="str">
        <f aca="false">IF(AND(ISNUMBER(T649),ISNUMBER(W649)),W649-T649,"")</f>
        <v/>
      </c>
      <c r="AL649" s="29" t="str">
        <f aca="false">IF(A649="","",SUMIF(Actions!$C$5:$C$1004,A649,Actions!$F$5:$F$1004))</f>
        <v/>
      </c>
      <c r="AM649" s="25"/>
    </row>
    <row r="650" customFormat="false" ht="15" hidden="false" customHeight="false" outlineLevel="0" collapsed="false">
      <c r="A650" s="23"/>
      <c r="B650" s="23"/>
      <c r="C650" s="23"/>
      <c r="D650" s="23"/>
      <c r="E650" s="23"/>
      <c r="F650" s="23"/>
      <c r="G650" s="23"/>
      <c r="H650" s="23"/>
      <c r="I650" s="23"/>
      <c r="J650" s="23"/>
      <c r="K650" s="24"/>
      <c r="L650" s="23"/>
      <c r="M650" s="25"/>
      <c r="N650" s="25"/>
      <c r="O650" s="23"/>
      <c r="P650" s="26"/>
      <c r="Q650" s="26"/>
      <c r="R650" s="27" t="str">
        <f aca="false">IF(AND(ISNUMBER(P650),ISNUMBER(Q650)),P650-Q650,"")</f>
        <v/>
      </c>
      <c r="S650" s="24"/>
      <c r="T650" s="28" t="str">
        <f aca="false">IF(S650&lt;&gt;"",S650,IF(B650="","",IFERROR(IF(INDEX(Batches!$G$5:$G$64,MATCH(B650,Batches!$A$5:$A$64,0))="","",INDEX(Batches!$G$5:$G$64,MATCH(B650,Batches!$A$5:$A$64,0))),"")))</f>
        <v/>
      </c>
      <c r="U650" s="23"/>
      <c r="V650" s="24"/>
      <c r="W650" s="28" t="str">
        <f aca="false">IF(OR(X650="",X650="Pending"),"",IF(V650&lt;&gt;"",V650,IFERROR(IF(INDEX(Batches!$H$5:$H$64,MATCH(B650,Batches!$A$5:$A$64,0))="","",INDEX(Batches!$H$5:$H$64,MATCH(B650,Batches!$A$5:$A$64,0))),"")))</f>
        <v/>
      </c>
      <c r="X650" s="23"/>
      <c r="Y650" s="23"/>
      <c r="Z650" s="26"/>
      <c r="AA650" s="27" t="str">
        <f aca="false">IF(R650="","",IF(X650="Not accepted",R650,IF(OR(X650="Accepted",X650="Withdrawn by hospital"),IF(X650="Accepted",0,R650),IF(ISNUMBER(Z650),R650-Z650,""))))</f>
        <v/>
      </c>
      <c r="AB650" s="23"/>
      <c r="AC650" s="25"/>
      <c r="AD650" s="23"/>
      <c r="AE650" s="23"/>
      <c r="AF650" s="24"/>
      <c r="AG650" s="23"/>
      <c r="AH650" s="24"/>
      <c r="AI650" s="29" t="str">
        <f aca="false">IF(X650="Not accepted","Maintained",IF(X650="Partially accepted","Partially maintained",IF(X650="Accepted","Reversed",IF(X650="Withdrawn by hospital","Withdrawn by hospital",""))))</f>
        <v/>
      </c>
      <c r="AJ650" s="28" t="str">
        <f aca="false">IF(AI650="","",W650)</f>
        <v/>
      </c>
      <c r="AK650" s="29" t="str">
        <f aca="false">IF(AND(ISNUMBER(T650),ISNUMBER(W650)),W650-T650,"")</f>
        <v/>
      </c>
      <c r="AL650" s="29" t="str">
        <f aca="false">IF(A650="","",SUMIF(Actions!$C$5:$C$1004,A650,Actions!$F$5:$F$1004))</f>
        <v/>
      </c>
      <c r="AM650" s="25"/>
    </row>
    <row r="651" customFormat="false" ht="15" hidden="false" customHeight="false" outlineLevel="0" collapsed="false">
      <c r="A651" s="23"/>
      <c r="B651" s="23"/>
      <c r="C651" s="23"/>
      <c r="D651" s="23"/>
      <c r="E651" s="23"/>
      <c r="F651" s="23"/>
      <c r="G651" s="23"/>
      <c r="H651" s="23"/>
      <c r="I651" s="23"/>
      <c r="J651" s="23"/>
      <c r="K651" s="24"/>
      <c r="L651" s="23"/>
      <c r="M651" s="25"/>
      <c r="N651" s="25"/>
      <c r="O651" s="23"/>
      <c r="P651" s="26"/>
      <c r="Q651" s="26"/>
      <c r="R651" s="27" t="str">
        <f aca="false">IF(AND(ISNUMBER(P651),ISNUMBER(Q651)),P651-Q651,"")</f>
        <v/>
      </c>
      <c r="S651" s="24"/>
      <c r="T651" s="28" t="str">
        <f aca="false">IF(S651&lt;&gt;"",S651,IF(B651="","",IFERROR(IF(INDEX(Batches!$G$5:$G$64,MATCH(B651,Batches!$A$5:$A$64,0))="","",INDEX(Batches!$G$5:$G$64,MATCH(B651,Batches!$A$5:$A$64,0))),"")))</f>
        <v/>
      </c>
      <c r="U651" s="23"/>
      <c r="V651" s="24"/>
      <c r="W651" s="28" t="str">
        <f aca="false">IF(OR(X651="",X651="Pending"),"",IF(V651&lt;&gt;"",V651,IFERROR(IF(INDEX(Batches!$H$5:$H$64,MATCH(B651,Batches!$A$5:$A$64,0))="","",INDEX(Batches!$H$5:$H$64,MATCH(B651,Batches!$A$5:$A$64,0))),"")))</f>
        <v/>
      </c>
      <c r="X651" s="23"/>
      <c r="Y651" s="23"/>
      <c r="Z651" s="26"/>
      <c r="AA651" s="27" t="str">
        <f aca="false">IF(R651="","",IF(X651="Not accepted",R651,IF(OR(X651="Accepted",X651="Withdrawn by hospital"),IF(X651="Accepted",0,R651),IF(ISNUMBER(Z651),R651-Z651,""))))</f>
        <v/>
      </c>
      <c r="AB651" s="23"/>
      <c r="AC651" s="25"/>
      <c r="AD651" s="23"/>
      <c r="AE651" s="23"/>
      <c r="AF651" s="24"/>
      <c r="AG651" s="23"/>
      <c r="AH651" s="24"/>
      <c r="AI651" s="29" t="str">
        <f aca="false">IF(X651="Not accepted","Maintained",IF(X651="Partially accepted","Partially maintained",IF(X651="Accepted","Reversed",IF(X651="Withdrawn by hospital","Withdrawn by hospital",""))))</f>
        <v/>
      </c>
      <c r="AJ651" s="28" t="str">
        <f aca="false">IF(AI651="","",W651)</f>
        <v/>
      </c>
      <c r="AK651" s="29" t="str">
        <f aca="false">IF(AND(ISNUMBER(T651),ISNUMBER(W651)),W651-T651,"")</f>
        <v/>
      </c>
      <c r="AL651" s="29" t="str">
        <f aca="false">IF(A651="","",SUMIF(Actions!$C$5:$C$1004,A651,Actions!$F$5:$F$1004))</f>
        <v/>
      </c>
      <c r="AM651" s="25"/>
    </row>
    <row r="652" customFormat="false" ht="15" hidden="false" customHeight="false" outlineLevel="0" collapsed="false">
      <c r="A652" s="23"/>
      <c r="B652" s="23"/>
      <c r="C652" s="23"/>
      <c r="D652" s="23"/>
      <c r="E652" s="23"/>
      <c r="F652" s="23"/>
      <c r="G652" s="23"/>
      <c r="H652" s="23"/>
      <c r="I652" s="23"/>
      <c r="J652" s="23"/>
      <c r="K652" s="24"/>
      <c r="L652" s="23"/>
      <c r="M652" s="25"/>
      <c r="N652" s="25"/>
      <c r="O652" s="23"/>
      <c r="P652" s="26"/>
      <c r="Q652" s="26"/>
      <c r="R652" s="27" t="str">
        <f aca="false">IF(AND(ISNUMBER(P652),ISNUMBER(Q652)),P652-Q652,"")</f>
        <v/>
      </c>
      <c r="S652" s="24"/>
      <c r="T652" s="28" t="str">
        <f aca="false">IF(S652&lt;&gt;"",S652,IF(B652="","",IFERROR(IF(INDEX(Batches!$G$5:$G$64,MATCH(B652,Batches!$A$5:$A$64,0))="","",INDEX(Batches!$G$5:$G$64,MATCH(B652,Batches!$A$5:$A$64,0))),"")))</f>
        <v/>
      </c>
      <c r="U652" s="23"/>
      <c r="V652" s="24"/>
      <c r="W652" s="28" t="str">
        <f aca="false">IF(OR(X652="",X652="Pending"),"",IF(V652&lt;&gt;"",V652,IFERROR(IF(INDEX(Batches!$H$5:$H$64,MATCH(B652,Batches!$A$5:$A$64,0))="","",INDEX(Batches!$H$5:$H$64,MATCH(B652,Batches!$A$5:$A$64,0))),"")))</f>
        <v/>
      </c>
      <c r="X652" s="23"/>
      <c r="Y652" s="23"/>
      <c r="Z652" s="26"/>
      <c r="AA652" s="27" t="str">
        <f aca="false">IF(R652="","",IF(X652="Not accepted",R652,IF(OR(X652="Accepted",X652="Withdrawn by hospital"),IF(X652="Accepted",0,R652),IF(ISNUMBER(Z652),R652-Z652,""))))</f>
        <v/>
      </c>
      <c r="AB652" s="23"/>
      <c r="AC652" s="25"/>
      <c r="AD652" s="23"/>
      <c r="AE652" s="23"/>
      <c r="AF652" s="24"/>
      <c r="AG652" s="23"/>
      <c r="AH652" s="24"/>
      <c r="AI652" s="29" t="str">
        <f aca="false">IF(X652="Not accepted","Maintained",IF(X652="Partially accepted","Partially maintained",IF(X652="Accepted","Reversed",IF(X652="Withdrawn by hospital","Withdrawn by hospital",""))))</f>
        <v/>
      </c>
      <c r="AJ652" s="28" t="str">
        <f aca="false">IF(AI652="","",W652)</f>
        <v/>
      </c>
      <c r="AK652" s="29" t="str">
        <f aca="false">IF(AND(ISNUMBER(T652),ISNUMBER(W652)),W652-T652,"")</f>
        <v/>
      </c>
      <c r="AL652" s="29" t="str">
        <f aca="false">IF(A652="","",SUMIF(Actions!$C$5:$C$1004,A652,Actions!$F$5:$F$1004))</f>
        <v/>
      </c>
      <c r="AM652" s="25"/>
    </row>
    <row r="653" customFormat="false" ht="15" hidden="false" customHeight="false" outlineLevel="0" collapsed="false">
      <c r="A653" s="23"/>
      <c r="B653" s="23"/>
      <c r="C653" s="23"/>
      <c r="D653" s="23"/>
      <c r="E653" s="23"/>
      <c r="F653" s="23"/>
      <c r="G653" s="23"/>
      <c r="H653" s="23"/>
      <c r="I653" s="23"/>
      <c r="J653" s="23"/>
      <c r="K653" s="24"/>
      <c r="L653" s="23"/>
      <c r="M653" s="25"/>
      <c r="N653" s="25"/>
      <c r="O653" s="23"/>
      <c r="P653" s="26"/>
      <c r="Q653" s="26"/>
      <c r="R653" s="27" t="str">
        <f aca="false">IF(AND(ISNUMBER(P653),ISNUMBER(Q653)),P653-Q653,"")</f>
        <v/>
      </c>
      <c r="S653" s="24"/>
      <c r="T653" s="28" t="str">
        <f aca="false">IF(S653&lt;&gt;"",S653,IF(B653="","",IFERROR(IF(INDEX(Batches!$G$5:$G$64,MATCH(B653,Batches!$A$5:$A$64,0))="","",INDEX(Batches!$G$5:$G$64,MATCH(B653,Batches!$A$5:$A$64,0))),"")))</f>
        <v/>
      </c>
      <c r="U653" s="23"/>
      <c r="V653" s="24"/>
      <c r="W653" s="28" t="str">
        <f aca="false">IF(OR(X653="",X653="Pending"),"",IF(V653&lt;&gt;"",V653,IFERROR(IF(INDEX(Batches!$H$5:$H$64,MATCH(B653,Batches!$A$5:$A$64,0))="","",INDEX(Batches!$H$5:$H$64,MATCH(B653,Batches!$A$5:$A$64,0))),"")))</f>
        <v/>
      </c>
      <c r="X653" s="23"/>
      <c r="Y653" s="23"/>
      <c r="Z653" s="26"/>
      <c r="AA653" s="27" t="str">
        <f aca="false">IF(R653="","",IF(X653="Not accepted",R653,IF(OR(X653="Accepted",X653="Withdrawn by hospital"),IF(X653="Accepted",0,R653),IF(ISNUMBER(Z653),R653-Z653,""))))</f>
        <v/>
      </c>
      <c r="AB653" s="23"/>
      <c r="AC653" s="25"/>
      <c r="AD653" s="23"/>
      <c r="AE653" s="23"/>
      <c r="AF653" s="24"/>
      <c r="AG653" s="23"/>
      <c r="AH653" s="24"/>
      <c r="AI653" s="29" t="str">
        <f aca="false">IF(X653="Not accepted","Maintained",IF(X653="Partially accepted","Partially maintained",IF(X653="Accepted","Reversed",IF(X653="Withdrawn by hospital","Withdrawn by hospital",""))))</f>
        <v/>
      </c>
      <c r="AJ653" s="28" t="str">
        <f aca="false">IF(AI653="","",W653)</f>
        <v/>
      </c>
      <c r="AK653" s="29" t="str">
        <f aca="false">IF(AND(ISNUMBER(T653),ISNUMBER(W653)),W653-T653,"")</f>
        <v/>
      </c>
      <c r="AL653" s="29" t="str">
        <f aca="false">IF(A653="","",SUMIF(Actions!$C$5:$C$1004,A653,Actions!$F$5:$F$1004))</f>
        <v/>
      </c>
      <c r="AM653" s="25"/>
    </row>
    <row r="654" customFormat="false" ht="15" hidden="false" customHeight="false" outlineLevel="0" collapsed="false">
      <c r="A654" s="23"/>
      <c r="B654" s="23"/>
      <c r="C654" s="23"/>
      <c r="D654" s="23"/>
      <c r="E654" s="23"/>
      <c r="F654" s="23"/>
      <c r="G654" s="23"/>
      <c r="H654" s="23"/>
      <c r="I654" s="23"/>
      <c r="J654" s="23"/>
      <c r="K654" s="24"/>
      <c r="L654" s="23"/>
      <c r="M654" s="25"/>
      <c r="N654" s="25"/>
      <c r="O654" s="23"/>
      <c r="P654" s="26"/>
      <c r="Q654" s="26"/>
      <c r="R654" s="27" t="str">
        <f aca="false">IF(AND(ISNUMBER(P654),ISNUMBER(Q654)),P654-Q654,"")</f>
        <v/>
      </c>
      <c r="S654" s="24"/>
      <c r="T654" s="28" t="str">
        <f aca="false">IF(S654&lt;&gt;"",S654,IF(B654="","",IFERROR(IF(INDEX(Batches!$G$5:$G$64,MATCH(B654,Batches!$A$5:$A$64,0))="","",INDEX(Batches!$G$5:$G$64,MATCH(B654,Batches!$A$5:$A$64,0))),"")))</f>
        <v/>
      </c>
      <c r="U654" s="23"/>
      <c r="V654" s="24"/>
      <c r="W654" s="28" t="str">
        <f aca="false">IF(OR(X654="",X654="Pending"),"",IF(V654&lt;&gt;"",V654,IFERROR(IF(INDEX(Batches!$H$5:$H$64,MATCH(B654,Batches!$A$5:$A$64,0))="","",INDEX(Batches!$H$5:$H$64,MATCH(B654,Batches!$A$5:$A$64,0))),"")))</f>
        <v/>
      </c>
      <c r="X654" s="23"/>
      <c r="Y654" s="23"/>
      <c r="Z654" s="26"/>
      <c r="AA654" s="27" t="str">
        <f aca="false">IF(R654="","",IF(X654="Not accepted",R654,IF(OR(X654="Accepted",X654="Withdrawn by hospital"),IF(X654="Accepted",0,R654),IF(ISNUMBER(Z654),R654-Z654,""))))</f>
        <v/>
      </c>
      <c r="AB654" s="23"/>
      <c r="AC654" s="25"/>
      <c r="AD654" s="23"/>
      <c r="AE654" s="23"/>
      <c r="AF654" s="24"/>
      <c r="AG654" s="23"/>
      <c r="AH654" s="24"/>
      <c r="AI654" s="29" t="str">
        <f aca="false">IF(X654="Not accepted","Maintained",IF(X654="Partially accepted","Partially maintained",IF(X654="Accepted","Reversed",IF(X654="Withdrawn by hospital","Withdrawn by hospital",""))))</f>
        <v/>
      </c>
      <c r="AJ654" s="28" t="str">
        <f aca="false">IF(AI654="","",W654)</f>
        <v/>
      </c>
      <c r="AK654" s="29" t="str">
        <f aca="false">IF(AND(ISNUMBER(T654),ISNUMBER(W654)),W654-T654,"")</f>
        <v/>
      </c>
      <c r="AL654" s="29" t="str">
        <f aca="false">IF(A654="","",SUMIF(Actions!$C$5:$C$1004,A654,Actions!$F$5:$F$1004))</f>
        <v/>
      </c>
      <c r="AM654" s="25"/>
    </row>
    <row r="655" customFormat="false" ht="15" hidden="false" customHeight="false" outlineLevel="0" collapsed="false">
      <c r="A655" s="23"/>
      <c r="B655" s="23"/>
      <c r="C655" s="23"/>
      <c r="D655" s="23"/>
      <c r="E655" s="23"/>
      <c r="F655" s="23"/>
      <c r="G655" s="23"/>
      <c r="H655" s="23"/>
      <c r="I655" s="23"/>
      <c r="J655" s="23"/>
      <c r="K655" s="24"/>
      <c r="L655" s="23"/>
      <c r="M655" s="25"/>
      <c r="N655" s="25"/>
      <c r="O655" s="23"/>
      <c r="P655" s="26"/>
      <c r="Q655" s="26"/>
      <c r="R655" s="27" t="str">
        <f aca="false">IF(AND(ISNUMBER(P655),ISNUMBER(Q655)),P655-Q655,"")</f>
        <v/>
      </c>
      <c r="S655" s="24"/>
      <c r="T655" s="28" t="str">
        <f aca="false">IF(S655&lt;&gt;"",S655,IF(B655="","",IFERROR(IF(INDEX(Batches!$G$5:$G$64,MATCH(B655,Batches!$A$5:$A$64,0))="","",INDEX(Batches!$G$5:$G$64,MATCH(B655,Batches!$A$5:$A$64,0))),"")))</f>
        <v/>
      </c>
      <c r="U655" s="23"/>
      <c r="V655" s="24"/>
      <c r="W655" s="28" t="str">
        <f aca="false">IF(OR(X655="",X655="Pending"),"",IF(V655&lt;&gt;"",V655,IFERROR(IF(INDEX(Batches!$H$5:$H$64,MATCH(B655,Batches!$A$5:$A$64,0))="","",INDEX(Batches!$H$5:$H$64,MATCH(B655,Batches!$A$5:$A$64,0))),"")))</f>
        <v/>
      </c>
      <c r="X655" s="23"/>
      <c r="Y655" s="23"/>
      <c r="Z655" s="26"/>
      <c r="AA655" s="27" t="str">
        <f aca="false">IF(R655="","",IF(X655="Not accepted",R655,IF(OR(X655="Accepted",X655="Withdrawn by hospital"),IF(X655="Accepted",0,R655),IF(ISNUMBER(Z655),R655-Z655,""))))</f>
        <v/>
      </c>
      <c r="AB655" s="23"/>
      <c r="AC655" s="25"/>
      <c r="AD655" s="23"/>
      <c r="AE655" s="23"/>
      <c r="AF655" s="24"/>
      <c r="AG655" s="23"/>
      <c r="AH655" s="24"/>
      <c r="AI655" s="29" t="str">
        <f aca="false">IF(X655="Not accepted","Maintained",IF(X655="Partially accepted","Partially maintained",IF(X655="Accepted","Reversed",IF(X655="Withdrawn by hospital","Withdrawn by hospital",""))))</f>
        <v/>
      </c>
      <c r="AJ655" s="28" t="str">
        <f aca="false">IF(AI655="","",W655)</f>
        <v/>
      </c>
      <c r="AK655" s="29" t="str">
        <f aca="false">IF(AND(ISNUMBER(T655),ISNUMBER(W655)),W655-T655,"")</f>
        <v/>
      </c>
      <c r="AL655" s="29" t="str">
        <f aca="false">IF(A655="","",SUMIF(Actions!$C$5:$C$1004,A655,Actions!$F$5:$F$1004))</f>
        <v/>
      </c>
      <c r="AM655" s="25"/>
    </row>
    <row r="656" customFormat="false" ht="15" hidden="false" customHeight="false" outlineLevel="0" collapsed="false">
      <c r="A656" s="23"/>
      <c r="B656" s="23"/>
      <c r="C656" s="23"/>
      <c r="D656" s="23"/>
      <c r="E656" s="23"/>
      <c r="F656" s="23"/>
      <c r="G656" s="23"/>
      <c r="H656" s="23"/>
      <c r="I656" s="23"/>
      <c r="J656" s="23"/>
      <c r="K656" s="24"/>
      <c r="L656" s="23"/>
      <c r="M656" s="25"/>
      <c r="N656" s="25"/>
      <c r="O656" s="23"/>
      <c r="P656" s="26"/>
      <c r="Q656" s="26"/>
      <c r="R656" s="27" t="str">
        <f aca="false">IF(AND(ISNUMBER(P656),ISNUMBER(Q656)),P656-Q656,"")</f>
        <v/>
      </c>
      <c r="S656" s="24"/>
      <c r="T656" s="28" t="str">
        <f aca="false">IF(S656&lt;&gt;"",S656,IF(B656="","",IFERROR(IF(INDEX(Batches!$G$5:$G$64,MATCH(B656,Batches!$A$5:$A$64,0))="","",INDEX(Batches!$G$5:$G$64,MATCH(B656,Batches!$A$5:$A$64,0))),"")))</f>
        <v/>
      </c>
      <c r="U656" s="23"/>
      <c r="V656" s="24"/>
      <c r="W656" s="28" t="str">
        <f aca="false">IF(OR(X656="",X656="Pending"),"",IF(V656&lt;&gt;"",V656,IFERROR(IF(INDEX(Batches!$H$5:$H$64,MATCH(B656,Batches!$A$5:$A$64,0))="","",INDEX(Batches!$H$5:$H$64,MATCH(B656,Batches!$A$5:$A$64,0))),"")))</f>
        <v/>
      </c>
      <c r="X656" s="23"/>
      <c r="Y656" s="23"/>
      <c r="Z656" s="26"/>
      <c r="AA656" s="27" t="str">
        <f aca="false">IF(R656="","",IF(X656="Not accepted",R656,IF(OR(X656="Accepted",X656="Withdrawn by hospital"),IF(X656="Accepted",0,R656),IF(ISNUMBER(Z656),R656-Z656,""))))</f>
        <v/>
      </c>
      <c r="AB656" s="23"/>
      <c r="AC656" s="25"/>
      <c r="AD656" s="23"/>
      <c r="AE656" s="23"/>
      <c r="AF656" s="24"/>
      <c r="AG656" s="23"/>
      <c r="AH656" s="24"/>
      <c r="AI656" s="29" t="str">
        <f aca="false">IF(X656="Not accepted","Maintained",IF(X656="Partially accepted","Partially maintained",IF(X656="Accepted","Reversed",IF(X656="Withdrawn by hospital","Withdrawn by hospital",""))))</f>
        <v/>
      </c>
      <c r="AJ656" s="28" t="str">
        <f aca="false">IF(AI656="","",W656)</f>
        <v/>
      </c>
      <c r="AK656" s="29" t="str">
        <f aca="false">IF(AND(ISNUMBER(T656),ISNUMBER(W656)),W656-T656,"")</f>
        <v/>
      </c>
      <c r="AL656" s="29" t="str">
        <f aca="false">IF(A656="","",SUMIF(Actions!$C$5:$C$1004,A656,Actions!$F$5:$F$1004))</f>
        <v/>
      </c>
      <c r="AM656" s="25"/>
    </row>
    <row r="657" customFormat="false" ht="15" hidden="false" customHeight="false" outlineLevel="0" collapsed="false">
      <c r="A657" s="23"/>
      <c r="B657" s="23"/>
      <c r="C657" s="23"/>
      <c r="D657" s="23"/>
      <c r="E657" s="23"/>
      <c r="F657" s="23"/>
      <c r="G657" s="23"/>
      <c r="H657" s="23"/>
      <c r="I657" s="23"/>
      <c r="J657" s="23"/>
      <c r="K657" s="24"/>
      <c r="L657" s="23"/>
      <c r="M657" s="25"/>
      <c r="N657" s="25"/>
      <c r="O657" s="23"/>
      <c r="P657" s="26"/>
      <c r="Q657" s="26"/>
      <c r="R657" s="27" t="str">
        <f aca="false">IF(AND(ISNUMBER(P657),ISNUMBER(Q657)),P657-Q657,"")</f>
        <v/>
      </c>
      <c r="S657" s="24"/>
      <c r="T657" s="28" t="str">
        <f aca="false">IF(S657&lt;&gt;"",S657,IF(B657="","",IFERROR(IF(INDEX(Batches!$G$5:$G$64,MATCH(B657,Batches!$A$5:$A$64,0))="","",INDEX(Batches!$G$5:$G$64,MATCH(B657,Batches!$A$5:$A$64,0))),"")))</f>
        <v/>
      </c>
      <c r="U657" s="23"/>
      <c r="V657" s="24"/>
      <c r="W657" s="28" t="str">
        <f aca="false">IF(OR(X657="",X657="Pending"),"",IF(V657&lt;&gt;"",V657,IFERROR(IF(INDEX(Batches!$H$5:$H$64,MATCH(B657,Batches!$A$5:$A$64,0))="","",INDEX(Batches!$H$5:$H$64,MATCH(B657,Batches!$A$5:$A$64,0))),"")))</f>
        <v/>
      </c>
      <c r="X657" s="23"/>
      <c r="Y657" s="23"/>
      <c r="Z657" s="26"/>
      <c r="AA657" s="27" t="str">
        <f aca="false">IF(R657="","",IF(X657="Not accepted",R657,IF(OR(X657="Accepted",X657="Withdrawn by hospital"),IF(X657="Accepted",0,R657),IF(ISNUMBER(Z657),R657-Z657,""))))</f>
        <v/>
      </c>
      <c r="AB657" s="23"/>
      <c r="AC657" s="25"/>
      <c r="AD657" s="23"/>
      <c r="AE657" s="23"/>
      <c r="AF657" s="24"/>
      <c r="AG657" s="23"/>
      <c r="AH657" s="24"/>
      <c r="AI657" s="29" t="str">
        <f aca="false">IF(X657="Not accepted","Maintained",IF(X657="Partially accepted","Partially maintained",IF(X657="Accepted","Reversed",IF(X657="Withdrawn by hospital","Withdrawn by hospital",""))))</f>
        <v/>
      </c>
      <c r="AJ657" s="28" t="str">
        <f aca="false">IF(AI657="","",W657)</f>
        <v/>
      </c>
      <c r="AK657" s="29" t="str">
        <f aca="false">IF(AND(ISNUMBER(T657),ISNUMBER(W657)),W657-T657,"")</f>
        <v/>
      </c>
      <c r="AL657" s="29" t="str">
        <f aca="false">IF(A657="","",SUMIF(Actions!$C$5:$C$1004,A657,Actions!$F$5:$F$1004))</f>
        <v/>
      </c>
      <c r="AM657" s="25"/>
    </row>
    <row r="658" customFormat="false" ht="15" hidden="false" customHeight="false" outlineLevel="0" collapsed="false">
      <c r="A658" s="23"/>
      <c r="B658" s="23"/>
      <c r="C658" s="23"/>
      <c r="D658" s="23"/>
      <c r="E658" s="23"/>
      <c r="F658" s="23"/>
      <c r="G658" s="23"/>
      <c r="H658" s="23"/>
      <c r="I658" s="23"/>
      <c r="J658" s="23"/>
      <c r="K658" s="24"/>
      <c r="L658" s="23"/>
      <c r="M658" s="25"/>
      <c r="N658" s="25"/>
      <c r="O658" s="23"/>
      <c r="P658" s="26"/>
      <c r="Q658" s="26"/>
      <c r="R658" s="27" t="str">
        <f aca="false">IF(AND(ISNUMBER(P658),ISNUMBER(Q658)),P658-Q658,"")</f>
        <v/>
      </c>
      <c r="S658" s="24"/>
      <c r="T658" s="28" t="str">
        <f aca="false">IF(S658&lt;&gt;"",S658,IF(B658="","",IFERROR(IF(INDEX(Batches!$G$5:$G$64,MATCH(B658,Batches!$A$5:$A$64,0))="","",INDEX(Batches!$G$5:$G$64,MATCH(B658,Batches!$A$5:$A$64,0))),"")))</f>
        <v/>
      </c>
      <c r="U658" s="23"/>
      <c r="V658" s="24"/>
      <c r="W658" s="28" t="str">
        <f aca="false">IF(OR(X658="",X658="Pending"),"",IF(V658&lt;&gt;"",V658,IFERROR(IF(INDEX(Batches!$H$5:$H$64,MATCH(B658,Batches!$A$5:$A$64,0))="","",INDEX(Batches!$H$5:$H$64,MATCH(B658,Batches!$A$5:$A$64,0))),"")))</f>
        <v/>
      </c>
      <c r="X658" s="23"/>
      <c r="Y658" s="23"/>
      <c r="Z658" s="26"/>
      <c r="AA658" s="27" t="str">
        <f aca="false">IF(R658="","",IF(X658="Not accepted",R658,IF(OR(X658="Accepted",X658="Withdrawn by hospital"),IF(X658="Accepted",0,R658),IF(ISNUMBER(Z658),R658-Z658,""))))</f>
        <v/>
      </c>
      <c r="AB658" s="23"/>
      <c r="AC658" s="25"/>
      <c r="AD658" s="23"/>
      <c r="AE658" s="23"/>
      <c r="AF658" s="24"/>
      <c r="AG658" s="23"/>
      <c r="AH658" s="24"/>
      <c r="AI658" s="29" t="str">
        <f aca="false">IF(X658="Not accepted","Maintained",IF(X658="Partially accepted","Partially maintained",IF(X658="Accepted","Reversed",IF(X658="Withdrawn by hospital","Withdrawn by hospital",""))))</f>
        <v/>
      </c>
      <c r="AJ658" s="28" t="str">
        <f aca="false">IF(AI658="","",W658)</f>
        <v/>
      </c>
      <c r="AK658" s="29" t="str">
        <f aca="false">IF(AND(ISNUMBER(T658),ISNUMBER(W658)),W658-T658,"")</f>
        <v/>
      </c>
      <c r="AL658" s="29" t="str">
        <f aca="false">IF(A658="","",SUMIF(Actions!$C$5:$C$1004,A658,Actions!$F$5:$F$1004))</f>
        <v/>
      </c>
      <c r="AM658" s="25"/>
    </row>
    <row r="659" customFormat="false" ht="15" hidden="false" customHeight="false" outlineLevel="0" collapsed="false">
      <c r="A659" s="23"/>
      <c r="B659" s="23"/>
      <c r="C659" s="23"/>
      <c r="D659" s="23"/>
      <c r="E659" s="23"/>
      <c r="F659" s="23"/>
      <c r="G659" s="23"/>
      <c r="H659" s="23"/>
      <c r="I659" s="23"/>
      <c r="J659" s="23"/>
      <c r="K659" s="24"/>
      <c r="L659" s="23"/>
      <c r="M659" s="25"/>
      <c r="N659" s="25"/>
      <c r="O659" s="23"/>
      <c r="P659" s="26"/>
      <c r="Q659" s="26"/>
      <c r="R659" s="27" t="str">
        <f aca="false">IF(AND(ISNUMBER(P659),ISNUMBER(Q659)),P659-Q659,"")</f>
        <v/>
      </c>
      <c r="S659" s="24"/>
      <c r="T659" s="28" t="str">
        <f aca="false">IF(S659&lt;&gt;"",S659,IF(B659="","",IFERROR(IF(INDEX(Batches!$G$5:$G$64,MATCH(B659,Batches!$A$5:$A$64,0))="","",INDEX(Batches!$G$5:$G$64,MATCH(B659,Batches!$A$5:$A$64,0))),"")))</f>
        <v/>
      </c>
      <c r="U659" s="23"/>
      <c r="V659" s="24"/>
      <c r="W659" s="28" t="str">
        <f aca="false">IF(OR(X659="",X659="Pending"),"",IF(V659&lt;&gt;"",V659,IFERROR(IF(INDEX(Batches!$H$5:$H$64,MATCH(B659,Batches!$A$5:$A$64,0))="","",INDEX(Batches!$H$5:$H$64,MATCH(B659,Batches!$A$5:$A$64,0))),"")))</f>
        <v/>
      </c>
      <c r="X659" s="23"/>
      <c r="Y659" s="23"/>
      <c r="Z659" s="26"/>
      <c r="AA659" s="27" t="str">
        <f aca="false">IF(R659="","",IF(X659="Not accepted",R659,IF(OR(X659="Accepted",X659="Withdrawn by hospital"),IF(X659="Accepted",0,R659),IF(ISNUMBER(Z659),R659-Z659,""))))</f>
        <v/>
      </c>
      <c r="AB659" s="23"/>
      <c r="AC659" s="25"/>
      <c r="AD659" s="23"/>
      <c r="AE659" s="23"/>
      <c r="AF659" s="24"/>
      <c r="AG659" s="23"/>
      <c r="AH659" s="24"/>
      <c r="AI659" s="29" t="str">
        <f aca="false">IF(X659="Not accepted","Maintained",IF(X659="Partially accepted","Partially maintained",IF(X659="Accepted","Reversed",IF(X659="Withdrawn by hospital","Withdrawn by hospital",""))))</f>
        <v/>
      </c>
      <c r="AJ659" s="28" t="str">
        <f aca="false">IF(AI659="","",W659)</f>
        <v/>
      </c>
      <c r="AK659" s="29" t="str">
        <f aca="false">IF(AND(ISNUMBER(T659),ISNUMBER(W659)),W659-T659,"")</f>
        <v/>
      </c>
      <c r="AL659" s="29" t="str">
        <f aca="false">IF(A659="","",SUMIF(Actions!$C$5:$C$1004,A659,Actions!$F$5:$F$1004))</f>
        <v/>
      </c>
      <c r="AM659" s="25"/>
    </row>
    <row r="660" customFormat="false" ht="15" hidden="false" customHeight="false" outlineLevel="0" collapsed="false">
      <c r="A660" s="23"/>
      <c r="B660" s="23"/>
      <c r="C660" s="23"/>
      <c r="D660" s="23"/>
      <c r="E660" s="23"/>
      <c r="F660" s="23"/>
      <c r="G660" s="23"/>
      <c r="H660" s="23"/>
      <c r="I660" s="23"/>
      <c r="J660" s="23"/>
      <c r="K660" s="24"/>
      <c r="L660" s="23"/>
      <c r="M660" s="25"/>
      <c r="N660" s="25"/>
      <c r="O660" s="23"/>
      <c r="P660" s="26"/>
      <c r="Q660" s="26"/>
      <c r="R660" s="27" t="str">
        <f aca="false">IF(AND(ISNUMBER(P660),ISNUMBER(Q660)),P660-Q660,"")</f>
        <v/>
      </c>
      <c r="S660" s="24"/>
      <c r="T660" s="28" t="str">
        <f aca="false">IF(S660&lt;&gt;"",S660,IF(B660="","",IFERROR(IF(INDEX(Batches!$G$5:$G$64,MATCH(B660,Batches!$A$5:$A$64,0))="","",INDEX(Batches!$G$5:$G$64,MATCH(B660,Batches!$A$5:$A$64,0))),"")))</f>
        <v/>
      </c>
      <c r="U660" s="23"/>
      <c r="V660" s="24"/>
      <c r="W660" s="28" t="str">
        <f aca="false">IF(OR(X660="",X660="Pending"),"",IF(V660&lt;&gt;"",V660,IFERROR(IF(INDEX(Batches!$H$5:$H$64,MATCH(B660,Batches!$A$5:$A$64,0))="","",INDEX(Batches!$H$5:$H$64,MATCH(B660,Batches!$A$5:$A$64,0))),"")))</f>
        <v/>
      </c>
      <c r="X660" s="23"/>
      <c r="Y660" s="23"/>
      <c r="Z660" s="26"/>
      <c r="AA660" s="27" t="str">
        <f aca="false">IF(R660="","",IF(X660="Not accepted",R660,IF(OR(X660="Accepted",X660="Withdrawn by hospital"),IF(X660="Accepted",0,R660),IF(ISNUMBER(Z660),R660-Z660,""))))</f>
        <v/>
      </c>
      <c r="AB660" s="23"/>
      <c r="AC660" s="25"/>
      <c r="AD660" s="23"/>
      <c r="AE660" s="23"/>
      <c r="AF660" s="24"/>
      <c r="AG660" s="23"/>
      <c r="AH660" s="24"/>
      <c r="AI660" s="29" t="str">
        <f aca="false">IF(X660="Not accepted","Maintained",IF(X660="Partially accepted","Partially maintained",IF(X660="Accepted","Reversed",IF(X660="Withdrawn by hospital","Withdrawn by hospital",""))))</f>
        <v/>
      </c>
      <c r="AJ660" s="28" t="str">
        <f aca="false">IF(AI660="","",W660)</f>
        <v/>
      </c>
      <c r="AK660" s="29" t="str">
        <f aca="false">IF(AND(ISNUMBER(T660),ISNUMBER(W660)),W660-T660,"")</f>
        <v/>
      </c>
      <c r="AL660" s="29" t="str">
        <f aca="false">IF(A660="","",SUMIF(Actions!$C$5:$C$1004,A660,Actions!$F$5:$F$1004))</f>
        <v/>
      </c>
      <c r="AM660" s="25"/>
    </row>
    <row r="661" customFormat="false" ht="15" hidden="false" customHeight="false" outlineLevel="0" collapsed="false">
      <c r="A661" s="23"/>
      <c r="B661" s="23"/>
      <c r="C661" s="23"/>
      <c r="D661" s="23"/>
      <c r="E661" s="23"/>
      <c r="F661" s="23"/>
      <c r="G661" s="23"/>
      <c r="H661" s="23"/>
      <c r="I661" s="23"/>
      <c r="J661" s="23"/>
      <c r="K661" s="24"/>
      <c r="L661" s="23"/>
      <c r="M661" s="25"/>
      <c r="N661" s="25"/>
      <c r="O661" s="23"/>
      <c r="P661" s="26"/>
      <c r="Q661" s="26"/>
      <c r="R661" s="27" t="str">
        <f aca="false">IF(AND(ISNUMBER(P661),ISNUMBER(Q661)),P661-Q661,"")</f>
        <v/>
      </c>
      <c r="S661" s="24"/>
      <c r="T661" s="28" t="str">
        <f aca="false">IF(S661&lt;&gt;"",S661,IF(B661="","",IFERROR(IF(INDEX(Batches!$G$5:$G$64,MATCH(B661,Batches!$A$5:$A$64,0))="","",INDEX(Batches!$G$5:$G$64,MATCH(B661,Batches!$A$5:$A$64,0))),"")))</f>
        <v/>
      </c>
      <c r="U661" s="23"/>
      <c r="V661" s="24"/>
      <c r="W661" s="28" t="str">
        <f aca="false">IF(OR(X661="",X661="Pending"),"",IF(V661&lt;&gt;"",V661,IFERROR(IF(INDEX(Batches!$H$5:$H$64,MATCH(B661,Batches!$A$5:$A$64,0))="","",INDEX(Batches!$H$5:$H$64,MATCH(B661,Batches!$A$5:$A$64,0))),"")))</f>
        <v/>
      </c>
      <c r="X661" s="23"/>
      <c r="Y661" s="23"/>
      <c r="Z661" s="26"/>
      <c r="AA661" s="27" t="str">
        <f aca="false">IF(R661="","",IF(X661="Not accepted",R661,IF(OR(X661="Accepted",X661="Withdrawn by hospital"),IF(X661="Accepted",0,R661),IF(ISNUMBER(Z661),R661-Z661,""))))</f>
        <v/>
      </c>
      <c r="AB661" s="23"/>
      <c r="AC661" s="25"/>
      <c r="AD661" s="23"/>
      <c r="AE661" s="23"/>
      <c r="AF661" s="24"/>
      <c r="AG661" s="23"/>
      <c r="AH661" s="24"/>
      <c r="AI661" s="29" t="str">
        <f aca="false">IF(X661="Not accepted","Maintained",IF(X661="Partially accepted","Partially maintained",IF(X661="Accepted","Reversed",IF(X661="Withdrawn by hospital","Withdrawn by hospital",""))))</f>
        <v/>
      </c>
      <c r="AJ661" s="28" t="str">
        <f aca="false">IF(AI661="","",W661)</f>
        <v/>
      </c>
      <c r="AK661" s="29" t="str">
        <f aca="false">IF(AND(ISNUMBER(T661),ISNUMBER(W661)),W661-T661,"")</f>
        <v/>
      </c>
      <c r="AL661" s="29" t="str">
        <f aca="false">IF(A661="","",SUMIF(Actions!$C$5:$C$1004,A661,Actions!$F$5:$F$1004))</f>
        <v/>
      </c>
      <c r="AM661" s="25"/>
    </row>
    <row r="662" customFormat="false" ht="15" hidden="false" customHeight="false" outlineLevel="0" collapsed="false">
      <c r="A662" s="23"/>
      <c r="B662" s="23"/>
      <c r="C662" s="23"/>
      <c r="D662" s="23"/>
      <c r="E662" s="23"/>
      <c r="F662" s="23"/>
      <c r="G662" s="23"/>
      <c r="H662" s="23"/>
      <c r="I662" s="23"/>
      <c r="J662" s="23"/>
      <c r="K662" s="24"/>
      <c r="L662" s="23"/>
      <c r="M662" s="25"/>
      <c r="N662" s="25"/>
      <c r="O662" s="23"/>
      <c r="P662" s="26"/>
      <c r="Q662" s="26"/>
      <c r="R662" s="27" t="str">
        <f aca="false">IF(AND(ISNUMBER(P662),ISNUMBER(Q662)),P662-Q662,"")</f>
        <v/>
      </c>
      <c r="S662" s="24"/>
      <c r="T662" s="28" t="str">
        <f aca="false">IF(S662&lt;&gt;"",S662,IF(B662="","",IFERROR(IF(INDEX(Batches!$G$5:$G$64,MATCH(B662,Batches!$A$5:$A$64,0))="","",INDEX(Batches!$G$5:$G$64,MATCH(B662,Batches!$A$5:$A$64,0))),"")))</f>
        <v/>
      </c>
      <c r="U662" s="23"/>
      <c r="V662" s="24"/>
      <c r="W662" s="28" t="str">
        <f aca="false">IF(OR(X662="",X662="Pending"),"",IF(V662&lt;&gt;"",V662,IFERROR(IF(INDEX(Batches!$H$5:$H$64,MATCH(B662,Batches!$A$5:$A$64,0))="","",INDEX(Batches!$H$5:$H$64,MATCH(B662,Batches!$A$5:$A$64,0))),"")))</f>
        <v/>
      </c>
      <c r="X662" s="23"/>
      <c r="Y662" s="23"/>
      <c r="Z662" s="26"/>
      <c r="AA662" s="27" t="str">
        <f aca="false">IF(R662="","",IF(X662="Not accepted",R662,IF(OR(X662="Accepted",X662="Withdrawn by hospital"),IF(X662="Accepted",0,R662),IF(ISNUMBER(Z662),R662-Z662,""))))</f>
        <v/>
      </c>
      <c r="AB662" s="23"/>
      <c r="AC662" s="25"/>
      <c r="AD662" s="23"/>
      <c r="AE662" s="23"/>
      <c r="AF662" s="24"/>
      <c r="AG662" s="23"/>
      <c r="AH662" s="24"/>
      <c r="AI662" s="29" t="str">
        <f aca="false">IF(X662="Not accepted","Maintained",IF(X662="Partially accepted","Partially maintained",IF(X662="Accepted","Reversed",IF(X662="Withdrawn by hospital","Withdrawn by hospital",""))))</f>
        <v/>
      </c>
      <c r="AJ662" s="28" t="str">
        <f aca="false">IF(AI662="","",W662)</f>
        <v/>
      </c>
      <c r="AK662" s="29" t="str">
        <f aca="false">IF(AND(ISNUMBER(T662),ISNUMBER(W662)),W662-T662,"")</f>
        <v/>
      </c>
      <c r="AL662" s="29" t="str">
        <f aca="false">IF(A662="","",SUMIF(Actions!$C$5:$C$1004,A662,Actions!$F$5:$F$1004))</f>
        <v/>
      </c>
      <c r="AM662" s="25"/>
    </row>
    <row r="663" customFormat="false" ht="15" hidden="false" customHeight="false" outlineLevel="0" collapsed="false">
      <c r="A663" s="23"/>
      <c r="B663" s="23"/>
      <c r="C663" s="23"/>
      <c r="D663" s="23"/>
      <c r="E663" s="23"/>
      <c r="F663" s="23"/>
      <c r="G663" s="23"/>
      <c r="H663" s="23"/>
      <c r="I663" s="23"/>
      <c r="J663" s="23"/>
      <c r="K663" s="24"/>
      <c r="L663" s="23"/>
      <c r="M663" s="25"/>
      <c r="N663" s="25"/>
      <c r="O663" s="23"/>
      <c r="P663" s="26"/>
      <c r="Q663" s="26"/>
      <c r="R663" s="27" t="str">
        <f aca="false">IF(AND(ISNUMBER(P663),ISNUMBER(Q663)),P663-Q663,"")</f>
        <v/>
      </c>
      <c r="S663" s="24"/>
      <c r="T663" s="28" t="str">
        <f aca="false">IF(S663&lt;&gt;"",S663,IF(B663="","",IFERROR(IF(INDEX(Batches!$G$5:$G$64,MATCH(B663,Batches!$A$5:$A$64,0))="","",INDEX(Batches!$G$5:$G$64,MATCH(B663,Batches!$A$5:$A$64,0))),"")))</f>
        <v/>
      </c>
      <c r="U663" s="23"/>
      <c r="V663" s="24"/>
      <c r="W663" s="28" t="str">
        <f aca="false">IF(OR(X663="",X663="Pending"),"",IF(V663&lt;&gt;"",V663,IFERROR(IF(INDEX(Batches!$H$5:$H$64,MATCH(B663,Batches!$A$5:$A$64,0))="","",INDEX(Batches!$H$5:$H$64,MATCH(B663,Batches!$A$5:$A$64,0))),"")))</f>
        <v/>
      </c>
      <c r="X663" s="23"/>
      <c r="Y663" s="23"/>
      <c r="Z663" s="26"/>
      <c r="AA663" s="27" t="str">
        <f aca="false">IF(R663="","",IF(X663="Not accepted",R663,IF(OR(X663="Accepted",X663="Withdrawn by hospital"),IF(X663="Accepted",0,R663),IF(ISNUMBER(Z663),R663-Z663,""))))</f>
        <v/>
      </c>
      <c r="AB663" s="23"/>
      <c r="AC663" s="25"/>
      <c r="AD663" s="23"/>
      <c r="AE663" s="23"/>
      <c r="AF663" s="24"/>
      <c r="AG663" s="23"/>
      <c r="AH663" s="24"/>
      <c r="AI663" s="29" t="str">
        <f aca="false">IF(X663="Not accepted","Maintained",IF(X663="Partially accepted","Partially maintained",IF(X663="Accepted","Reversed",IF(X663="Withdrawn by hospital","Withdrawn by hospital",""))))</f>
        <v/>
      </c>
      <c r="AJ663" s="28" t="str">
        <f aca="false">IF(AI663="","",W663)</f>
        <v/>
      </c>
      <c r="AK663" s="29" t="str">
        <f aca="false">IF(AND(ISNUMBER(T663),ISNUMBER(W663)),W663-T663,"")</f>
        <v/>
      </c>
      <c r="AL663" s="29" t="str">
        <f aca="false">IF(A663="","",SUMIF(Actions!$C$5:$C$1004,A663,Actions!$F$5:$F$1004))</f>
        <v/>
      </c>
      <c r="AM663" s="25"/>
    </row>
    <row r="664" customFormat="false" ht="15" hidden="false" customHeight="false" outlineLevel="0" collapsed="false">
      <c r="A664" s="23"/>
      <c r="B664" s="23"/>
      <c r="C664" s="23"/>
      <c r="D664" s="23"/>
      <c r="E664" s="23"/>
      <c r="F664" s="23"/>
      <c r="G664" s="23"/>
      <c r="H664" s="23"/>
      <c r="I664" s="23"/>
      <c r="J664" s="23"/>
      <c r="K664" s="24"/>
      <c r="L664" s="23"/>
      <c r="M664" s="25"/>
      <c r="N664" s="25"/>
      <c r="O664" s="23"/>
      <c r="P664" s="26"/>
      <c r="Q664" s="26"/>
      <c r="R664" s="27" t="str">
        <f aca="false">IF(AND(ISNUMBER(P664),ISNUMBER(Q664)),P664-Q664,"")</f>
        <v/>
      </c>
      <c r="S664" s="24"/>
      <c r="T664" s="28" t="str">
        <f aca="false">IF(S664&lt;&gt;"",S664,IF(B664="","",IFERROR(IF(INDEX(Batches!$G$5:$G$64,MATCH(B664,Batches!$A$5:$A$64,0))="","",INDEX(Batches!$G$5:$G$64,MATCH(B664,Batches!$A$5:$A$64,0))),"")))</f>
        <v/>
      </c>
      <c r="U664" s="23"/>
      <c r="V664" s="24"/>
      <c r="W664" s="28" t="str">
        <f aca="false">IF(OR(X664="",X664="Pending"),"",IF(V664&lt;&gt;"",V664,IFERROR(IF(INDEX(Batches!$H$5:$H$64,MATCH(B664,Batches!$A$5:$A$64,0))="","",INDEX(Batches!$H$5:$H$64,MATCH(B664,Batches!$A$5:$A$64,0))),"")))</f>
        <v/>
      </c>
      <c r="X664" s="23"/>
      <c r="Y664" s="23"/>
      <c r="Z664" s="26"/>
      <c r="AA664" s="27" t="str">
        <f aca="false">IF(R664="","",IF(X664="Not accepted",R664,IF(OR(X664="Accepted",X664="Withdrawn by hospital"),IF(X664="Accepted",0,R664),IF(ISNUMBER(Z664),R664-Z664,""))))</f>
        <v/>
      </c>
      <c r="AB664" s="23"/>
      <c r="AC664" s="25"/>
      <c r="AD664" s="23"/>
      <c r="AE664" s="23"/>
      <c r="AF664" s="24"/>
      <c r="AG664" s="23"/>
      <c r="AH664" s="24"/>
      <c r="AI664" s="29" t="str">
        <f aca="false">IF(X664="Not accepted","Maintained",IF(X664="Partially accepted","Partially maintained",IF(X664="Accepted","Reversed",IF(X664="Withdrawn by hospital","Withdrawn by hospital",""))))</f>
        <v/>
      </c>
      <c r="AJ664" s="28" t="str">
        <f aca="false">IF(AI664="","",W664)</f>
        <v/>
      </c>
      <c r="AK664" s="29" t="str">
        <f aca="false">IF(AND(ISNUMBER(T664),ISNUMBER(W664)),W664-T664,"")</f>
        <v/>
      </c>
      <c r="AL664" s="29" t="str">
        <f aca="false">IF(A664="","",SUMIF(Actions!$C$5:$C$1004,A664,Actions!$F$5:$F$1004))</f>
        <v/>
      </c>
      <c r="AM664" s="25"/>
    </row>
    <row r="665" customFormat="false" ht="15" hidden="false" customHeight="false" outlineLevel="0" collapsed="false">
      <c r="A665" s="23"/>
      <c r="B665" s="23"/>
      <c r="C665" s="23"/>
      <c r="D665" s="23"/>
      <c r="E665" s="23"/>
      <c r="F665" s="23"/>
      <c r="G665" s="23"/>
      <c r="H665" s="23"/>
      <c r="I665" s="23"/>
      <c r="J665" s="23"/>
      <c r="K665" s="24"/>
      <c r="L665" s="23"/>
      <c r="M665" s="25"/>
      <c r="N665" s="25"/>
      <c r="O665" s="23"/>
      <c r="P665" s="26"/>
      <c r="Q665" s="26"/>
      <c r="R665" s="27" t="str">
        <f aca="false">IF(AND(ISNUMBER(P665),ISNUMBER(Q665)),P665-Q665,"")</f>
        <v/>
      </c>
      <c r="S665" s="24"/>
      <c r="T665" s="28" t="str">
        <f aca="false">IF(S665&lt;&gt;"",S665,IF(B665="","",IFERROR(IF(INDEX(Batches!$G$5:$G$64,MATCH(B665,Batches!$A$5:$A$64,0))="","",INDEX(Batches!$G$5:$G$64,MATCH(B665,Batches!$A$5:$A$64,0))),"")))</f>
        <v/>
      </c>
      <c r="U665" s="23"/>
      <c r="V665" s="24"/>
      <c r="W665" s="28" t="str">
        <f aca="false">IF(OR(X665="",X665="Pending"),"",IF(V665&lt;&gt;"",V665,IFERROR(IF(INDEX(Batches!$H$5:$H$64,MATCH(B665,Batches!$A$5:$A$64,0))="","",INDEX(Batches!$H$5:$H$64,MATCH(B665,Batches!$A$5:$A$64,0))),"")))</f>
        <v/>
      </c>
      <c r="X665" s="23"/>
      <c r="Y665" s="23"/>
      <c r="Z665" s="26"/>
      <c r="AA665" s="27" t="str">
        <f aca="false">IF(R665="","",IF(X665="Not accepted",R665,IF(OR(X665="Accepted",X665="Withdrawn by hospital"),IF(X665="Accepted",0,R665),IF(ISNUMBER(Z665),R665-Z665,""))))</f>
        <v/>
      </c>
      <c r="AB665" s="23"/>
      <c r="AC665" s="25"/>
      <c r="AD665" s="23"/>
      <c r="AE665" s="23"/>
      <c r="AF665" s="24"/>
      <c r="AG665" s="23"/>
      <c r="AH665" s="24"/>
      <c r="AI665" s="29" t="str">
        <f aca="false">IF(X665="Not accepted","Maintained",IF(X665="Partially accepted","Partially maintained",IF(X665="Accepted","Reversed",IF(X665="Withdrawn by hospital","Withdrawn by hospital",""))))</f>
        <v/>
      </c>
      <c r="AJ665" s="28" t="str">
        <f aca="false">IF(AI665="","",W665)</f>
        <v/>
      </c>
      <c r="AK665" s="29" t="str">
        <f aca="false">IF(AND(ISNUMBER(T665),ISNUMBER(W665)),W665-T665,"")</f>
        <v/>
      </c>
      <c r="AL665" s="29" t="str">
        <f aca="false">IF(A665="","",SUMIF(Actions!$C$5:$C$1004,A665,Actions!$F$5:$F$1004))</f>
        <v/>
      </c>
      <c r="AM665" s="25"/>
    </row>
    <row r="666" customFormat="false" ht="15" hidden="false" customHeight="false" outlineLevel="0" collapsed="false">
      <c r="A666" s="23"/>
      <c r="B666" s="23"/>
      <c r="C666" s="23"/>
      <c r="D666" s="23"/>
      <c r="E666" s="23"/>
      <c r="F666" s="23"/>
      <c r="G666" s="23"/>
      <c r="H666" s="23"/>
      <c r="I666" s="23"/>
      <c r="J666" s="23"/>
      <c r="K666" s="24"/>
      <c r="L666" s="23"/>
      <c r="M666" s="25"/>
      <c r="N666" s="25"/>
      <c r="O666" s="23"/>
      <c r="P666" s="26"/>
      <c r="Q666" s="26"/>
      <c r="R666" s="27" t="str">
        <f aca="false">IF(AND(ISNUMBER(P666),ISNUMBER(Q666)),P666-Q666,"")</f>
        <v/>
      </c>
      <c r="S666" s="24"/>
      <c r="T666" s="28" t="str">
        <f aca="false">IF(S666&lt;&gt;"",S666,IF(B666="","",IFERROR(IF(INDEX(Batches!$G$5:$G$64,MATCH(B666,Batches!$A$5:$A$64,0))="","",INDEX(Batches!$G$5:$G$64,MATCH(B666,Batches!$A$5:$A$64,0))),"")))</f>
        <v/>
      </c>
      <c r="U666" s="23"/>
      <c r="V666" s="24"/>
      <c r="W666" s="28" t="str">
        <f aca="false">IF(OR(X666="",X666="Pending"),"",IF(V666&lt;&gt;"",V666,IFERROR(IF(INDEX(Batches!$H$5:$H$64,MATCH(B666,Batches!$A$5:$A$64,0))="","",INDEX(Batches!$H$5:$H$64,MATCH(B666,Batches!$A$5:$A$64,0))),"")))</f>
        <v/>
      </c>
      <c r="X666" s="23"/>
      <c r="Y666" s="23"/>
      <c r="Z666" s="26"/>
      <c r="AA666" s="27" t="str">
        <f aca="false">IF(R666="","",IF(X666="Not accepted",R666,IF(OR(X666="Accepted",X666="Withdrawn by hospital"),IF(X666="Accepted",0,R666),IF(ISNUMBER(Z666),R666-Z666,""))))</f>
        <v/>
      </c>
      <c r="AB666" s="23"/>
      <c r="AC666" s="25"/>
      <c r="AD666" s="23"/>
      <c r="AE666" s="23"/>
      <c r="AF666" s="24"/>
      <c r="AG666" s="23"/>
      <c r="AH666" s="24"/>
      <c r="AI666" s="29" t="str">
        <f aca="false">IF(X666="Not accepted","Maintained",IF(X666="Partially accepted","Partially maintained",IF(X666="Accepted","Reversed",IF(X666="Withdrawn by hospital","Withdrawn by hospital",""))))</f>
        <v/>
      </c>
      <c r="AJ666" s="28" t="str">
        <f aca="false">IF(AI666="","",W666)</f>
        <v/>
      </c>
      <c r="AK666" s="29" t="str">
        <f aca="false">IF(AND(ISNUMBER(T666),ISNUMBER(W666)),W666-T666,"")</f>
        <v/>
      </c>
      <c r="AL666" s="29" t="str">
        <f aca="false">IF(A666="","",SUMIF(Actions!$C$5:$C$1004,A666,Actions!$F$5:$F$1004))</f>
        <v/>
      </c>
      <c r="AM666" s="25"/>
    </row>
    <row r="667" customFormat="false" ht="15" hidden="false" customHeight="false" outlineLevel="0" collapsed="false">
      <c r="A667" s="23"/>
      <c r="B667" s="23"/>
      <c r="C667" s="23"/>
      <c r="D667" s="23"/>
      <c r="E667" s="23"/>
      <c r="F667" s="23"/>
      <c r="G667" s="23"/>
      <c r="H667" s="23"/>
      <c r="I667" s="23"/>
      <c r="J667" s="23"/>
      <c r="K667" s="24"/>
      <c r="L667" s="23"/>
      <c r="M667" s="25"/>
      <c r="N667" s="25"/>
      <c r="O667" s="23"/>
      <c r="P667" s="26"/>
      <c r="Q667" s="26"/>
      <c r="R667" s="27" t="str">
        <f aca="false">IF(AND(ISNUMBER(P667),ISNUMBER(Q667)),P667-Q667,"")</f>
        <v/>
      </c>
      <c r="S667" s="24"/>
      <c r="T667" s="28" t="str">
        <f aca="false">IF(S667&lt;&gt;"",S667,IF(B667="","",IFERROR(IF(INDEX(Batches!$G$5:$G$64,MATCH(B667,Batches!$A$5:$A$64,0))="","",INDEX(Batches!$G$5:$G$64,MATCH(B667,Batches!$A$5:$A$64,0))),"")))</f>
        <v/>
      </c>
      <c r="U667" s="23"/>
      <c r="V667" s="24"/>
      <c r="W667" s="28" t="str">
        <f aca="false">IF(OR(X667="",X667="Pending"),"",IF(V667&lt;&gt;"",V667,IFERROR(IF(INDEX(Batches!$H$5:$H$64,MATCH(B667,Batches!$A$5:$A$64,0))="","",INDEX(Batches!$H$5:$H$64,MATCH(B667,Batches!$A$5:$A$64,0))),"")))</f>
        <v/>
      </c>
      <c r="X667" s="23"/>
      <c r="Y667" s="23"/>
      <c r="Z667" s="26"/>
      <c r="AA667" s="27" t="str">
        <f aca="false">IF(R667="","",IF(X667="Not accepted",R667,IF(OR(X667="Accepted",X667="Withdrawn by hospital"),IF(X667="Accepted",0,R667),IF(ISNUMBER(Z667),R667-Z667,""))))</f>
        <v/>
      </c>
      <c r="AB667" s="23"/>
      <c r="AC667" s="25"/>
      <c r="AD667" s="23"/>
      <c r="AE667" s="23"/>
      <c r="AF667" s="24"/>
      <c r="AG667" s="23"/>
      <c r="AH667" s="24"/>
      <c r="AI667" s="29" t="str">
        <f aca="false">IF(X667="Not accepted","Maintained",IF(X667="Partially accepted","Partially maintained",IF(X667="Accepted","Reversed",IF(X667="Withdrawn by hospital","Withdrawn by hospital",""))))</f>
        <v/>
      </c>
      <c r="AJ667" s="28" t="str">
        <f aca="false">IF(AI667="","",W667)</f>
        <v/>
      </c>
      <c r="AK667" s="29" t="str">
        <f aca="false">IF(AND(ISNUMBER(T667),ISNUMBER(W667)),W667-T667,"")</f>
        <v/>
      </c>
      <c r="AL667" s="29" t="str">
        <f aca="false">IF(A667="","",SUMIF(Actions!$C$5:$C$1004,A667,Actions!$F$5:$F$1004))</f>
        <v/>
      </c>
      <c r="AM667" s="25"/>
    </row>
    <row r="668" customFormat="false" ht="15" hidden="false" customHeight="false" outlineLevel="0" collapsed="false">
      <c r="A668" s="23"/>
      <c r="B668" s="23"/>
      <c r="C668" s="23"/>
      <c r="D668" s="23"/>
      <c r="E668" s="23"/>
      <c r="F668" s="23"/>
      <c r="G668" s="23"/>
      <c r="H668" s="23"/>
      <c r="I668" s="23"/>
      <c r="J668" s="23"/>
      <c r="K668" s="24"/>
      <c r="L668" s="23"/>
      <c r="M668" s="25"/>
      <c r="N668" s="25"/>
      <c r="O668" s="23"/>
      <c r="P668" s="26"/>
      <c r="Q668" s="26"/>
      <c r="R668" s="27" t="str">
        <f aca="false">IF(AND(ISNUMBER(P668),ISNUMBER(Q668)),P668-Q668,"")</f>
        <v/>
      </c>
      <c r="S668" s="24"/>
      <c r="T668" s="28" t="str">
        <f aca="false">IF(S668&lt;&gt;"",S668,IF(B668="","",IFERROR(IF(INDEX(Batches!$G$5:$G$64,MATCH(B668,Batches!$A$5:$A$64,0))="","",INDEX(Batches!$G$5:$G$64,MATCH(B668,Batches!$A$5:$A$64,0))),"")))</f>
        <v/>
      </c>
      <c r="U668" s="23"/>
      <c r="V668" s="24"/>
      <c r="W668" s="28" t="str">
        <f aca="false">IF(OR(X668="",X668="Pending"),"",IF(V668&lt;&gt;"",V668,IFERROR(IF(INDEX(Batches!$H$5:$H$64,MATCH(B668,Batches!$A$5:$A$64,0))="","",INDEX(Batches!$H$5:$H$64,MATCH(B668,Batches!$A$5:$A$64,0))),"")))</f>
        <v/>
      </c>
      <c r="X668" s="23"/>
      <c r="Y668" s="23"/>
      <c r="Z668" s="26"/>
      <c r="AA668" s="27" t="str">
        <f aca="false">IF(R668="","",IF(X668="Not accepted",R668,IF(OR(X668="Accepted",X668="Withdrawn by hospital"),IF(X668="Accepted",0,R668),IF(ISNUMBER(Z668),R668-Z668,""))))</f>
        <v/>
      </c>
      <c r="AB668" s="23"/>
      <c r="AC668" s="25"/>
      <c r="AD668" s="23"/>
      <c r="AE668" s="23"/>
      <c r="AF668" s="24"/>
      <c r="AG668" s="23"/>
      <c r="AH668" s="24"/>
      <c r="AI668" s="29" t="str">
        <f aca="false">IF(X668="Not accepted","Maintained",IF(X668="Partially accepted","Partially maintained",IF(X668="Accepted","Reversed",IF(X668="Withdrawn by hospital","Withdrawn by hospital",""))))</f>
        <v/>
      </c>
      <c r="AJ668" s="28" t="str">
        <f aca="false">IF(AI668="","",W668)</f>
        <v/>
      </c>
      <c r="AK668" s="29" t="str">
        <f aca="false">IF(AND(ISNUMBER(T668),ISNUMBER(W668)),W668-T668,"")</f>
        <v/>
      </c>
      <c r="AL668" s="29" t="str">
        <f aca="false">IF(A668="","",SUMIF(Actions!$C$5:$C$1004,A668,Actions!$F$5:$F$1004))</f>
        <v/>
      </c>
      <c r="AM668" s="25"/>
    </row>
    <row r="669" customFormat="false" ht="15" hidden="false" customHeight="false" outlineLevel="0" collapsed="false">
      <c r="A669" s="23"/>
      <c r="B669" s="23"/>
      <c r="C669" s="23"/>
      <c r="D669" s="23"/>
      <c r="E669" s="23"/>
      <c r="F669" s="23"/>
      <c r="G669" s="23"/>
      <c r="H669" s="23"/>
      <c r="I669" s="23"/>
      <c r="J669" s="23"/>
      <c r="K669" s="24"/>
      <c r="L669" s="23"/>
      <c r="M669" s="25"/>
      <c r="N669" s="25"/>
      <c r="O669" s="23"/>
      <c r="P669" s="26"/>
      <c r="Q669" s="26"/>
      <c r="R669" s="27" t="str">
        <f aca="false">IF(AND(ISNUMBER(P669),ISNUMBER(Q669)),P669-Q669,"")</f>
        <v/>
      </c>
      <c r="S669" s="24"/>
      <c r="T669" s="28" t="str">
        <f aca="false">IF(S669&lt;&gt;"",S669,IF(B669="","",IFERROR(IF(INDEX(Batches!$G$5:$G$64,MATCH(B669,Batches!$A$5:$A$64,0))="","",INDEX(Batches!$G$5:$G$64,MATCH(B669,Batches!$A$5:$A$64,0))),"")))</f>
        <v/>
      </c>
      <c r="U669" s="23"/>
      <c r="V669" s="24"/>
      <c r="W669" s="28" t="str">
        <f aca="false">IF(OR(X669="",X669="Pending"),"",IF(V669&lt;&gt;"",V669,IFERROR(IF(INDEX(Batches!$H$5:$H$64,MATCH(B669,Batches!$A$5:$A$64,0))="","",INDEX(Batches!$H$5:$H$64,MATCH(B669,Batches!$A$5:$A$64,0))),"")))</f>
        <v/>
      </c>
      <c r="X669" s="23"/>
      <c r="Y669" s="23"/>
      <c r="Z669" s="26"/>
      <c r="AA669" s="27" t="str">
        <f aca="false">IF(R669="","",IF(X669="Not accepted",R669,IF(OR(X669="Accepted",X669="Withdrawn by hospital"),IF(X669="Accepted",0,R669),IF(ISNUMBER(Z669),R669-Z669,""))))</f>
        <v/>
      </c>
      <c r="AB669" s="23"/>
      <c r="AC669" s="25"/>
      <c r="AD669" s="23"/>
      <c r="AE669" s="23"/>
      <c r="AF669" s="24"/>
      <c r="AG669" s="23"/>
      <c r="AH669" s="24"/>
      <c r="AI669" s="29" t="str">
        <f aca="false">IF(X669="Not accepted","Maintained",IF(X669="Partially accepted","Partially maintained",IF(X669="Accepted","Reversed",IF(X669="Withdrawn by hospital","Withdrawn by hospital",""))))</f>
        <v/>
      </c>
      <c r="AJ669" s="28" t="str">
        <f aca="false">IF(AI669="","",W669)</f>
        <v/>
      </c>
      <c r="AK669" s="29" t="str">
        <f aca="false">IF(AND(ISNUMBER(T669),ISNUMBER(W669)),W669-T669,"")</f>
        <v/>
      </c>
      <c r="AL669" s="29" t="str">
        <f aca="false">IF(A669="","",SUMIF(Actions!$C$5:$C$1004,A669,Actions!$F$5:$F$1004))</f>
        <v/>
      </c>
      <c r="AM669" s="25"/>
    </row>
    <row r="670" customFormat="false" ht="15" hidden="false" customHeight="false" outlineLevel="0" collapsed="false">
      <c r="A670" s="23"/>
      <c r="B670" s="23"/>
      <c r="C670" s="23"/>
      <c r="D670" s="23"/>
      <c r="E670" s="23"/>
      <c r="F670" s="23"/>
      <c r="G670" s="23"/>
      <c r="H670" s="23"/>
      <c r="I670" s="23"/>
      <c r="J670" s="23"/>
      <c r="K670" s="24"/>
      <c r="L670" s="23"/>
      <c r="M670" s="25"/>
      <c r="N670" s="25"/>
      <c r="O670" s="23"/>
      <c r="P670" s="26"/>
      <c r="Q670" s="26"/>
      <c r="R670" s="27" t="str">
        <f aca="false">IF(AND(ISNUMBER(P670),ISNUMBER(Q670)),P670-Q670,"")</f>
        <v/>
      </c>
      <c r="S670" s="24"/>
      <c r="T670" s="28" t="str">
        <f aca="false">IF(S670&lt;&gt;"",S670,IF(B670="","",IFERROR(IF(INDEX(Batches!$G$5:$G$64,MATCH(B670,Batches!$A$5:$A$64,0))="","",INDEX(Batches!$G$5:$G$64,MATCH(B670,Batches!$A$5:$A$64,0))),"")))</f>
        <v/>
      </c>
      <c r="U670" s="23"/>
      <c r="V670" s="24"/>
      <c r="W670" s="28" t="str">
        <f aca="false">IF(OR(X670="",X670="Pending"),"",IF(V670&lt;&gt;"",V670,IFERROR(IF(INDEX(Batches!$H$5:$H$64,MATCH(B670,Batches!$A$5:$A$64,0))="","",INDEX(Batches!$H$5:$H$64,MATCH(B670,Batches!$A$5:$A$64,0))),"")))</f>
        <v/>
      </c>
      <c r="X670" s="23"/>
      <c r="Y670" s="23"/>
      <c r="Z670" s="26"/>
      <c r="AA670" s="27" t="str">
        <f aca="false">IF(R670="","",IF(X670="Not accepted",R670,IF(OR(X670="Accepted",X670="Withdrawn by hospital"),IF(X670="Accepted",0,R670),IF(ISNUMBER(Z670),R670-Z670,""))))</f>
        <v/>
      </c>
      <c r="AB670" s="23"/>
      <c r="AC670" s="25"/>
      <c r="AD670" s="23"/>
      <c r="AE670" s="23"/>
      <c r="AF670" s="24"/>
      <c r="AG670" s="23"/>
      <c r="AH670" s="24"/>
      <c r="AI670" s="29" t="str">
        <f aca="false">IF(X670="Not accepted","Maintained",IF(X670="Partially accepted","Partially maintained",IF(X670="Accepted","Reversed",IF(X670="Withdrawn by hospital","Withdrawn by hospital",""))))</f>
        <v/>
      </c>
      <c r="AJ670" s="28" t="str">
        <f aca="false">IF(AI670="","",W670)</f>
        <v/>
      </c>
      <c r="AK670" s="29" t="str">
        <f aca="false">IF(AND(ISNUMBER(T670),ISNUMBER(W670)),W670-T670,"")</f>
        <v/>
      </c>
      <c r="AL670" s="29" t="str">
        <f aca="false">IF(A670="","",SUMIF(Actions!$C$5:$C$1004,A670,Actions!$F$5:$F$1004))</f>
        <v/>
      </c>
      <c r="AM670" s="25"/>
    </row>
    <row r="671" customFormat="false" ht="15" hidden="false" customHeight="false" outlineLevel="0" collapsed="false">
      <c r="A671" s="23"/>
      <c r="B671" s="23"/>
      <c r="C671" s="23"/>
      <c r="D671" s="23"/>
      <c r="E671" s="23"/>
      <c r="F671" s="23"/>
      <c r="G671" s="23"/>
      <c r="H671" s="23"/>
      <c r="I671" s="23"/>
      <c r="J671" s="23"/>
      <c r="K671" s="24"/>
      <c r="L671" s="23"/>
      <c r="M671" s="25"/>
      <c r="N671" s="25"/>
      <c r="O671" s="23"/>
      <c r="P671" s="26"/>
      <c r="Q671" s="26"/>
      <c r="R671" s="27" t="str">
        <f aca="false">IF(AND(ISNUMBER(P671),ISNUMBER(Q671)),P671-Q671,"")</f>
        <v/>
      </c>
      <c r="S671" s="24"/>
      <c r="T671" s="28" t="str">
        <f aca="false">IF(S671&lt;&gt;"",S671,IF(B671="","",IFERROR(IF(INDEX(Batches!$G$5:$G$64,MATCH(B671,Batches!$A$5:$A$64,0))="","",INDEX(Batches!$G$5:$G$64,MATCH(B671,Batches!$A$5:$A$64,0))),"")))</f>
        <v/>
      </c>
      <c r="U671" s="23"/>
      <c r="V671" s="24"/>
      <c r="W671" s="28" t="str">
        <f aca="false">IF(OR(X671="",X671="Pending"),"",IF(V671&lt;&gt;"",V671,IFERROR(IF(INDEX(Batches!$H$5:$H$64,MATCH(B671,Batches!$A$5:$A$64,0))="","",INDEX(Batches!$H$5:$H$64,MATCH(B671,Batches!$A$5:$A$64,0))),"")))</f>
        <v/>
      </c>
      <c r="X671" s="23"/>
      <c r="Y671" s="23"/>
      <c r="Z671" s="26"/>
      <c r="AA671" s="27" t="str">
        <f aca="false">IF(R671="","",IF(X671="Not accepted",R671,IF(OR(X671="Accepted",X671="Withdrawn by hospital"),IF(X671="Accepted",0,R671),IF(ISNUMBER(Z671),R671-Z671,""))))</f>
        <v/>
      </c>
      <c r="AB671" s="23"/>
      <c r="AC671" s="25"/>
      <c r="AD671" s="23"/>
      <c r="AE671" s="23"/>
      <c r="AF671" s="24"/>
      <c r="AG671" s="23"/>
      <c r="AH671" s="24"/>
      <c r="AI671" s="29" t="str">
        <f aca="false">IF(X671="Not accepted","Maintained",IF(X671="Partially accepted","Partially maintained",IF(X671="Accepted","Reversed",IF(X671="Withdrawn by hospital","Withdrawn by hospital",""))))</f>
        <v/>
      </c>
      <c r="AJ671" s="28" t="str">
        <f aca="false">IF(AI671="","",W671)</f>
        <v/>
      </c>
      <c r="AK671" s="29" t="str">
        <f aca="false">IF(AND(ISNUMBER(T671),ISNUMBER(W671)),W671-T671,"")</f>
        <v/>
      </c>
      <c r="AL671" s="29" t="str">
        <f aca="false">IF(A671="","",SUMIF(Actions!$C$5:$C$1004,A671,Actions!$F$5:$F$1004))</f>
        <v/>
      </c>
      <c r="AM671" s="25"/>
    </row>
    <row r="672" customFormat="false" ht="15" hidden="false" customHeight="false" outlineLevel="0" collapsed="false">
      <c r="A672" s="23"/>
      <c r="B672" s="23"/>
      <c r="C672" s="23"/>
      <c r="D672" s="23"/>
      <c r="E672" s="23"/>
      <c r="F672" s="23"/>
      <c r="G672" s="23"/>
      <c r="H672" s="23"/>
      <c r="I672" s="23"/>
      <c r="J672" s="23"/>
      <c r="K672" s="24"/>
      <c r="L672" s="23"/>
      <c r="M672" s="25"/>
      <c r="N672" s="25"/>
      <c r="O672" s="23"/>
      <c r="P672" s="26"/>
      <c r="Q672" s="26"/>
      <c r="R672" s="27" t="str">
        <f aca="false">IF(AND(ISNUMBER(P672),ISNUMBER(Q672)),P672-Q672,"")</f>
        <v/>
      </c>
      <c r="S672" s="24"/>
      <c r="T672" s="28" t="str">
        <f aca="false">IF(S672&lt;&gt;"",S672,IF(B672="","",IFERROR(IF(INDEX(Batches!$G$5:$G$64,MATCH(B672,Batches!$A$5:$A$64,0))="","",INDEX(Batches!$G$5:$G$64,MATCH(B672,Batches!$A$5:$A$64,0))),"")))</f>
        <v/>
      </c>
      <c r="U672" s="23"/>
      <c r="V672" s="24"/>
      <c r="W672" s="28" t="str">
        <f aca="false">IF(OR(X672="",X672="Pending"),"",IF(V672&lt;&gt;"",V672,IFERROR(IF(INDEX(Batches!$H$5:$H$64,MATCH(B672,Batches!$A$5:$A$64,0))="","",INDEX(Batches!$H$5:$H$64,MATCH(B672,Batches!$A$5:$A$64,0))),"")))</f>
        <v/>
      </c>
      <c r="X672" s="23"/>
      <c r="Y672" s="23"/>
      <c r="Z672" s="26"/>
      <c r="AA672" s="27" t="str">
        <f aca="false">IF(R672="","",IF(X672="Not accepted",R672,IF(OR(X672="Accepted",X672="Withdrawn by hospital"),IF(X672="Accepted",0,R672),IF(ISNUMBER(Z672),R672-Z672,""))))</f>
        <v/>
      </c>
      <c r="AB672" s="23"/>
      <c r="AC672" s="25"/>
      <c r="AD672" s="23"/>
      <c r="AE672" s="23"/>
      <c r="AF672" s="24"/>
      <c r="AG672" s="23"/>
      <c r="AH672" s="24"/>
      <c r="AI672" s="29" t="str">
        <f aca="false">IF(X672="Not accepted","Maintained",IF(X672="Partially accepted","Partially maintained",IF(X672="Accepted","Reversed",IF(X672="Withdrawn by hospital","Withdrawn by hospital",""))))</f>
        <v/>
      </c>
      <c r="AJ672" s="28" t="str">
        <f aca="false">IF(AI672="","",W672)</f>
        <v/>
      </c>
      <c r="AK672" s="29" t="str">
        <f aca="false">IF(AND(ISNUMBER(T672),ISNUMBER(W672)),W672-T672,"")</f>
        <v/>
      </c>
      <c r="AL672" s="29" t="str">
        <f aca="false">IF(A672="","",SUMIF(Actions!$C$5:$C$1004,A672,Actions!$F$5:$F$1004))</f>
        <v/>
      </c>
      <c r="AM672" s="25"/>
    </row>
    <row r="673" customFormat="false" ht="15" hidden="false" customHeight="false" outlineLevel="0" collapsed="false">
      <c r="A673" s="23"/>
      <c r="B673" s="23"/>
      <c r="C673" s="23"/>
      <c r="D673" s="23"/>
      <c r="E673" s="23"/>
      <c r="F673" s="23"/>
      <c r="G673" s="23"/>
      <c r="H673" s="23"/>
      <c r="I673" s="23"/>
      <c r="J673" s="23"/>
      <c r="K673" s="24"/>
      <c r="L673" s="23"/>
      <c r="M673" s="25"/>
      <c r="N673" s="25"/>
      <c r="O673" s="23"/>
      <c r="P673" s="26"/>
      <c r="Q673" s="26"/>
      <c r="R673" s="27" t="str">
        <f aca="false">IF(AND(ISNUMBER(P673),ISNUMBER(Q673)),P673-Q673,"")</f>
        <v/>
      </c>
      <c r="S673" s="24"/>
      <c r="T673" s="28" t="str">
        <f aca="false">IF(S673&lt;&gt;"",S673,IF(B673="","",IFERROR(IF(INDEX(Batches!$G$5:$G$64,MATCH(B673,Batches!$A$5:$A$64,0))="","",INDEX(Batches!$G$5:$G$64,MATCH(B673,Batches!$A$5:$A$64,0))),"")))</f>
        <v/>
      </c>
      <c r="U673" s="23"/>
      <c r="V673" s="24"/>
      <c r="W673" s="28" t="str">
        <f aca="false">IF(OR(X673="",X673="Pending"),"",IF(V673&lt;&gt;"",V673,IFERROR(IF(INDEX(Batches!$H$5:$H$64,MATCH(B673,Batches!$A$5:$A$64,0))="","",INDEX(Batches!$H$5:$H$64,MATCH(B673,Batches!$A$5:$A$64,0))),"")))</f>
        <v/>
      </c>
      <c r="X673" s="23"/>
      <c r="Y673" s="23"/>
      <c r="Z673" s="26"/>
      <c r="AA673" s="27" t="str">
        <f aca="false">IF(R673="","",IF(X673="Not accepted",R673,IF(OR(X673="Accepted",X673="Withdrawn by hospital"),IF(X673="Accepted",0,R673),IF(ISNUMBER(Z673),R673-Z673,""))))</f>
        <v/>
      </c>
      <c r="AB673" s="23"/>
      <c r="AC673" s="25"/>
      <c r="AD673" s="23"/>
      <c r="AE673" s="23"/>
      <c r="AF673" s="24"/>
      <c r="AG673" s="23"/>
      <c r="AH673" s="24"/>
      <c r="AI673" s="29" t="str">
        <f aca="false">IF(X673="Not accepted","Maintained",IF(X673="Partially accepted","Partially maintained",IF(X673="Accepted","Reversed",IF(X673="Withdrawn by hospital","Withdrawn by hospital",""))))</f>
        <v/>
      </c>
      <c r="AJ673" s="28" t="str">
        <f aca="false">IF(AI673="","",W673)</f>
        <v/>
      </c>
      <c r="AK673" s="29" t="str">
        <f aca="false">IF(AND(ISNUMBER(T673),ISNUMBER(W673)),W673-T673,"")</f>
        <v/>
      </c>
      <c r="AL673" s="29" t="str">
        <f aca="false">IF(A673="","",SUMIF(Actions!$C$5:$C$1004,A673,Actions!$F$5:$F$1004))</f>
        <v/>
      </c>
      <c r="AM673" s="25"/>
    </row>
    <row r="674" customFormat="false" ht="15" hidden="false" customHeight="false" outlineLevel="0" collapsed="false">
      <c r="A674" s="23"/>
      <c r="B674" s="23"/>
      <c r="C674" s="23"/>
      <c r="D674" s="23"/>
      <c r="E674" s="23"/>
      <c r="F674" s="23"/>
      <c r="G674" s="23"/>
      <c r="H674" s="23"/>
      <c r="I674" s="23"/>
      <c r="J674" s="23"/>
      <c r="K674" s="24"/>
      <c r="L674" s="23"/>
      <c r="M674" s="25"/>
      <c r="N674" s="25"/>
      <c r="O674" s="23"/>
      <c r="P674" s="26"/>
      <c r="Q674" s="26"/>
      <c r="R674" s="27" t="str">
        <f aca="false">IF(AND(ISNUMBER(P674),ISNUMBER(Q674)),P674-Q674,"")</f>
        <v/>
      </c>
      <c r="S674" s="24"/>
      <c r="T674" s="28" t="str">
        <f aca="false">IF(S674&lt;&gt;"",S674,IF(B674="","",IFERROR(IF(INDEX(Batches!$G$5:$G$64,MATCH(B674,Batches!$A$5:$A$64,0))="","",INDEX(Batches!$G$5:$G$64,MATCH(B674,Batches!$A$5:$A$64,0))),"")))</f>
        <v/>
      </c>
      <c r="U674" s="23"/>
      <c r="V674" s="24"/>
      <c r="W674" s="28" t="str">
        <f aca="false">IF(OR(X674="",X674="Pending"),"",IF(V674&lt;&gt;"",V674,IFERROR(IF(INDEX(Batches!$H$5:$H$64,MATCH(B674,Batches!$A$5:$A$64,0))="","",INDEX(Batches!$H$5:$H$64,MATCH(B674,Batches!$A$5:$A$64,0))),"")))</f>
        <v/>
      </c>
      <c r="X674" s="23"/>
      <c r="Y674" s="23"/>
      <c r="Z674" s="26"/>
      <c r="AA674" s="27" t="str">
        <f aca="false">IF(R674="","",IF(X674="Not accepted",R674,IF(OR(X674="Accepted",X674="Withdrawn by hospital"),IF(X674="Accepted",0,R674),IF(ISNUMBER(Z674),R674-Z674,""))))</f>
        <v/>
      </c>
      <c r="AB674" s="23"/>
      <c r="AC674" s="25"/>
      <c r="AD674" s="23"/>
      <c r="AE674" s="23"/>
      <c r="AF674" s="24"/>
      <c r="AG674" s="23"/>
      <c r="AH674" s="24"/>
      <c r="AI674" s="29" t="str">
        <f aca="false">IF(X674="Not accepted","Maintained",IF(X674="Partially accepted","Partially maintained",IF(X674="Accepted","Reversed",IF(X674="Withdrawn by hospital","Withdrawn by hospital",""))))</f>
        <v/>
      </c>
      <c r="AJ674" s="28" t="str">
        <f aca="false">IF(AI674="","",W674)</f>
        <v/>
      </c>
      <c r="AK674" s="29" t="str">
        <f aca="false">IF(AND(ISNUMBER(T674),ISNUMBER(W674)),W674-T674,"")</f>
        <v/>
      </c>
      <c r="AL674" s="29" t="str">
        <f aca="false">IF(A674="","",SUMIF(Actions!$C$5:$C$1004,A674,Actions!$F$5:$F$1004))</f>
        <v/>
      </c>
      <c r="AM674" s="25"/>
    </row>
    <row r="675" customFormat="false" ht="15" hidden="false" customHeight="false" outlineLevel="0" collapsed="false">
      <c r="A675" s="23"/>
      <c r="B675" s="23"/>
      <c r="C675" s="23"/>
      <c r="D675" s="23"/>
      <c r="E675" s="23"/>
      <c r="F675" s="23"/>
      <c r="G675" s="23"/>
      <c r="H675" s="23"/>
      <c r="I675" s="23"/>
      <c r="J675" s="23"/>
      <c r="K675" s="24"/>
      <c r="L675" s="23"/>
      <c r="M675" s="25"/>
      <c r="N675" s="25"/>
      <c r="O675" s="23"/>
      <c r="P675" s="26"/>
      <c r="Q675" s="26"/>
      <c r="R675" s="27" t="str">
        <f aca="false">IF(AND(ISNUMBER(P675),ISNUMBER(Q675)),P675-Q675,"")</f>
        <v/>
      </c>
      <c r="S675" s="24"/>
      <c r="T675" s="28" t="str">
        <f aca="false">IF(S675&lt;&gt;"",S675,IF(B675="","",IFERROR(IF(INDEX(Batches!$G$5:$G$64,MATCH(B675,Batches!$A$5:$A$64,0))="","",INDEX(Batches!$G$5:$G$64,MATCH(B675,Batches!$A$5:$A$64,0))),"")))</f>
        <v/>
      </c>
      <c r="U675" s="23"/>
      <c r="V675" s="24"/>
      <c r="W675" s="28" t="str">
        <f aca="false">IF(OR(X675="",X675="Pending"),"",IF(V675&lt;&gt;"",V675,IFERROR(IF(INDEX(Batches!$H$5:$H$64,MATCH(B675,Batches!$A$5:$A$64,0))="","",INDEX(Batches!$H$5:$H$64,MATCH(B675,Batches!$A$5:$A$64,0))),"")))</f>
        <v/>
      </c>
      <c r="X675" s="23"/>
      <c r="Y675" s="23"/>
      <c r="Z675" s="26"/>
      <c r="AA675" s="27" t="str">
        <f aca="false">IF(R675="","",IF(X675="Not accepted",R675,IF(OR(X675="Accepted",X675="Withdrawn by hospital"),IF(X675="Accepted",0,R675),IF(ISNUMBER(Z675),R675-Z675,""))))</f>
        <v/>
      </c>
      <c r="AB675" s="23"/>
      <c r="AC675" s="25"/>
      <c r="AD675" s="23"/>
      <c r="AE675" s="23"/>
      <c r="AF675" s="24"/>
      <c r="AG675" s="23"/>
      <c r="AH675" s="24"/>
      <c r="AI675" s="29" t="str">
        <f aca="false">IF(X675="Not accepted","Maintained",IF(X675="Partially accepted","Partially maintained",IF(X675="Accepted","Reversed",IF(X675="Withdrawn by hospital","Withdrawn by hospital",""))))</f>
        <v/>
      </c>
      <c r="AJ675" s="28" t="str">
        <f aca="false">IF(AI675="","",W675)</f>
        <v/>
      </c>
      <c r="AK675" s="29" t="str">
        <f aca="false">IF(AND(ISNUMBER(T675),ISNUMBER(W675)),W675-T675,"")</f>
        <v/>
      </c>
      <c r="AL675" s="29" t="str">
        <f aca="false">IF(A675="","",SUMIF(Actions!$C$5:$C$1004,A675,Actions!$F$5:$F$1004))</f>
        <v/>
      </c>
      <c r="AM675" s="25"/>
    </row>
    <row r="676" customFormat="false" ht="15" hidden="false" customHeight="false" outlineLevel="0" collapsed="false">
      <c r="A676" s="23"/>
      <c r="B676" s="23"/>
      <c r="C676" s="23"/>
      <c r="D676" s="23"/>
      <c r="E676" s="23"/>
      <c r="F676" s="23"/>
      <c r="G676" s="23"/>
      <c r="H676" s="23"/>
      <c r="I676" s="23"/>
      <c r="J676" s="23"/>
      <c r="K676" s="24"/>
      <c r="L676" s="23"/>
      <c r="M676" s="25"/>
      <c r="N676" s="25"/>
      <c r="O676" s="23"/>
      <c r="P676" s="26"/>
      <c r="Q676" s="26"/>
      <c r="R676" s="27" t="str">
        <f aca="false">IF(AND(ISNUMBER(P676),ISNUMBER(Q676)),P676-Q676,"")</f>
        <v/>
      </c>
      <c r="S676" s="24"/>
      <c r="T676" s="28" t="str">
        <f aca="false">IF(S676&lt;&gt;"",S676,IF(B676="","",IFERROR(IF(INDEX(Batches!$G$5:$G$64,MATCH(B676,Batches!$A$5:$A$64,0))="","",INDEX(Batches!$G$5:$G$64,MATCH(B676,Batches!$A$5:$A$64,0))),"")))</f>
        <v/>
      </c>
      <c r="U676" s="23"/>
      <c r="V676" s="24"/>
      <c r="W676" s="28" t="str">
        <f aca="false">IF(OR(X676="",X676="Pending"),"",IF(V676&lt;&gt;"",V676,IFERROR(IF(INDEX(Batches!$H$5:$H$64,MATCH(B676,Batches!$A$5:$A$64,0))="","",INDEX(Batches!$H$5:$H$64,MATCH(B676,Batches!$A$5:$A$64,0))),"")))</f>
        <v/>
      </c>
      <c r="X676" s="23"/>
      <c r="Y676" s="23"/>
      <c r="Z676" s="26"/>
      <c r="AA676" s="27" t="str">
        <f aca="false">IF(R676="","",IF(X676="Not accepted",R676,IF(OR(X676="Accepted",X676="Withdrawn by hospital"),IF(X676="Accepted",0,R676),IF(ISNUMBER(Z676),R676-Z676,""))))</f>
        <v/>
      </c>
      <c r="AB676" s="23"/>
      <c r="AC676" s="25"/>
      <c r="AD676" s="23"/>
      <c r="AE676" s="23"/>
      <c r="AF676" s="24"/>
      <c r="AG676" s="23"/>
      <c r="AH676" s="24"/>
      <c r="AI676" s="29" t="str">
        <f aca="false">IF(X676="Not accepted","Maintained",IF(X676="Partially accepted","Partially maintained",IF(X676="Accepted","Reversed",IF(X676="Withdrawn by hospital","Withdrawn by hospital",""))))</f>
        <v/>
      </c>
      <c r="AJ676" s="28" t="str">
        <f aca="false">IF(AI676="","",W676)</f>
        <v/>
      </c>
      <c r="AK676" s="29" t="str">
        <f aca="false">IF(AND(ISNUMBER(T676),ISNUMBER(W676)),W676-T676,"")</f>
        <v/>
      </c>
      <c r="AL676" s="29" t="str">
        <f aca="false">IF(A676="","",SUMIF(Actions!$C$5:$C$1004,A676,Actions!$F$5:$F$1004))</f>
        <v/>
      </c>
      <c r="AM676" s="25"/>
    </row>
    <row r="677" customFormat="false" ht="15" hidden="false" customHeight="false" outlineLevel="0" collapsed="false">
      <c r="A677" s="23"/>
      <c r="B677" s="23"/>
      <c r="C677" s="23"/>
      <c r="D677" s="23"/>
      <c r="E677" s="23"/>
      <c r="F677" s="23"/>
      <c r="G677" s="23"/>
      <c r="H677" s="23"/>
      <c r="I677" s="23"/>
      <c r="J677" s="23"/>
      <c r="K677" s="24"/>
      <c r="L677" s="23"/>
      <c r="M677" s="25"/>
      <c r="N677" s="25"/>
      <c r="O677" s="23"/>
      <c r="P677" s="26"/>
      <c r="Q677" s="26"/>
      <c r="R677" s="27" t="str">
        <f aca="false">IF(AND(ISNUMBER(P677),ISNUMBER(Q677)),P677-Q677,"")</f>
        <v/>
      </c>
      <c r="S677" s="24"/>
      <c r="T677" s="28" t="str">
        <f aca="false">IF(S677&lt;&gt;"",S677,IF(B677="","",IFERROR(IF(INDEX(Batches!$G$5:$G$64,MATCH(B677,Batches!$A$5:$A$64,0))="","",INDEX(Batches!$G$5:$G$64,MATCH(B677,Batches!$A$5:$A$64,0))),"")))</f>
        <v/>
      </c>
      <c r="U677" s="23"/>
      <c r="V677" s="24"/>
      <c r="W677" s="28" t="str">
        <f aca="false">IF(OR(X677="",X677="Pending"),"",IF(V677&lt;&gt;"",V677,IFERROR(IF(INDEX(Batches!$H$5:$H$64,MATCH(B677,Batches!$A$5:$A$64,0))="","",INDEX(Batches!$H$5:$H$64,MATCH(B677,Batches!$A$5:$A$64,0))),"")))</f>
        <v/>
      </c>
      <c r="X677" s="23"/>
      <c r="Y677" s="23"/>
      <c r="Z677" s="26"/>
      <c r="AA677" s="27" t="str">
        <f aca="false">IF(R677="","",IF(X677="Not accepted",R677,IF(OR(X677="Accepted",X677="Withdrawn by hospital"),IF(X677="Accepted",0,R677),IF(ISNUMBER(Z677),R677-Z677,""))))</f>
        <v/>
      </c>
      <c r="AB677" s="23"/>
      <c r="AC677" s="25"/>
      <c r="AD677" s="23"/>
      <c r="AE677" s="23"/>
      <c r="AF677" s="24"/>
      <c r="AG677" s="23"/>
      <c r="AH677" s="24"/>
      <c r="AI677" s="29" t="str">
        <f aca="false">IF(X677="Not accepted","Maintained",IF(X677="Partially accepted","Partially maintained",IF(X677="Accepted","Reversed",IF(X677="Withdrawn by hospital","Withdrawn by hospital",""))))</f>
        <v/>
      </c>
      <c r="AJ677" s="28" t="str">
        <f aca="false">IF(AI677="","",W677)</f>
        <v/>
      </c>
      <c r="AK677" s="29" t="str">
        <f aca="false">IF(AND(ISNUMBER(T677),ISNUMBER(W677)),W677-T677,"")</f>
        <v/>
      </c>
      <c r="AL677" s="29" t="str">
        <f aca="false">IF(A677="","",SUMIF(Actions!$C$5:$C$1004,A677,Actions!$F$5:$F$1004))</f>
        <v/>
      </c>
      <c r="AM677" s="25"/>
    </row>
    <row r="678" customFormat="false" ht="15" hidden="false" customHeight="false" outlineLevel="0" collapsed="false">
      <c r="A678" s="23"/>
      <c r="B678" s="23"/>
      <c r="C678" s="23"/>
      <c r="D678" s="23"/>
      <c r="E678" s="23"/>
      <c r="F678" s="23"/>
      <c r="G678" s="23"/>
      <c r="H678" s="23"/>
      <c r="I678" s="23"/>
      <c r="J678" s="23"/>
      <c r="K678" s="24"/>
      <c r="L678" s="23"/>
      <c r="M678" s="25"/>
      <c r="N678" s="25"/>
      <c r="O678" s="23"/>
      <c r="P678" s="26"/>
      <c r="Q678" s="26"/>
      <c r="R678" s="27" t="str">
        <f aca="false">IF(AND(ISNUMBER(P678),ISNUMBER(Q678)),P678-Q678,"")</f>
        <v/>
      </c>
      <c r="S678" s="24"/>
      <c r="T678" s="28" t="str">
        <f aca="false">IF(S678&lt;&gt;"",S678,IF(B678="","",IFERROR(IF(INDEX(Batches!$G$5:$G$64,MATCH(B678,Batches!$A$5:$A$64,0))="","",INDEX(Batches!$G$5:$G$64,MATCH(B678,Batches!$A$5:$A$64,0))),"")))</f>
        <v/>
      </c>
      <c r="U678" s="23"/>
      <c r="V678" s="24"/>
      <c r="W678" s="28" t="str">
        <f aca="false">IF(OR(X678="",X678="Pending"),"",IF(V678&lt;&gt;"",V678,IFERROR(IF(INDEX(Batches!$H$5:$H$64,MATCH(B678,Batches!$A$5:$A$64,0))="","",INDEX(Batches!$H$5:$H$64,MATCH(B678,Batches!$A$5:$A$64,0))),"")))</f>
        <v/>
      </c>
      <c r="X678" s="23"/>
      <c r="Y678" s="23"/>
      <c r="Z678" s="26"/>
      <c r="AA678" s="27" t="str">
        <f aca="false">IF(R678="","",IF(X678="Not accepted",R678,IF(OR(X678="Accepted",X678="Withdrawn by hospital"),IF(X678="Accepted",0,R678),IF(ISNUMBER(Z678),R678-Z678,""))))</f>
        <v/>
      </c>
      <c r="AB678" s="23"/>
      <c r="AC678" s="25"/>
      <c r="AD678" s="23"/>
      <c r="AE678" s="23"/>
      <c r="AF678" s="24"/>
      <c r="AG678" s="23"/>
      <c r="AH678" s="24"/>
      <c r="AI678" s="29" t="str">
        <f aca="false">IF(X678="Not accepted","Maintained",IF(X678="Partially accepted","Partially maintained",IF(X678="Accepted","Reversed",IF(X678="Withdrawn by hospital","Withdrawn by hospital",""))))</f>
        <v/>
      </c>
      <c r="AJ678" s="28" t="str">
        <f aca="false">IF(AI678="","",W678)</f>
        <v/>
      </c>
      <c r="AK678" s="29" t="str">
        <f aca="false">IF(AND(ISNUMBER(T678),ISNUMBER(W678)),W678-T678,"")</f>
        <v/>
      </c>
      <c r="AL678" s="29" t="str">
        <f aca="false">IF(A678="","",SUMIF(Actions!$C$5:$C$1004,A678,Actions!$F$5:$F$1004))</f>
        <v/>
      </c>
      <c r="AM678" s="25"/>
    </row>
    <row r="679" customFormat="false" ht="15" hidden="false" customHeight="false" outlineLevel="0" collapsed="false">
      <c r="A679" s="23"/>
      <c r="B679" s="23"/>
      <c r="C679" s="23"/>
      <c r="D679" s="23"/>
      <c r="E679" s="23"/>
      <c r="F679" s="23"/>
      <c r="G679" s="23"/>
      <c r="H679" s="23"/>
      <c r="I679" s="23"/>
      <c r="J679" s="23"/>
      <c r="K679" s="24"/>
      <c r="L679" s="23"/>
      <c r="M679" s="25"/>
      <c r="N679" s="25"/>
      <c r="O679" s="23"/>
      <c r="P679" s="26"/>
      <c r="Q679" s="26"/>
      <c r="R679" s="27" t="str">
        <f aca="false">IF(AND(ISNUMBER(P679),ISNUMBER(Q679)),P679-Q679,"")</f>
        <v/>
      </c>
      <c r="S679" s="24"/>
      <c r="T679" s="28" t="str">
        <f aca="false">IF(S679&lt;&gt;"",S679,IF(B679="","",IFERROR(IF(INDEX(Batches!$G$5:$G$64,MATCH(B679,Batches!$A$5:$A$64,0))="","",INDEX(Batches!$G$5:$G$64,MATCH(B679,Batches!$A$5:$A$64,0))),"")))</f>
        <v/>
      </c>
      <c r="U679" s="23"/>
      <c r="V679" s="24"/>
      <c r="W679" s="28" t="str">
        <f aca="false">IF(OR(X679="",X679="Pending"),"",IF(V679&lt;&gt;"",V679,IFERROR(IF(INDEX(Batches!$H$5:$H$64,MATCH(B679,Batches!$A$5:$A$64,0))="","",INDEX(Batches!$H$5:$H$64,MATCH(B679,Batches!$A$5:$A$64,0))),"")))</f>
        <v/>
      </c>
      <c r="X679" s="23"/>
      <c r="Y679" s="23"/>
      <c r="Z679" s="26"/>
      <c r="AA679" s="27" t="str">
        <f aca="false">IF(R679="","",IF(X679="Not accepted",R679,IF(OR(X679="Accepted",X679="Withdrawn by hospital"),IF(X679="Accepted",0,R679),IF(ISNUMBER(Z679),R679-Z679,""))))</f>
        <v/>
      </c>
      <c r="AB679" s="23"/>
      <c r="AC679" s="25"/>
      <c r="AD679" s="23"/>
      <c r="AE679" s="23"/>
      <c r="AF679" s="24"/>
      <c r="AG679" s="23"/>
      <c r="AH679" s="24"/>
      <c r="AI679" s="29" t="str">
        <f aca="false">IF(X679="Not accepted","Maintained",IF(X679="Partially accepted","Partially maintained",IF(X679="Accepted","Reversed",IF(X679="Withdrawn by hospital","Withdrawn by hospital",""))))</f>
        <v/>
      </c>
      <c r="AJ679" s="28" t="str">
        <f aca="false">IF(AI679="","",W679)</f>
        <v/>
      </c>
      <c r="AK679" s="29" t="str">
        <f aca="false">IF(AND(ISNUMBER(T679),ISNUMBER(W679)),W679-T679,"")</f>
        <v/>
      </c>
      <c r="AL679" s="29" t="str">
        <f aca="false">IF(A679="","",SUMIF(Actions!$C$5:$C$1004,A679,Actions!$F$5:$F$1004))</f>
        <v/>
      </c>
      <c r="AM679" s="25"/>
    </row>
    <row r="680" customFormat="false" ht="15" hidden="false" customHeight="false" outlineLevel="0" collapsed="false">
      <c r="A680" s="23"/>
      <c r="B680" s="23"/>
      <c r="C680" s="23"/>
      <c r="D680" s="23"/>
      <c r="E680" s="23"/>
      <c r="F680" s="23"/>
      <c r="G680" s="23"/>
      <c r="H680" s="23"/>
      <c r="I680" s="23"/>
      <c r="J680" s="23"/>
      <c r="K680" s="24"/>
      <c r="L680" s="23"/>
      <c r="M680" s="25"/>
      <c r="N680" s="25"/>
      <c r="O680" s="23"/>
      <c r="P680" s="26"/>
      <c r="Q680" s="26"/>
      <c r="R680" s="27" t="str">
        <f aca="false">IF(AND(ISNUMBER(P680),ISNUMBER(Q680)),P680-Q680,"")</f>
        <v/>
      </c>
      <c r="S680" s="24"/>
      <c r="T680" s="28" t="str">
        <f aca="false">IF(S680&lt;&gt;"",S680,IF(B680="","",IFERROR(IF(INDEX(Batches!$G$5:$G$64,MATCH(B680,Batches!$A$5:$A$64,0))="","",INDEX(Batches!$G$5:$G$64,MATCH(B680,Batches!$A$5:$A$64,0))),"")))</f>
        <v/>
      </c>
      <c r="U680" s="23"/>
      <c r="V680" s="24"/>
      <c r="W680" s="28" t="str">
        <f aca="false">IF(OR(X680="",X680="Pending"),"",IF(V680&lt;&gt;"",V680,IFERROR(IF(INDEX(Batches!$H$5:$H$64,MATCH(B680,Batches!$A$5:$A$64,0))="","",INDEX(Batches!$H$5:$H$64,MATCH(B680,Batches!$A$5:$A$64,0))),"")))</f>
        <v/>
      </c>
      <c r="X680" s="23"/>
      <c r="Y680" s="23"/>
      <c r="Z680" s="26"/>
      <c r="AA680" s="27" t="str">
        <f aca="false">IF(R680="","",IF(X680="Not accepted",R680,IF(OR(X680="Accepted",X680="Withdrawn by hospital"),IF(X680="Accepted",0,R680),IF(ISNUMBER(Z680),R680-Z680,""))))</f>
        <v/>
      </c>
      <c r="AB680" s="23"/>
      <c r="AC680" s="25"/>
      <c r="AD680" s="23"/>
      <c r="AE680" s="23"/>
      <c r="AF680" s="24"/>
      <c r="AG680" s="23"/>
      <c r="AH680" s="24"/>
      <c r="AI680" s="29" t="str">
        <f aca="false">IF(X680="Not accepted","Maintained",IF(X680="Partially accepted","Partially maintained",IF(X680="Accepted","Reversed",IF(X680="Withdrawn by hospital","Withdrawn by hospital",""))))</f>
        <v/>
      </c>
      <c r="AJ680" s="28" t="str">
        <f aca="false">IF(AI680="","",W680)</f>
        <v/>
      </c>
      <c r="AK680" s="29" t="str">
        <f aca="false">IF(AND(ISNUMBER(T680),ISNUMBER(W680)),W680-T680,"")</f>
        <v/>
      </c>
      <c r="AL680" s="29" t="str">
        <f aca="false">IF(A680="","",SUMIF(Actions!$C$5:$C$1004,A680,Actions!$F$5:$F$1004))</f>
        <v/>
      </c>
      <c r="AM680" s="25"/>
    </row>
    <row r="681" customFormat="false" ht="15" hidden="false" customHeight="false" outlineLevel="0" collapsed="false">
      <c r="A681" s="23"/>
      <c r="B681" s="23"/>
      <c r="C681" s="23"/>
      <c r="D681" s="23"/>
      <c r="E681" s="23"/>
      <c r="F681" s="23"/>
      <c r="G681" s="23"/>
      <c r="H681" s="23"/>
      <c r="I681" s="23"/>
      <c r="J681" s="23"/>
      <c r="K681" s="24"/>
      <c r="L681" s="23"/>
      <c r="M681" s="25"/>
      <c r="N681" s="25"/>
      <c r="O681" s="23"/>
      <c r="P681" s="26"/>
      <c r="Q681" s="26"/>
      <c r="R681" s="27" t="str">
        <f aca="false">IF(AND(ISNUMBER(P681),ISNUMBER(Q681)),P681-Q681,"")</f>
        <v/>
      </c>
      <c r="S681" s="24"/>
      <c r="T681" s="28" t="str">
        <f aca="false">IF(S681&lt;&gt;"",S681,IF(B681="","",IFERROR(IF(INDEX(Batches!$G$5:$G$64,MATCH(B681,Batches!$A$5:$A$64,0))="","",INDEX(Batches!$G$5:$G$64,MATCH(B681,Batches!$A$5:$A$64,0))),"")))</f>
        <v/>
      </c>
      <c r="U681" s="23"/>
      <c r="V681" s="24"/>
      <c r="W681" s="28" t="str">
        <f aca="false">IF(OR(X681="",X681="Pending"),"",IF(V681&lt;&gt;"",V681,IFERROR(IF(INDEX(Batches!$H$5:$H$64,MATCH(B681,Batches!$A$5:$A$64,0))="","",INDEX(Batches!$H$5:$H$64,MATCH(B681,Batches!$A$5:$A$64,0))),"")))</f>
        <v/>
      </c>
      <c r="X681" s="23"/>
      <c r="Y681" s="23"/>
      <c r="Z681" s="26"/>
      <c r="AA681" s="27" t="str">
        <f aca="false">IF(R681="","",IF(X681="Not accepted",R681,IF(OR(X681="Accepted",X681="Withdrawn by hospital"),IF(X681="Accepted",0,R681),IF(ISNUMBER(Z681),R681-Z681,""))))</f>
        <v/>
      </c>
      <c r="AB681" s="23"/>
      <c r="AC681" s="25"/>
      <c r="AD681" s="23"/>
      <c r="AE681" s="23"/>
      <c r="AF681" s="24"/>
      <c r="AG681" s="23"/>
      <c r="AH681" s="24"/>
      <c r="AI681" s="29" t="str">
        <f aca="false">IF(X681="Not accepted","Maintained",IF(X681="Partially accepted","Partially maintained",IF(X681="Accepted","Reversed",IF(X681="Withdrawn by hospital","Withdrawn by hospital",""))))</f>
        <v/>
      </c>
      <c r="AJ681" s="28" t="str">
        <f aca="false">IF(AI681="","",W681)</f>
        <v/>
      </c>
      <c r="AK681" s="29" t="str">
        <f aca="false">IF(AND(ISNUMBER(T681),ISNUMBER(W681)),W681-T681,"")</f>
        <v/>
      </c>
      <c r="AL681" s="29" t="str">
        <f aca="false">IF(A681="","",SUMIF(Actions!$C$5:$C$1004,A681,Actions!$F$5:$F$1004))</f>
        <v/>
      </c>
      <c r="AM681" s="25"/>
    </row>
    <row r="682" customFormat="false" ht="15" hidden="false" customHeight="false" outlineLevel="0" collapsed="false">
      <c r="A682" s="23"/>
      <c r="B682" s="23"/>
      <c r="C682" s="23"/>
      <c r="D682" s="23"/>
      <c r="E682" s="23"/>
      <c r="F682" s="23"/>
      <c r="G682" s="23"/>
      <c r="H682" s="23"/>
      <c r="I682" s="23"/>
      <c r="J682" s="23"/>
      <c r="K682" s="24"/>
      <c r="L682" s="23"/>
      <c r="M682" s="25"/>
      <c r="N682" s="25"/>
      <c r="O682" s="23"/>
      <c r="P682" s="26"/>
      <c r="Q682" s="26"/>
      <c r="R682" s="27" t="str">
        <f aca="false">IF(AND(ISNUMBER(P682),ISNUMBER(Q682)),P682-Q682,"")</f>
        <v/>
      </c>
      <c r="S682" s="24"/>
      <c r="T682" s="28" t="str">
        <f aca="false">IF(S682&lt;&gt;"",S682,IF(B682="","",IFERROR(IF(INDEX(Batches!$G$5:$G$64,MATCH(B682,Batches!$A$5:$A$64,0))="","",INDEX(Batches!$G$5:$G$64,MATCH(B682,Batches!$A$5:$A$64,0))),"")))</f>
        <v/>
      </c>
      <c r="U682" s="23"/>
      <c r="V682" s="24"/>
      <c r="W682" s="28" t="str">
        <f aca="false">IF(OR(X682="",X682="Pending"),"",IF(V682&lt;&gt;"",V682,IFERROR(IF(INDEX(Batches!$H$5:$H$64,MATCH(B682,Batches!$A$5:$A$64,0))="","",INDEX(Batches!$H$5:$H$64,MATCH(B682,Batches!$A$5:$A$64,0))),"")))</f>
        <v/>
      </c>
      <c r="X682" s="23"/>
      <c r="Y682" s="23"/>
      <c r="Z682" s="26"/>
      <c r="AA682" s="27" t="str">
        <f aca="false">IF(R682="","",IF(X682="Not accepted",R682,IF(OR(X682="Accepted",X682="Withdrawn by hospital"),IF(X682="Accepted",0,R682),IF(ISNUMBER(Z682),R682-Z682,""))))</f>
        <v/>
      </c>
      <c r="AB682" s="23"/>
      <c r="AC682" s="25"/>
      <c r="AD682" s="23"/>
      <c r="AE682" s="23"/>
      <c r="AF682" s="24"/>
      <c r="AG682" s="23"/>
      <c r="AH682" s="24"/>
      <c r="AI682" s="29" t="str">
        <f aca="false">IF(X682="Not accepted","Maintained",IF(X682="Partially accepted","Partially maintained",IF(X682="Accepted","Reversed",IF(X682="Withdrawn by hospital","Withdrawn by hospital",""))))</f>
        <v/>
      </c>
      <c r="AJ682" s="28" t="str">
        <f aca="false">IF(AI682="","",W682)</f>
        <v/>
      </c>
      <c r="AK682" s="29" t="str">
        <f aca="false">IF(AND(ISNUMBER(T682),ISNUMBER(W682)),W682-T682,"")</f>
        <v/>
      </c>
      <c r="AL682" s="29" t="str">
        <f aca="false">IF(A682="","",SUMIF(Actions!$C$5:$C$1004,A682,Actions!$F$5:$F$1004))</f>
        <v/>
      </c>
      <c r="AM682" s="25"/>
    </row>
    <row r="683" customFormat="false" ht="15" hidden="false" customHeight="false" outlineLevel="0" collapsed="false">
      <c r="A683" s="23"/>
      <c r="B683" s="23"/>
      <c r="C683" s="23"/>
      <c r="D683" s="23"/>
      <c r="E683" s="23"/>
      <c r="F683" s="23"/>
      <c r="G683" s="23"/>
      <c r="H683" s="23"/>
      <c r="I683" s="23"/>
      <c r="J683" s="23"/>
      <c r="K683" s="24"/>
      <c r="L683" s="23"/>
      <c r="M683" s="25"/>
      <c r="N683" s="25"/>
      <c r="O683" s="23"/>
      <c r="P683" s="26"/>
      <c r="Q683" s="26"/>
      <c r="R683" s="27" t="str">
        <f aca="false">IF(AND(ISNUMBER(P683),ISNUMBER(Q683)),P683-Q683,"")</f>
        <v/>
      </c>
      <c r="S683" s="24"/>
      <c r="T683" s="28" t="str">
        <f aca="false">IF(S683&lt;&gt;"",S683,IF(B683="","",IFERROR(IF(INDEX(Batches!$G$5:$G$64,MATCH(B683,Batches!$A$5:$A$64,0))="","",INDEX(Batches!$G$5:$G$64,MATCH(B683,Batches!$A$5:$A$64,0))),"")))</f>
        <v/>
      </c>
      <c r="U683" s="23"/>
      <c r="V683" s="24"/>
      <c r="W683" s="28" t="str">
        <f aca="false">IF(OR(X683="",X683="Pending"),"",IF(V683&lt;&gt;"",V683,IFERROR(IF(INDEX(Batches!$H$5:$H$64,MATCH(B683,Batches!$A$5:$A$64,0))="","",INDEX(Batches!$H$5:$H$64,MATCH(B683,Batches!$A$5:$A$64,0))),"")))</f>
        <v/>
      </c>
      <c r="X683" s="23"/>
      <c r="Y683" s="23"/>
      <c r="Z683" s="26"/>
      <c r="AA683" s="27" t="str">
        <f aca="false">IF(R683="","",IF(X683="Not accepted",R683,IF(OR(X683="Accepted",X683="Withdrawn by hospital"),IF(X683="Accepted",0,R683),IF(ISNUMBER(Z683),R683-Z683,""))))</f>
        <v/>
      </c>
      <c r="AB683" s="23"/>
      <c r="AC683" s="25"/>
      <c r="AD683" s="23"/>
      <c r="AE683" s="23"/>
      <c r="AF683" s="24"/>
      <c r="AG683" s="23"/>
      <c r="AH683" s="24"/>
      <c r="AI683" s="29" t="str">
        <f aca="false">IF(X683="Not accepted","Maintained",IF(X683="Partially accepted","Partially maintained",IF(X683="Accepted","Reversed",IF(X683="Withdrawn by hospital","Withdrawn by hospital",""))))</f>
        <v/>
      </c>
      <c r="AJ683" s="28" t="str">
        <f aca="false">IF(AI683="","",W683)</f>
        <v/>
      </c>
      <c r="AK683" s="29" t="str">
        <f aca="false">IF(AND(ISNUMBER(T683),ISNUMBER(W683)),W683-T683,"")</f>
        <v/>
      </c>
      <c r="AL683" s="29" t="str">
        <f aca="false">IF(A683="","",SUMIF(Actions!$C$5:$C$1004,A683,Actions!$F$5:$F$1004))</f>
        <v/>
      </c>
      <c r="AM683" s="25"/>
    </row>
    <row r="684" customFormat="false" ht="15" hidden="false" customHeight="false" outlineLevel="0" collapsed="false">
      <c r="A684" s="23"/>
      <c r="B684" s="23"/>
      <c r="C684" s="23"/>
      <c r="D684" s="23"/>
      <c r="E684" s="23"/>
      <c r="F684" s="23"/>
      <c r="G684" s="23"/>
      <c r="H684" s="23"/>
      <c r="I684" s="23"/>
      <c r="J684" s="23"/>
      <c r="K684" s="24"/>
      <c r="L684" s="23"/>
      <c r="M684" s="25"/>
      <c r="N684" s="25"/>
      <c r="O684" s="23"/>
      <c r="P684" s="26"/>
      <c r="Q684" s="26"/>
      <c r="R684" s="27" t="str">
        <f aca="false">IF(AND(ISNUMBER(P684),ISNUMBER(Q684)),P684-Q684,"")</f>
        <v/>
      </c>
      <c r="S684" s="24"/>
      <c r="T684" s="28" t="str">
        <f aca="false">IF(S684&lt;&gt;"",S684,IF(B684="","",IFERROR(IF(INDEX(Batches!$G$5:$G$64,MATCH(B684,Batches!$A$5:$A$64,0))="","",INDEX(Batches!$G$5:$G$64,MATCH(B684,Batches!$A$5:$A$64,0))),"")))</f>
        <v/>
      </c>
      <c r="U684" s="23"/>
      <c r="V684" s="24"/>
      <c r="W684" s="28" t="str">
        <f aca="false">IF(OR(X684="",X684="Pending"),"",IF(V684&lt;&gt;"",V684,IFERROR(IF(INDEX(Batches!$H$5:$H$64,MATCH(B684,Batches!$A$5:$A$64,0))="","",INDEX(Batches!$H$5:$H$64,MATCH(B684,Batches!$A$5:$A$64,0))),"")))</f>
        <v/>
      </c>
      <c r="X684" s="23"/>
      <c r="Y684" s="23"/>
      <c r="Z684" s="26"/>
      <c r="AA684" s="27" t="str">
        <f aca="false">IF(R684="","",IF(X684="Not accepted",R684,IF(OR(X684="Accepted",X684="Withdrawn by hospital"),IF(X684="Accepted",0,R684),IF(ISNUMBER(Z684),R684-Z684,""))))</f>
        <v/>
      </c>
      <c r="AB684" s="23"/>
      <c r="AC684" s="25"/>
      <c r="AD684" s="23"/>
      <c r="AE684" s="23"/>
      <c r="AF684" s="24"/>
      <c r="AG684" s="23"/>
      <c r="AH684" s="24"/>
      <c r="AI684" s="29" t="str">
        <f aca="false">IF(X684="Not accepted","Maintained",IF(X684="Partially accepted","Partially maintained",IF(X684="Accepted","Reversed",IF(X684="Withdrawn by hospital","Withdrawn by hospital",""))))</f>
        <v/>
      </c>
      <c r="AJ684" s="28" t="str">
        <f aca="false">IF(AI684="","",W684)</f>
        <v/>
      </c>
      <c r="AK684" s="29" t="str">
        <f aca="false">IF(AND(ISNUMBER(T684),ISNUMBER(W684)),W684-T684,"")</f>
        <v/>
      </c>
      <c r="AL684" s="29" t="str">
        <f aca="false">IF(A684="","",SUMIF(Actions!$C$5:$C$1004,A684,Actions!$F$5:$F$1004))</f>
        <v/>
      </c>
      <c r="AM684" s="25"/>
    </row>
    <row r="685" customFormat="false" ht="15" hidden="false" customHeight="false" outlineLevel="0" collapsed="false">
      <c r="A685" s="23"/>
      <c r="B685" s="23"/>
      <c r="C685" s="23"/>
      <c r="D685" s="23"/>
      <c r="E685" s="23"/>
      <c r="F685" s="23"/>
      <c r="G685" s="23"/>
      <c r="H685" s="23"/>
      <c r="I685" s="23"/>
      <c r="J685" s="23"/>
      <c r="K685" s="24"/>
      <c r="L685" s="23"/>
      <c r="M685" s="25"/>
      <c r="N685" s="25"/>
      <c r="O685" s="23"/>
      <c r="P685" s="26"/>
      <c r="Q685" s="26"/>
      <c r="R685" s="27" t="str">
        <f aca="false">IF(AND(ISNUMBER(P685),ISNUMBER(Q685)),P685-Q685,"")</f>
        <v/>
      </c>
      <c r="S685" s="24"/>
      <c r="T685" s="28" t="str">
        <f aca="false">IF(S685&lt;&gt;"",S685,IF(B685="","",IFERROR(IF(INDEX(Batches!$G$5:$G$64,MATCH(B685,Batches!$A$5:$A$64,0))="","",INDEX(Batches!$G$5:$G$64,MATCH(B685,Batches!$A$5:$A$64,0))),"")))</f>
        <v/>
      </c>
      <c r="U685" s="23"/>
      <c r="V685" s="24"/>
      <c r="W685" s="28" t="str">
        <f aca="false">IF(OR(X685="",X685="Pending"),"",IF(V685&lt;&gt;"",V685,IFERROR(IF(INDEX(Batches!$H$5:$H$64,MATCH(B685,Batches!$A$5:$A$64,0))="","",INDEX(Batches!$H$5:$H$64,MATCH(B685,Batches!$A$5:$A$64,0))),"")))</f>
        <v/>
      </c>
      <c r="X685" s="23"/>
      <c r="Y685" s="23"/>
      <c r="Z685" s="26"/>
      <c r="AA685" s="27" t="str">
        <f aca="false">IF(R685="","",IF(X685="Not accepted",R685,IF(OR(X685="Accepted",X685="Withdrawn by hospital"),IF(X685="Accepted",0,R685),IF(ISNUMBER(Z685),R685-Z685,""))))</f>
        <v/>
      </c>
      <c r="AB685" s="23"/>
      <c r="AC685" s="25"/>
      <c r="AD685" s="23"/>
      <c r="AE685" s="23"/>
      <c r="AF685" s="24"/>
      <c r="AG685" s="23"/>
      <c r="AH685" s="24"/>
      <c r="AI685" s="29" t="str">
        <f aca="false">IF(X685="Not accepted","Maintained",IF(X685="Partially accepted","Partially maintained",IF(X685="Accepted","Reversed",IF(X685="Withdrawn by hospital","Withdrawn by hospital",""))))</f>
        <v/>
      </c>
      <c r="AJ685" s="28" t="str">
        <f aca="false">IF(AI685="","",W685)</f>
        <v/>
      </c>
      <c r="AK685" s="29" t="str">
        <f aca="false">IF(AND(ISNUMBER(T685),ISNUMBER(W685)),W685-T685,"")</f>
        <v/>
      </c>
      <c r="AL685" s="29" t="str">
        <f aca="false">IF(A685="","",SUMIF(Actions!$C$5:$C$1004,A685,Actions!$F$5:$F$1004))</f>
        <v/>
      </c>
      <c r="AM685" s="25"/>
    </row>
    <row r="686" customFormat="false" ht="15" hidden="false" customHeight="false" outlineLevel="0" collapsed="false">
      <c r="A686" s="23"/>
      <c r="B686" s="23"/>
      <c r="C686" s="23"/>
      <c r="D686" s="23"/>
      <c r="E686" s="23"/>
      <c r="F686" s="23"/>
      <c r="G686" s="23"/>
      <c r="H686" s="23"/>
      <c r="I686" s="23"/>
      <c r="J686" s="23"/>
      <c r="K686" s="24"/>
      <c r="L686" s="23"/>
      <c r="M686" s="25"/>
      <c r="N686" s="25"/>
      <c r="O686" s="23"/>
      <c r="P686" s="26"/>
      <c r="Q686" s="26"/>
      <c r="R686" s="27" t="str">
        <f aca="false">IF(AND(ISNUMBER(P686),ISNUMBER(Q686)),P686-Q686,"")</f>
        <v/>
      </c>
      <c r="S686" s="24"/>
      <c r="T686" s="28" t="str">
        <f aca="false">IF(S686&lt;&gt;"",S686,IF(B686="","",IFERROR(IF(INDEX(Batches!$G$5:$G$64,MATCH(B686,Batches!$A$5:$A$64,0))="","",INDEX(Batches!$G$5:$G$64,MATCH(B686,Batches!$A$5:$A$64,0))),"")))</f>
        <v/>
      </c>
      <c r="U686" s="23"/>
      <c r="V686" s="24"/>
      <c r="W686" s="28" t="str">
        <f aca="false">IF(OR(X686="",X686="Pending"),"",IF(V686&lt;&gt;"",V686,IFERROR(IF(INDEX(Batches!$H$5:$H$64,MATCH(B686,Batches!$A$5:$A$64,0))="","",INDEX(Batches!$H$5:$H$64,MATCH(B686,Batches!$A$5:$A$64,0))),"")))</f>
        <v/>
      </c>
      <c r="X686" s="23"/>
      <c r="Y686" s="23"/>
      <c r="Z686" s="26"/>
      <c r="AA686" s="27" t="str">
        <f aca="false">IF(R686="","",IF(X686="Not accepted",R686,IF(OR(X686="Accepted",X686="Withdrawn by hospital"),IF(X686="Accepted",0,R686),IF(ISNUMBER(Z686),R686-Z686,""))))</f>
        <v/>
      </c>
      <c r="AB686" s="23"/>
      <c r="AC686" s="25"/>
      <c r="AD686" s="23"/>
      <c r="AE686" s="23"/>
      <c r="AF686" s="24"/>
      <c r="AG686" s="23"/>
      <c r="AH686" s="24"/>
      <c r="AI686" s="29" t="str">
        <f aca="false">IF(X686="Not accepted","Maintained",IF(X686="Partially accepted","Partially maintained",IF(X686="Accepted","Reversed",IF(X686="Withdrawn by hospital","Withdrawn by hospital",""))))</f>
        <v/>
      </c>
      <c r="AJ686" s="28" t="str">
        <f aca="false">IF(AI686="","",W686)</f>
        <v/>
      </c>
      <c r="AK686" s="29" t="str">
        <f aca="false">IF(AND(ISNUMBER(T686),ISNUMBER(W686)),W686-T686,"")</f>
        <v/>
      </c>
      <c r="AL686" s="29" t="str">
        <f aca="false">IF(A686="","",SUMIF(Actions!$C$5:$C$1004,A686,Actions!$F$5:$F$1004))</f>
        <v/>
      </c>
      <c r="AM686" s="25"/>
    </row>
    <row r="687" customFormat="false" ht="15" hidden="false" customHeight="false" outlineLevel="0" collapsed="false">
      <c r="A687" s="23"/>
      <c r="B687" s="23"/>
      <c r="C687" s="23"/>
      <c r="D687" s="23"/>
      <c r="E687" s="23"/>
      <c r="F687" s="23"/>
      <c r="G687" s="23"/>
      <c r="H687" s="23"/>
      <c r="I687" s="23"/>
      <c r="J687" s="23"/>
      <c r="K687" s="24"/>
      <c r="L687" s="23"/>
      <c r="M687" s="25"/>
      <c r="N687" s="25"/>
      <c r="O687" s="23"/>
      <c r="P687" s="26"/>
      <c r="Q687" s="26"/>
      <c r="R687" s="27" t="str">
        <f aca="false">IF(AND(ISNUMBER(P687),ISNUMBER(Q687)),P687-Q687,"")</f>
        <v/>
      </c>
      <c r="S687" s="24"/>
      <c r="T687" s="28" t="str">
        <f aca="false">IF(S687&lt;&gt;"",S687,IF(B687="","",IFERROR(IF(INDEX(Batches!$G$5:$G$64,MATCH(B687,Batches!$A$5:$A$64,0))="","",INDEX(Batches!$G$5:$G$64,MATCH(B687,Batches!$A$5:$A$64,0))),"")))</f>
        <v/>
      </c>
      <c r="U687" s="23"/>
      <c r="V687" s="24"/>
      <c r="W687" s="28" t="str">
        <f aca="false">IF(OR(X687="",X687="Pending"),"",IF(V687&lt;&gt;"",V687,IFERROR(IF(INDEX(Batches!$H$5:$H$64,MATCH(B687,Batches!$A$5:$A$64,0))="","",INDEX(Batches!$H$5:$H$64,MATCH(B687,Batches!$A$5:$A$64,0))),"")))</f>
        <v/>
      </c>
      <c r="X687" s="23"/>
      <c r="Y687" s="23"/>
      <c r="Z687" s="26"/>
      <c r="AA687" s="27" t="str">
        <f aca="false">IF(R687="","",IF(X687="Not accepted",R687,IF(OR(X687="Accepted",X687="Withdrawn by hospital"),IF(X687="Accepted",0,R687),IF(ISNUMBER(Z687),R687-Z687,""))))</f>
        <v/>
      </c>
      <c r="AB687" s="23"/>
      <c r="AC687" s="25"/>
      <c r="AD687" s="23"/>
      <c r="AE687" s="23"/>
      <c r="AF687" s="24"/>
      <c r="AG687" s="23"/>
      <c r="AH687" s="24"/>
      <c r="AI687" s="29" t="str">
        <f aca="false">IF(X687="Not accepted","Maintained",IF(X687="Partially accepted","Partially maintained",IF(X687="Accepted","Reversed",IF(X687="Withdrawn by hospital","Withdrawn by hospital",""))))</f>
        <v/>
      </c>
      <c r="AJ687" s="28" t="str">
        <f aca="false">IF(AI687="","",W687)</f>
        <v/>
      </c>
      <c r="AK687" s="29" t="str">
        <f aca="false">IF(AND(ISNUMBER(T687),ISNUMBER(W687)),W687-T687,"")</f>
        <v/>
      </c>
      <c r="AL687" s="29" t="str">
        <f aca="false">IF(A687="","",SUMIF(Actions!$C$5:$C$1004,A687,Actions!$F$5:$F$1004))</f>
        <v/>
      </c>
      <c r="AM687" s="25"/>
    </row>
    <row r="688" customFormat="false" ht="15" hidden="false" customHeight="false" outlineLevel="0" collapsed="false">
      <c r="A688" s="23"/>
      <c r="B688" s="23"/>
      <c r="C688" s="23"/>
      <c r="D688" s="23"/>
      <c r="E688" s="23"/>
      <c r="F688" s="23"/>
      <c r="G688" s="23"/>
      <c r="H688" s="23"/>
      <c r="I688" s="23"/>
      <c r="J688" s="23"/>
      <c r="K688" s="24"/>
      <c r="L688" s="23"/>
      <c r="M688" s="25"/>
      <c r="N688" s="25"/>
      <c r="O688" s="23"/>
      <c r="P688" s="26"/>
      <c r="Q688" s="26"/>
      <c r="R688" s="27" t="str">
        <f aca="false">IF(AND(ISNUMBER(P688),ISNUMBER(Q688)),P688-Q688,"")</f>
        <v/>
      </c>
      <c r="S688" s="24"/>
      <c r="T688" s="28" t="str">
        <f aca="false">IF(S688&lt;&gt;"",S688,IF(B688="","",IFERROR(IF(INDEX(Batches!$G$5:$G$64,MATCH(B688,Batches!$A$5:$A$64,0))="","",INDEX(Batches!$G$5:$G$64,MATCH(B688,Batches!$A$5:$A$64,0))),"")))</f>
        <v/>
      </c>
      <c r="U688" s="23"/>
      <c r="V688" s="24"/>
      <c r="W688" s="28" t="str">
        <f aca="false">IF(OR(X688="",X688="Pending"),"",IF(V688&lt;&gt;"",V688,IFERROR(IF(INDEX(Batches!$H$5:$H$64,MATCH(B688,Batches!$A$5:$A$64,0))="","",INDEX(Batches!$H$5:$H$64,MATCH(B688,Batches!$A$5:$A$64,0))),"")))</f>
        <v/>
      </c>
      <c r="X688" s="23"/>
      <c r="Y688" s="23"/>
      <c r="Z688" s="26"/>
      <c r="AA688" s="27" t="str">
        <f aca="false">IF(R688="","",IF(X688="Not accepted",R688,IF(OR(X688="Accepted",X688="Withdrawn by hospital"),IF(X688="Accepted",0,R688),IF(ISNUMBER(Z688),R688-Z688,""))))</f>
        <v/>
      </c>
      <c r="AB688" s="23"/>
      <c r="AC688" s="25"/>
      <c r="AD688" s="23"/>
      <c r="AE688" s="23"/>
      <c r="AF688" s="24"/>
      <c r="AG688" s="23"/>
      <c r="AH688" s="24"/>
      <c r="AI688" s="29" t="str">
        <f aca="false">IF(X688="Not accepted","Maintained",IF(X688="Partially accepted","Partially maintained",IF(X688="Accepted","Reversed",IF(X688="Withdrawn by hospital","Withdrawn by hospital",""))))</f>
        <v/>
      </c>
      <c r="AJ688" s="28" t="str">
        <f aca="false">IF(AI688="","",W688)</f>
        <v/>
      </c>
      <c r="AK688" s="29" t="str">
        <f aca="false">IF(AND(ISNUMBER(T688),ISNUMBER(W688)),W688-T688,"")</f>
        <v/>
      </c>
      <c r="AL688" s="29" t="str">
        <f aca="false">IF(A688="","",SUMIF(Actions!$C$5:$C$1004,A688,Actions!$F$5:$F$1004))</f>
        <v/>
      </c>
      <c r="AM688" s="25"/>
    </row>
    <row r="689" customFormat="false" ht="15" hidden="false" customHeight="false" outlineLevel="0" collapsed="false">
      <c r="A689" s="23"/>
      <c r="B689" s="23"/>
      <c r="C689" s="23"/>
      <c r="D689" s="23"/>
      <c r="E689" s="23"/>
      <c r="F689" s="23"/>
      <c r="G689" s="23"/>
      <c r="H689" s="23"/>
      <c r="I689" s="23"/>
      <c r="J689" s="23"/>
      <c r="K689" s="24"/>
      <c r="L689" s="23"/>
      <c r="M689" s="25"/>
      <c r="N689" s="25"/>
      <c r="O689" s="23"/>
      <c r="P689" s="26"/>
      <c r="Q689" s="26"/>
      <c r="R689" s="27" t="str">
        <f aca="false">IF(AND(ISNUMBER(P689),ISNUMBER(Q689)),P689-Q689,"")</f>
        <v/>
      </c>
      <c r="S689" s="24"/>
      <c r="T689" s="28" t="str">
        <f aca="false">IF(S689&lt;&gt;"",S689,IF(B689="","",IFERROR(IF(INDEX(Batches!$G$5:$G$64,MATCH(B689,Batches!$A$5:$A$64,0))="","",INDEX(Batches!$G$5:$G$64,MATCH(B689,Batches!$A$5:$A$64,0))),"")))</f>
        <v/>
      </c>
      <c r="U689" s="23"/>
      <c r="V689" s="24"/>
      <c r="W689" s="28" t="str">
        <f aca="false">IF(OR(X689="",X689="Pending"),"",IF(V689&lt;&gt;"",V689,IFERROR(IF(INDEX(Batches!$H$5:$H$64,MATCH(B689,Batches!$A$5:$A$64,0))="","",INDEX(Batches!$H$5:$H$64,MATCH(B689,Batches!$A$5:$A$64,0))),"")))</f>
        <v/>
      </c>
      <c r="X689" s="23"/>
      <c r="Y689" s="23"/>
      <c r="Z689" s="26"/>
      <c r="AA689" s="27" t="str">
        <f aca="false">IF(R689="","",IF(X689="Not accepted",R689,IF(OR(X689="Accepted",X689="Withdrawn by hospital"),IF(X689="Accepted",0,R689),IF(ISNUMBER(Z689),R689-Z689,""))))</f>
        <v/>
      </c>
      <c r="AB689" s="23"/>
      <c r="AC689" s="25"/>
      <c r="AD689" s="23"/>
      <c r="AE689" s="23"/>
      <c r="AF689" s="24"/>
      <c r="AG689" s="23"/>
      <c r="AH689" s="24"/>
      <c r="AI689" s="29" t="str">
        <f aca="false">IF(X689="Not accepted","Maintained",IF(X689="Partially accepted","Partially maintained",IF(X689="Accepted","Reversed",IF(X689="Withdrawn by hospital","Withdrawn by hospital",""))))</f>
        <v/>
      </c>
      <c r="AJ689" s="28" t="str">
        <f aca="false">IF(AI689="","",W689)</f>
        <v/>
      </c>
      <c r="AK689" s="29" t="str">
        <f aca="false">IF(AND(ISNUMBER(T689),ISNUMBER(W689)),W689-T689,"")</f>
        <v/>
      </c>
      <c r="AL689" s="29" t="str">
        <f aca="false">IF(A689="","",SUMIF(Actions!$C$5:$C$1004,A689,Actions!$F$5:$F$1004))</f>
        <v/>
      </c>
      <c r="AM689" s="25"/>
    </row>
    <row r="690" customFormat="false" ht="15" hidden="false" customHeight="false" outlineLevel="0" collapsed="false">
      <c r="A690" s="23"/>
      <c r="B690" s="23"/>
      <c r="C690" s="23"/>
      <c r="D690" s="23"/>
      <c r="E690" s="23"/>
      <c r="F690" s="23"/>
      <c r="G690" s="23"/>
      <c r="H690" s="23"/>
      <c r="I690" s="23"/>
      <c r="J690" s="23"/>
      <c r="K690" s="24"/>
      <c r="L690" s="23"/>
      <c r="M690" s="25"/>
      <c r="N690" s="25"/>
      <c r="O690" s="23"/>
      <c r="P690" s="26"/>
      <c r="Q690" s="26"/>
      <c r="R690" s="27" t="str">
        <f aca="false">IF(AND(ISNUMBER(P690),ISNUMBER(Q690)),P690-Q690,"")</f>
        <v/>
      </c>
      <c r="S690" s="24"/>
      <c r="T690" s="28" t="str">
        <f aca="false">IF(S690&lt;&gt;"",S690,IF(B690="","",IFERROR(IF(INDEX(Batches!$G$5:$G$64,MATCH(B690,Batches!$A$5:$A$64,0))="","",INDEX(Batches!$G$5:$G$64,MATCH(B690,Batches!$A$5:$A$64,0))),"")))</f>
        <v/>
      </c>
      <c r="U690" s="23"/>
      <c r="V690" s="24"/>
      <c r="W690" s="28" t="str">
        <f aca="false">IF(OR(X690="",X690="Pending"),"",IF(V690&lt;&gt;"",V690,IFERROR(IF(INDEX(Batches!$H$5:$H$64,MATCH(B690,Batches!$A$5:$A$64,0))="","",INDEX(Batches!$H$5:$H$64,MATCH(B690,Batches!$A$5:$A$64,0))),"")))</f>
        <v/>
      </c>
      <c r="X690" s="23"/>
      <c r="Y690" s="23"/>
      <c r="Z690" s="26"/>
      <c r="AA690" s="27" t="str">
        <f aca="false">IF(R690="","",IF(X690="Not accepted",R690,IF(OR(X690="Accepted",X690="Withdrawn by hospital"),IF(X690="Accepted",0,R690),IF(ISNUMBER(Z690),R690-Z690,""))))</f>
        <v/>
      </c>
      <c r="AB690" s="23"/>
      <c r="AC690" s="25"/>
      <c r="AD690" s="23"/>
      <c r="AE690" s="23"/>
      <c r="AF690" s="24"/>
      <c r="AG690" s="23"/>
      <c r="AH690" s="24"/>
      <c r="AI690" s="29" t="str">
        <f aca="false">IF(X690="Not accepted","Maintained",IF(X690="Partially accepted","Partially maintained",IF(X690="Accepted","Reversed",IF(X690="Withdrawn by hospital","Withdrawn by hospital",""))))</f>
        <v/>
      </c>
      <c r="AJ690" s="28" t="str">
        <f aca="false">IF(AI690="","",W690)</f>
        <v/>
      </c>
      <c r="AK690" s="29" t="str">
        <f aca="false">IF(AND(ISNUMBER(T690),ISNUMBER(W690)),W690-T690,"")</f>
        <v/>
      </c>
      <c r="AL690" s="29" t="str">
        <f aca="false">IF(A690="","",SUMIF(Actions!$C$5:$C$1004,A690,Actions!$F$5:$F$1004))</f>
        <v/>
      </c>
      <c r="AM690" s="25"/>
    </row>
    <row r="691" customFormat="false" ht="15" hidden="false" customHeight="false" outlineLevel="0" collapsed="false">
      <c r="A691" s="23"/>
      <c r="B691" s="23"/>
      <c r="C691" s="23"/>
      <c r="D691" s="23"/>
      <c r="E691" s="23"/>
      <c r="F691" s="23"/>
      <c r="G691" s="23"/>
      <c r="H691" s="23"/>
      <c r="I691" s="23"/>
      <c r="J691" s="23"/>
      <c r="K691" s="24"/>
      <c r="L691" s="23"/>
      <c r="M691" s="25"/>
      <c r="N691" s="25"/>
      <c r="O691" s="23"/>
      <c r="P691" s="26"/>
      <c r="Q691" s="26"/>
      <c r="R691" s="27" t="str">
        <f aca="false">IF(AND(ISNUMBER(P691),ISNUMBER(Q691)),P691-Q691,"")</f>
        <v/>
      </c>
      <c r="S691" s="24"/>
      <c r="T691" s="28" t="str">
        <f aca="false">IF(S691&lt;&gt;"",S691,IF(B691="","",IFERROR(IF(INDEX(Batches!$G$5:$G$64,MATCH(B691,Batches!$A$5:$A$64,0))="","",INDEX(Batches!$G$5:$G$64,MATCH(B691,Batches!$A$5:$A$64,0))),"")))</f>
        <v/>
      </c>
      <c r="U691" s="23"/>
      <c r="V691" s="24"/>
      <c r="W691" s="28" t="str">
        <f aca="false">IF(OR(X691="",X691="Pending"),"",IF(V691&lt;&gt;"",V691,IFERROR(IF(INDEX(Batches!$H$5:$H$64,MATCH(B691,Batches!$A$5:$A$64,0))="","",INDEX(Batches!$H$5:$H$64,MATCH(B691,Batches!$A$5:$A$64,0))),"")))</f>
        <v/>
      </c>
      <c r="X691" s="23"/>
      <c r="Y691" s="23"/>
      <c r="Z691" s="26"/>
      <c r="AA691" s="27" t="str">
        <f aca="false">IF(R691="","",IF(X691="Not accepted",R691,IF(OR(X691="Accepted",X691="Withdrawn by hospital"),IF(X691="Accepted",0,R691),IF(ISNUMBER(Z691),R691-Z691,""))))</f>
        <v/>
      </c>
      <c r="AB691" s="23"/>
      <c r="AC691" s="25"/>
      <c r="AD691" s="23"/>
      <c r="AE691" s="23"/>
      <c r="AF691" s="24"/>
      <c r="AG691" s="23"/>
      <c r="AH691" s="24"/>
      <c r="AI691" s="29" t="str">
        <f aca="false">IF(X691="Not accepted","Maintained",IF(X691="Partially accepted","Partially maintained",IF(X691="Accepted","Reversed",IF(X691="Withdrawn by hospital","Withdrawn by hospital",""))))</f>
        <v/>
      </c>
      <c r="AJ691" s="28" t="str">
        <f aca="false">IF(AI691="","",W691)</f>
        <v/>
      </c>
      <c r="AK691" s="29" t="str">
        <f aca="false">IF(AND(ISNUMBER(T691),ISNUMBER(W691)),W691-T691,"")</f>
        <v/>
      </c>
      <c r="AL691" s="29" t="str">
        <f aca="false">IF(A691="","",SUMIF(Actions!$C$5:$C$1004,A691,Actions!$F$5:$F$1004))</f>
        <v/>
      </c>
      <c r="AM691" s="25"/>
    </row>
    <row r="692" customFormat="false" ht="15" hidden="false" customHeight="false" outlineLevel="0" collapsed="false">
      <c r="A692" s="23"/>
      <c r="B692" s="23"/>
      <c r="C692" s="23"/>
      <c r="D692" s="23"/>
      <c r="E692" s="23"/>
      <c r="F692" s="23"/>
      <c r="G692" s="23"/>
      <c r="H692" s="23"/>
      <c r="I692" s="23"/>
      <c r="J692" s="23"/>
      <c r="K692" s="24"/>
      <c r="L692" s="23"/>
      <c r="M692" s="25"/>
      <c r="N692" s="25"/>
      <c r="O692" s="23"/>
      <c r="P692" s="26"/>
      <c r="Q692" s="26"/>
      <c r="R692" s="27" t="str">
        <f aca="false">IF(AND(ISNUMBER(P692),ISNUMBER(Q692)),P692-Q692,"")</f>
        <v/>
      </c>
      <c r="S692" s="24"/>
      <c r="T692" s="28" t="str">
        <f aca="false">IF(S692&lt;&gt;"",S692,IF(B692="","",IFERROR(IF(INDEX(Batches!$G$5:$G$64,MATCH(B692,Batches!$A$5:$A$64,0))="","",INDEX(Batches!$G$5:$G$64,MATCH(B692,Batches!$A$5:$A$64,0))),"")))</f>
        <v/>
      </c>
      <c r="U692" s="23"/>
      <c r="V692" s="24"/>
      <c r="W692" s="28" t="str">
        <f aca="false">IF(OR(X692="",X692="Pending"),"",IF(V692&lt;&gt;"",V692,IFERROR(IF(INDEX(Batches!$H$5:$H$64,MATCH(B692,Batches!$A$5:$A$64,0))="","",INDEX(Batches!$H$5:$H$64,MATCH(B692,Batches!$A$5:$A$64,0))),"")))</f>
        <v/>
      </c>
      <c r="X692" s="23"/>
      <c r="Y692" s="23"/>
      <c r="Z692" s="26"/>
      <c r="AA692" s="27" t="str">
        <f aca="false">IF(R692="","",IF(X692="Not accepted",R692,IF(OR(X692="Accepted",X692="Withdrawn by hospital"),IF(X692="Accepted",0,R692),IF(ISNUMBER(Z692),R692-Z692,""))))</f>
        <v/>
      </c>
      <c r="AB692" s="23"/>
      <c r="AC692" s="25"/>
      <c r="AD692" s="23"/>
      <c r="AE692" s="23"/>
      <c r="AF692" s="24"/>
      <c r="AG692" s="23"/>
      <c r="AH692" s="24"/>
      <c r="AI692" s="29" t="str">
        <f aca="false">IF(X692="Not accepted","Maintained",IF(X692="Partially accepted","Partially maintained",IF(X692="Accepted","Reversed",IF(X692="Withdrawn by hospital","Withdrawn by hospital",""))))</f>
        <v/>
      </c>
      <c r="AJ692" s="28" t="str">
        <f aca="false">IF(AI692="","",W692)</f>
        <v/>
      </c>
      <c r="AK692" s="29" t="str">
        <f aca="false">IF(AND(ISNUMBER(T692),ISNUMBER(W692)),W692-T692,"")</f>
        <v/>
      </c>
      <c r="AL692" s="29" t="str">
        <f aca="false">IF(A692="","",SUMIF(Actions!$C$5:$C$1004,A692,Actions!$F$5:$F$1004))</f>
        <v/>
      </c>
      <c r="AM692" s="25"/>
    </row>
    <row r="693" customFormat="false" ht="15" hidden="false" customHeight="false" outlineLevel="0" collapsed="false">
      <c r="A693" s="23"/>
      <c r="B693" s="23"/>
      <c r="C693" s="23"/>
      <c r="D693" s="23"/>
      <c r="E693" s="23"/>
      <c r="F693" s="23"/>
      <c r="G693" s="23"/>
      <c r="H693" s="23"/>
      <c r="I693" s="23"/>
      <c r="J693" s="23"/>
      <c r="K693" s="24"/>
      <c r="L693" s="23"/>
      <c r="M693" s="25"/>
      <c r="N693" s="25"/>
      <c r="O693" s="23"/>
      <c r="P693" s="26"/>
      <c r="Q693" s="26"/>
      <c r="R693" s="27" t="str">
        <f aca="false">IF(AND(ISNUMBER(P693),ISNUMBER(Q693)),P693-Q693,"")</f>
        <v/>
      </c>
      <c r="S693" s="24"/>
      <c r="T693" s="28" t="str">
        <f aca="false">IF(S693&lt;&gt;"",S693,IF(B693="","",IFERROR(IF(INDEX(Batches!$G$5:$G$64,MATCH(B693,Batches!$A$5:$A$64,0))="","",INDEX(Batches!$G$5:$G$64,MATCH(B693,Batches!$A$5:$A$64,0))),"")))</f>
        <v/>
      </c>
      <c r="U693" s="23"/>
      <c r="V693" s="24"/>
      <c r="W693" s="28" t="str">
        <f aca="false">IF(OR(X693="",X693="Pending"),"",IF(V693&lt;&gt;"",V693,IFERROR(IF(INDEX(Batches!$H$5:$H$64,MATCH(B693,Batches!$A$5:$A$64,0))="","",INDEX(Batches!$H$5:$H$64,MATCH(B693,Batches!$A$5:$A$64,0))),"")))</f>
        <v/>
      </c>
      <c r="X693" s="23"/>
      <c r="Y693" s="23"/>
      <c r="Z693" s="26"/>
      <c r="AA693" s="27" t="str">
        <f aca="false">IF(R693="","",IF(X693="Not accepted",R693,IF(OR(X693="Accepted",X693="Withdrawn by hospital"),IF(X693="Accepted",0,R693),IF(ISNUMBER(Z693),R693-Z693,""))))</f>
        <v/>
      </c>
      <c r="AB693" s="23"/>
      <c r="AC693" s="25"/>
      <c r="AD693" s="23"/>
      <c r="AE693" s="23"/>
      <c r="AF693" s="24"/>
      <c r="AG693" s="23"/>
      <c r="AH693" s="24"/>
      <c r="AI693" s="29" t="str">
        <f aca="false">IF(X693="Not accepted","Maintained",IF(X693="Partially accepted","Partially maintained",IF(X693="Accepted","Reversed",IF(X693="Withdrawn by hospital","Withdrawn by hospital",""))))</f>
        <v/>
      </c>
      <c r="AJ693" s="28" t="str">
        <f aca="false">IF(AI693="","",W693)</f>
        <v/>
      </c>
      <c r="AK693" s="29" t="str">
        <f aca="false">IF(AND(ISNUMBER(T693),ISNUMBER(W693)),W693-T693,"")</f>
        <v/>
      </c>
      <c r="AL693" s="29" t="str">
        <f aca="false">IF(A693="","",SUMIF(Actions!$C$5:$C$1004,A693,Actions!$F$5:$F$1004))</f>
        <v/>
      </c>
      <c r="AM693" s="25"/>
    </row>
    <row r="694" customFormat="false" ht="15" hidden="false" customHeight="false" outlineLevel="0" collapsed="false">
      <c r="A694" s="23"/>
      <c r="B694" s="23"/>
      <c r="C694" s="23"/>
      <c r="D694" s="23"/>
      <c r="E694" s="23"/>
      <c r="F694" s="23"/>
      <c r="G694" s="23"/>
      <c r="H694" s="23"/>
      <c r="I694" s="23"/>
      <c r="J694" s="23"/>
      <c r="K694" s="24"/>
      <c r="L694" s="23"/>
      <c r="M694" s="25"/>
      <c r="N694" s="25"/>
      <c r="O694" s="23"/>
      <c r="P694" s="26"/>
      <c r="Q694" s="26"/>
      <c r="R694" s="27" t="str">
        <f aca="false">IF(AND(ISNUMBER(P694),ISNUMBER(Q694)),P694-Q694,"")</f>
        <v/>
      </c>
      <c r="S694" s="24"/>
      <c r="T694" s="28" t="str">
        <f aca="false">IF(S694&lt;&gt;"",S694,IF(B694="","",IFERROR(IF(INDEX(Batches!$G$5:$G$64,MATCH(B694,Batches!$A$5:$A$64,0))="","",INDEX(Batches!$G$5:$G$64,MATCH(B694,Batches!$A$5:$A$64,0))),"")))</f>
        <v/>
      </c>
      <c r="U694" s="23"/>
      <c r="V694" s="24"/>
      <c r="W694" s="28" t="str">
        <f aca="false">IF(OR(X694="",X694="Pending"),"",IF(V694&lt;&gt;"",V694,IFERROR(IF(INDEX(Batches!$H$5:$H$64,MATCH(B694,Batches!$A$5:$A$64,0))="","",INDEX(Batches!$H$5:$H$64,MATCH(B694,Batches!$A$5:$A$64,0))),"")))</f>
        <v/>
      </c>
      <c r="X694" s="23"/>
      <c r="Y694" s="23"/>
      <c r="Z694" s="26"/>
      <c r="AA694" s="27" t="str">
        <f aca="false">IF(R694="","",IF(X694="Not accepted",R694,IF(OR(X694="Accepted",X694="Withdrawn by hospital"),IF(X694="Accepted",0,R694),IF(ISNUMBER(Z694),R694-Z694,""))))</f>
        <v/>
      </c>
      <c r="AB694" s="23"/>
      <c r="AC694" s="25"/>
      <c r="AD694" s="23"/>
      <c r="AE694" s="23"/>
      <c r="AF694" s="24"/>
      <c r="AG694" s="23"/>
      <c r="AH694" s="24"/>
      <c r="AI694" s="29" t="str">
        <f aca="false">IF(X694="Not accepted","Maintained",IF(X694="Partially accepted","Partially maintained",IF(X694="Accepted","Reversed",IF(X694="Withdrawn by hospital","Withdrawn by hospital",""))))</f>
        <v/>
      </c>
      <c r="AJ694" s="28" t="str">
        <f aca="false">IF(AI694="","",W694)</f>
        <v/>
      </c>
      <c r="AK694" s="29" t="str">
        <f aca="false">IF(AND(ISNUMBER(T694),ISNUMBER(W694)),W694-T694,"")</f>
        <v/>
      </c>
      <c r="AL694" s="29" t="str">
        <f aca="false">IF(A694="","",SUMIF(Actions!$C$5:$C$1004,A694,Actions!$F$5:$F$1004))</f>
        <v/>
      </c>
      <c r="AM694" s="25"/>
    </row>
    <row r="695" customFormat="false" ht="15" hidden="false" customHeight="false" outlineLevel="0" collapsed="false">
      <c r="A695" s="23"/>
      <c r="B695" s="23"/>
      <c r="C695" s="23"/>
      <c r="D695" s="23"/>
      <c r="E695" s="23"/>
      <c r="F695" s="23"/>
      <c r="G695" s="23"/>
      <c r="H695" s="23"/>
      <c r="I695" s="23"/>
      <c r="J695" s="23"/>
      <c r="K695" s="24"/>
      <c r="L695" s="23"/>
      <c r="M695" s="25"/>
      <c r="N695" s="25"/>
      <c r="O695" s="23"/>
      <c r="P695" s="26"/>
      <c r="Q695" s="26"/>
      <c r="R695" s="27" t="str">
        <f aca="false">IF(AND(ISNUMBER(P695),ISNUMBER(Q695)),P695-Q695,"")</f>
        <v/>
      </c>
      <c r="S695" s="24"/>
      <c r="T695" s="28" t="str">
        <f aca="false">IF(S695&lt;&gt;"",S695,IF(B695="","",IFERROR(IF(INDEX(Batches!$G$5:$G$64,MATCH(B695,Batches!$A$5:$A$64,0))="","",INDEX(Batches!$G$5:$G$64,MATCH(B695,Batches!$A$5:$A$64,0))),"")))</f>
        <v/>
      </c>
      <c r="U695" s="23"/>
      <c r="V695" s="24"/>
      <c r="W695" s="28" t="str">
        <f aca="false">IF(OR(X695="",X695="Pending"),"",IF(V695&lt;&gt;"",V695,IFERROR(IF(INDEX(Batches!$H$5:$H$64,MATCH(B695,Batches!$A$5:$A$64,0))="","",INDEX(Batches!$H$5:$H$64,MATCH(B695,Batches!$A$5:$A$64,0))),"")))</f>
        <v/>
      </c>
      <c r="X695" s="23"/>
      <c r="Y695" s="23"/>
      <c r="Z695" s="26"/>
      <c r="AA695" s="27" t="str">
        <f aca="false">IF(R695="","",IF(X695="Not accepted",R695,IF(OR(X695="Accepted",X695="Withdrawn by hospital"),IF(X695="Accepted",0,R695),IF(ISNUMBER(Z695),R695-Z695,""))))</f>
        <v/>
      </c>
      <c r="AB695" s="23"/>
      <c r="AC695" s="25"/>
      <c r="AD695" s="23"/>
      <c r="AE695" s="23"/>
      <c r="AF695" s="24"/>
      <c r="AG695" s="23"/>
      <c r="AH695" s="24"/>
      <c r="AI695" s="29" t="str">
        <f aca="false">IF(X695="Not accepted","Maintained",IF(X695="Partially accepted","Partially maintained",IF(X695="Accepted","Reversed",IF(X695="Withdrawn by hospital","Withdrawn by hospital",""))))</f>
        <v/>
      </c>
      <c r="AJ695" s="28" t="str">
        <f aca="false">IF(AI695="","",W695)</f>
        <v/>
      </c>
      <c r="AK695" s="29" t="str">
        <f aca="false">IF(AND(ISNUMBER(T695),ISNUMBER(W695)),W695-T695,"")</f>
        <v/>
      </c>
      <c r="AL695" s="29" t="str">
        <f aca="false">IF(A695="","",SUMIF(Actions!$C$5:$C$1004,A695,Actions!$F$5:$F$1004))</f>
        <v/>
      </c>
      <c r="AM695" s="25"/>
    </row>
    <row r="696" customFormat="false" ht="15" hidden="false" customHeight="false" outlineLevel="0" collapsed="false">
      <c r="A696" s="23"/>
      <c r="B696" s="23"/>
      <c r="C696" s="23"/>
      <c r="D696" s="23"/>
      <c r="E696" s="23"/>
      <c r="F696" s="23"/>
      <c r="G696" s="23"/>
      <c r="H696" s="23"/>
      <c r="I696" s="23"/>
      <c r="J696" s="23"/>
      <c r="K696" s="24"/>
      <c r="L696" s="23"/>
      <c r="M696" s="25"/>
      <c r="N696" s="25"/>
      <c r="O696" s="23"/>
      <c r="P696" s="26"/>
      <c r="Q696" s="26"/>
      <c r="R696" s="27" t="str">
        <f aca="false">IF(AND(ISNUMBER(P696),ISNUMBER(Q696)),P696-Q696,"")</f>
        <v/>
      </c>
      <c r="S696" s="24"/>
      <c r="T696" s="28" t="str">
        <f aca="false">IF(S696&lt;&gt;"",S696,IF(B696="","",IFERROR(IF(INDEX(Batches!$G$5:$G$64,MATCH(B696,Batches!$A$5:$A$64,0))="","",INDEX(Batches!$G$5:$G$64,MATCH(B696,Batches!$A$5:$A$64,0))),"")))</f>
        <v/>
      </c>
      <c r="U696" s="23"/>
      <c r="V696" s="24"/>
      <c r="W696" s="28" t="str">
        <f aca="false">IF(OR(X696="",X696="Pending"),"",IF(V696&lt;&gt;"",V696,IFERROR(IF(INDEX(Batches!$H$5:$H$64,MATCH(B696,Batches!$A$5:$A$64,0))="","",INDEX(Batches!$H$5:$H$64,MATCH(B696,Batches!$A$5:$A$64,0))),"")))</f>
        <v/>
      </c>
      <c r="X696" s="23"/>
      <c r="Y696" s="23"/>
      <c r="Z696" s="26"/>
      <c r="AA696" s="27" t="str">
        <f aca="false">IF(R696="","",IF(X696="Not accepted",R696,IF(OR(X696="Accepted",X696="Withdrawn by hospital"),IF(X696="Accepted",0,R696),IF(ISNUMBER(Z696),R696-Z696,""))))</f>
        <v/>
      </c>
      <c r="AB696" s="23"/>
      <c r="AC696" s="25"/>
      <c r="AD696" s="23"/>
      <c r="AE696" s="23"/>
      <c r="AF696" s="24"/>
      <c r="AG696" s="23"/>
      <c r="AH696" s="24"/>
      <c r="AI696" s="29" t="str">
        <f aca="false">IF(X696="Not accepted","Maintained",IF(X696="Partially accepted","Partially maintained",IF(X696="Accepted","Reversed",IF(X696="Withdrawn by hospital","Withdrawn by hospital",""))))</f>
        <v/>
      </c>
      <c r="AJ696" s="28" t="str">
        <f aca="false">IF(AI696="","",W696)</f>
        <v/>
      </c>
      <c r="AK696" s="29" t="str">
        <f aca="false">IF(AND(ISNUMBER(T696),ISNUMBER(W696)),W696-T696,"")</f>
        <v/>
      </c>
      <c r="AL696" s="29" t="str">
        <f aca="false">IF(A696="","",SUMIF(Actions!$C$5:$C$1004,A696,Actions!$F$5:$F$1004))</f>
        <v/>
      </c>
      <c r="AM696" s="25"/>
    </row>
    <row r="697" customFormat="false" ht="15" hidden="false" customHeight="false" outlineLevel="0" collapsed="false">
      <c r="A697" s="23"/>
      <c r="B697" s="23"/>
      <c r="C697" s="23"/>
      <c r="D697" s="23"/>
      <c r="E697" s="23"/>
      <c r="F697" s="23"/>
      <c r="G697" s="23"/>
      <c r="H697" s="23"/>
      <c r="I697" s="23"/>
      <c r="J697" s="23"/>
      <c r="K697" s="24"/>
      <c r="L697" s="23"/>
      <c r="M697" s="25"/>
      <c r="N697" s="25"/>
      <c r="O697" s="23"/>
      <c r="P697" s="26"/>
      <c r="Q697" s="26"/>
      <c r="R697" s="27" t="str">
        <f aca="false">IF(AND(ISNUMBER(P697),ISNUMBER(Q697)),P697-Q697,"")</f>
        <v/>
      </c>
      <c r="S697" s="24"/>
      <c r="T697" s="28" t="str">
        <f aca="false">IF(S697&lt;&gt;"",S697,IF(B697="","",IFERROR(IF(INDEX(Batches!$G$5:$G$64,MATCH(B697,Batches!$A$5:$A$64,0))="","",INDEX(Batches!$G$5:$G$64,MATCH(B697,Batches!$A$5:$A$64,0))),"")))</f>
        <v/>
      </c>
      <c r="U697" s="23"/>
      <c r="V697" s="24"/>
      <c r="W697" s="28" t="str">
        <f aca="false">IF(OR(X697="",X697="Pending"),"",IF(V697&lt;&gt;"",V697,IFERROR(IF(INDEX(Batches!$H$5:$H$64,MATCH(B697,Batches!$A$5:$A$64,0))="","",INDEX(Batches!$H$5:$H$64,MATCH(B697,Batches!$A$5:$A$64,0))),"")))</f>
        <v/>
      </c>
      <c r="X697" s="23"/>
      <c r="Y697" s="23"/>
      <c r="Z697" s="26"/>
      <c r="AA697" s="27" t="str">
        <f aca="false">IF(R697="","",IF(X697="Not accepted",R697,IF(OR(X697="Accepted",X697="Withdrawn by hospital"),IF(X697="Accepted",0,R697),IF(ISNUMBER(Z697),R697-Z697,""))))</f>
        <v/>
      </c>
      <c r="AB697" s="23"/>
      <c r="AC697" s="25"/>
      <c r="AD697" s="23"/>
      <c r="AE697" s="23"/>
      <c r="AF697" s="24"/>
      <c r="AG697" s="23"/>
      <c r="AH697" s="24"/>
      <c r="AI697" s="29" t="str">
        <f aca="false">IF(X697="Not accepted","Maintained",IF(X697="Partially accepted","Partially maintained",IF(X697="Accepted","Reversed",IF(X697="Withdrawn by hospital","Withdrawn by hospital",""))))</f>
        <v/>
      </c>
      <c r="AJ697" s="28" t="str">
        <f aca="false">IF(AI697="","",W697)</f>
        <v/>
      </c>
      <c r="AK697" s="29" t="str">
        <f aca="false">IF(AND(ISNUMBER(T697),ISNUMBER(W697)),W697-T697,"")</f>
        <v/>
      </c>
      <c r="AL697" s="29" t="str">
        <f aca="false">IF(A697="","",SUMIF(Actions!$C$5:$C$1004,A697,Actions!$F$5:$F$1004))</f>
        <v/>
      </c>
      <c r="AM697" s="25"/>
    </row>
    <row r="698" customFormat="false" ht="15" hidden="false" customHeight="false" outlineLevel="0" collapsed="false">
      <c r="A698" s="23"/>
      <c r="B698" s="23"/>
      <c r="C698" s="23"/>
      <c r="D698" s="23"/>
      <c r="E698" s="23"/>
      <c r="F698" s="23"/>
      <c r="G698" s="23"/>
      <c r="H698" s="23"/>
      <c r="I698" s="23"/>
      <c r="J698" s="23"/>
      <c r="K698" s="24"/>
      <c r="L698" s="23"/>
      <c r="M698" s="25"/>
      <c r="N698" s="25"/>
      <c r="O698" s="23"/>
      <c r="P698" s="26"/>
      <c r="Q698" s="26"/>
      <c r="R698" s="27" t="str">
        <f aca="false">IF(AND(ISNUMBER(P698),ISNUMBER(Q698)),P698-Q698,"")</f>
        <v/>
      </c>
      <c r="S698" s="24"/>
      <c r="T698" s="28" t="str">
        <f aca="false">IF(S698&lt;&gt;"",S698,IF(B698="","",IFERROR(IF(INDEX(Batches!$G$5:$G$64,MATCH(B698,Batches!$A$5:$A$64,0))="","",INDEX(Batches!$G$5:$G$64,MATCH(B698,Batches!$A$5:$A$64,0))),"")))</f>
        <v/>
      </c>
      <c r="U698" s="23"/>
      <c r="V698" s="24"/>
      <c r="W698" s="28" t="str">
        <f aca="false">IF(OR(X698="",X698="Pending"),"",IF(V698&lt;&gt;"",V698,IFERROR(IF(INDEX(Batches!$H$5:$H$64,MATCH(B698,Batches!$A$5:$A$64,0))="","",INDEX(Batches!$H$5:$H$64,MATCH(B698,Batches!$A$5:$A$64,0))),"")))</f>
        <v/>
      </c>
      <c r="X698" s="23"/>
      <c r="Y698" s="23"/>
      <c r="Z698" s="26"/>
      <c r="AA698" s="27" t="str">
        <f aca="false">IF(R698="","",IF(X698="Not accepted",R698,IF(OR(X698="Accepted",X698="Withdrawn by hospital"),IF(X698="Accepted",0,R698),IF(ISNUMBER(Z698),R698-Z698,""))))</f>
        <v/>
      </c>
      <c r="AB698" s="23"/>
      <c r="AC698" s="25"/>
      <c r="AD698" s="23"/>
      <c r="AE698" s="23"/>
      <c r="AF698" s="24"/>
      <c r="AG698" s="23"/>
      <c r="AH698" s="24"/>
      <c r="AI698" s="29" t="str">
        <f aca="false">IF(X698="Not accepted","Maintained",IF(X698="Partially accepted","Partially maintained",IF(X698="Accepted","Reversed",IF(X698="Withdrawn by hospital","Withdrawn by hospital",""))))</f>
        <v/>
      </c>
      <c r="AJ698" s="28" t="str">
        <f aca="false">IF(AI698="","",W698)</f>
        <v/>
      </c>
      <c r="AK698" s="29" t="str">
        <f aca="false">IF(AND(ISNUMBER(T698),ISNUMBER(W698)),W698-T698,"")</f>
        <v/>
      </c>
      <c r="AL698" s="29" t="str">
        <f aca="false">IF(A698="","",SUMIF(Actions!$C$5:$C$1004,A698,Actions!$F$5:$F$1004))</f>
        <v/>
      </c>
      <c r="AM698" s="25"/>
    </row>
    <row r="699" customFormat="false" ht="15" hidden="false" customHeight="false" outlineLevel="0" collapsed="false">
      <c r="A699" s="23"/>
      <c r="B699" s="23"/>
      <c r="C699" s="23"/>
      <c r="D699" s="23"/>
      <c r="E699" s="23"/>
      <c r="F699" s="23"/>
      <c r="G699" s="23"/>
      <c r="H699" s="23"/>
      <c r="I699" s="23"/>
      <c r="J699" s="23"/>
      <c r="K699" s="24"/>
      <c r="L699" s="23"/>
      <c r="M699" s="25"/>
      <c r="N699" s="25"/>
      <c r="O699" s="23"/>
      <c r="P699" s="26"/>
      <c r="Q699" s="26"/>
      <c r="R699" s="27" t="str">
        <f aca="false">IF(AND(ISNUMBER(P699),ISNUMBER(Q699)),P699-Q699,"")</f>
        <v/>
      </c>
      <c r="S699" s="24"/>
      <c r="T699" s="28" t="str">
        <f aca="false">IF(S699&lt;&gt;"",S699,IF(B699="","",IFERROR(IF(INDEX(Batches!$G$5:$G$64,MATCH(B699,Batches!$A$5:$A$64,0))="","",INDEX(Batches!$G$5:$G$64,MATCH(B699,Batches!$A$5:$A$64,0))),"")))</f>
        <v/>
      </c>
      <c r="U699" s="23"/>
      <c r="V699" s="24"/>
      <c r="W699" s="28" t="str">
        <f aca="false">IF(OR(X699="",X699="Pending"),"",IF(V699&lt;&gt;"",V699,IFERROR(IF(INDEX(Batches!$H$5:$H$64,MATCH(B699,Batches!$A$5:$A$64,0))="","",INDEX(Batches!$H$5:$H$64,MATCH(B699,Batches!$A$5:$A$64,0))),"")))</f>
        <v/>
      </c>
      <c r="X699" s="23"/>
      <c r="Y699" s="23"/>
      <c r="Z699" s="26"/>
      <c r="AA699" s="27" t="str">
        <f aca="false">IF(R699="","",IF(X699="Not accepted",R699,IF(OR(X699="Accepted",X699="Withdrawn by hospital"),IF(X699="Accepted",0,R699),IF(ISNUMBER(Z699),R699-Z699,""))))</f>
        <v/>
      </c>
      <c r="AB699" s="23"/>
      <c r="AC699" s="25"/>
      <c r="AD699" s="23"/>
      <c r="AE699" s="23"/>
      <c r="AF699" s="24"/>
      <c r="AG699" s="23"/>
      <c r="AH699" s="24"/>
      <c r="AI699" s="29" t="str">
        <f aca="false">IF(X699="Not accepted","Maintained",IF(X699="Partially accepted","Partially maintained",IF(X699="Accepted","Reversed",IF(X699="Withdrawn by hospital","Withdrawn by hospital",""))))</f>
        <v/>
      </c>
      <c r="AJ699" s="28" t="str">
        <f aca="false">IF(AI699="","",W699)</f>
        <v/>
      </c>
      <c r="AK699" s="29" t="str">
        <f aca="false">IF(AND(ISNUMBER(T699),ISNUMBER(W699)),W699-T699,"")</f>
        <v/>
      </c>
      <c r="AL699" s="29" t="str">
        <f aca="false">IF(A699="","",SUMIF(Actions!$C$5:$C$1004,A699,Actions!$F$5:$F$1004))</f>
        <v/>
      </c>
      <c r="AM699" s="25"/>
    </row>
    <row r="700" customFormat="false" ht="15" hidden="false" customHeight="false" outlineLevel="0" collapsed="false">
      <c r="A700" s="23"/>
      <c r="B700" s="23"/>
      <c r="C700" s="23"/>
      <c r="D700" s="23"/>
      <c r="E700" s="23"/>
      <c r="F700" s="23"/>
      <c r="G700" s="23"/>
      <c r="H700" s="23"/>
      <c r="I700" s="23"/>
      <c r="J700" s="23"/>
      <c r="K700" s="24"/>
      <c r="L700" s="23"/>
      <c r="M700" s="25"/>
      <c r="N700" s="25"/>
      <c r="O700" s="23"/>
      <c r="P700" s="26"/>
      <c r="Q700" s="26"/>
      <c r="R700" s="27" t="str">
        <f aca="false">IF(AND(ISNUMBER(P700),ISNUMBER(Q700)),P700-Q700,"")</f>
        <v/>
      </c>
      <c r="S700" s="24"/>
      <c r="T700" s="28" t="str">
        <f aca="false">IF(S700&lt;&gt;"",S700,IF(B700="","",IFERROR(IF(INDEX(Batches!$G$5:$G$64,MATCH(B700,Batches!$A$5:$A$64,0))="","",INDEX(Batches!$G$5:$G$64,MATCH(B700,Batches!$A$5:$A$64,0))),"")))</f>
        <v/>
      </c>
      <c r="U700" s="23"/>
      <c r="V700" s="24"/>
      <c r="W700" s="28" t="str">
        <f aca="false">IF(OR(X700="",X700="Pending"),"",IF(V700&lt;&gt;"",V700,IFERROR(IF(INDEX(Batches!$H$5:$H$64,MATCH(B700,Batches!$A$5:$A$64,0))="","",INDEX(Batches!$H$5:$H$64,MATCH(B700,Batches!$A$5:$A$64,0))),"")))</f>
        <v/>
      </c>
      <c r="X700" s="23"/>
      <c r="Y700" s="23"/>
      <c r="Z700" s="26"/>
      <c r="AA700" s="27" t="str">
        <f aca="false">IF(R700="","",IF(X700="Not accepted",R700,IF(OR(X700="Accepted",X700="Withdrawn by hospital"),IF(X700="Accepted",0,R700),IF(ISNUMBER(Z700),R700-Z700,""))))</f>
        <v/>
      </c>
      <c r="AB700" s="23"/>
      <c r="AC700" s="25"/>
      <c r="AD700" s="23"/>
      <c r="AE700" s="23"/>
      <c r="AF700" s="24"/>
      <c r="AG700" s="23"/>
      <c r="AH700" s="24"/>
      <c r="AI700" s="29" t="str">
        <f aca="false">IF(X700="Not accepted","Maintained",IF(X700="Partially accepted","Partially maintained",IF(X700="Accepted","Reversed",IF(X700="Withdrawn by hospital","Withdrawn by hospital",""))))</f>
        <v/>
      </c>
      <c r="AJ700" s="28" t="str">
        <f aca="false">IF(AI700="","",W700)</f>
        <v/>
      </c>
      <c r="AK700" s="29" t="str">
        <f aca="false">IF(AND(ISNUMBER(T700),ISNUMBER(W700)),W700-T700,"")</f>
        <v/>
      </c>
      <c r="AL700" s="29" t="str">
        <f aca="false">IF(A700="","",SUMIF(Actions!$C$5:$C$1004,A700,Actions!$F$5:$F$1004))</f>
        <v/>
      </c>
      <c r="AM700" s="25"/>
    </row>
    <row r="701" customFormat="false" ht="15" hidden="false" customHeight="false" outlineLevel="0" collapsed="false">
      <c r="A701" s="23"/>
      <c r="B701" s="23"/>
      <c r="C701" s="23"/>
      <c r="D701" s="23"/>
      <c r="E701" s="23"/>
      <c r="F701" s="23"/>
      <c r="G701" s="23"/>
      <c r="H701" s="23"/>
      <c r="I701" s="23"/>
      <c r="J701" s="23"/>
      <c r="K701" s="24"/>
      <c r="L701" s="23"/>
      <c r="M701" s="25"/>
      <c r="N701" s="25"/>
      <c r="O701" s="23"/>
      <c r="P701" s="26"/>
      <c r="Q701" s="26"/>
      <c r="R701" s="27" t="str">
        <f aca="false">IF(AND(ISNUMBER(P701),ISNUMBER(Q701)),P701-Q701,"")</f>
        <v/>
      </c>
      <c r="S701" s="24"/>
      <c r="T701" s="28" t="str">
        <f aca="false">IF(S701&lt;&gt;"",S701,IF(B701="","",IFERROR(IF(INDEX(Batches!$G$5:$G$64,MATCH(B701,Batches!$A$5:$A$64,0))="","",INDEX(Batches!$G$5:$G$64,MATCH(B701,Batches!$A$5:$A$64,0))),"")))</f>
        <v/>
      </c>
      <c r="U701" s="23"/>
      <c r="V701" s="24"/>
      <c r="W701" s="28" t="str">
        <f aca="false">IF(OR(X701="",X701="Pending"),"",IF(V701&lt;&gt;"",V701,IFERROR(IF(INDEX(Batches!$H$5:$H$64,MATCH(B701,Batches!$A$5:$A$64,0))="","",INDEX(Batches!$H$5:$H$64,MATCH(B701,Batches!$A$5:$A$64,0))),"")))</f>
        <v/>
      </c>
      <c r="X701" s="23"/>
      <c r="Y701" s="23"/>
      <c r="Z701" s="26"/>
      <c r="AA701" s="27" t="str">
        <f aca="false">IF(R701="","",IF(X701="Not accepted",R701,IF(OR(X701="Accepted",X701="Withdrawn by hospital"),IF(X701="Accepted",0,R701),IF(ISNUMBER(Z701),R701-Z701,""))))</f>
        <v/>
      </c>
      <c r="AB701" s="23"/>
      <c r="AC701" s="25"/>
      <c r="AD701" s="23"/>
      <c r="AE701" s="23"/>
      <c r="AF701" s="24"/>
      <c r="AG701" s="23"/>
      <c r="AH701" s="24"/>
      <c r="AI701" s="29" t="str">
        <f aca="false">IF(X701="Not accepted","Maintained",IF(X701="Partially accepted","Partially maintained",IF(X701="Accepted","Reversed",IF(X701="Withdrawn by hospital","Withdrawn by hospital",""))))</f>
        <v/>
      </c>
      <c r="AJ701" s="28" t="str">
        <f aca="false">IF(AI701="","",W701)</f>
        <v/>
      </c>
      <c r="AK701" s="29" t="str">
        <f aca="false">IF(AND(ISNUMBER(T701),ISNUMBER(W701)),W701-T701,"")</f>
        <v/>
      </c>
      <c r="AL701" s="29" t="str">
        <f aca="false">IF(A701="","",SUMIF(Actions!$C$5:$C$1004,A701,Actions!$F$5:$F$1004))</f>
        <v/>
      </c>
      <c r="AM701" s="25"/>
    </row>
    <row r="702" customFormat="false" ht="15" hidden="false" customHeight="false" outlineLevel="0" collapsed="false">
      <c r="A702" s="23"/>
      <c r="B702" s="23"/>
      <c r="C702" s="23"/>
      <c r="D702" s="23"/>
      <c r="E702" s="23"/>
      <c r="F702" s="23"/>
      <c r="G702" s="23"/>
      <c r="H702" s="23"/>
      <c r="I702" s="23"/>
      <c r="J702" s="23"/>
      <c r="K702" s="24"/>
      <c r="L702" s="23"/>
      <c r="M702" s="25"/>
      <c r="N702" s="25"/>
      <c r="O702" s="23"/>
      <c r="P702" s="26"/>
      <c r="Q702" s="26"/>
      <c r="R702" s="27" t="str">
        <f aca="false">IF(AND(ISNUMBER(P702),ISNUMBER(Q702)),P702-Q702,"")</f>
        <v/>
      </c>
      <c r="S702" s="24"/>
      <c r="T702" s="28" t="str">
        <f aca="false">IF(S702&lt;&gt;"",S702,IF(B702="","",IFERROR(IF(INDEX(Batches!$G$5:$G$64,MATCH(B702,Batches!$A$5:$A$64,0))="","",INDEX(Batches!$G$5:$G$64,MATCH(B702,Batches!$A$5:$A$64,0))),"")))</f>
        <v/>
      </c>
      <c r="U702" s="23"/>
      <c r="V702" s="24"/>
      <c r="W702" s="28" t="str">
        <f aca="false">IF(OR(X702="",X702="Pending"),"",IF(V702&lt;&gt;"",V702,IFERROR(IF(INDEX(Batches!$H$5:$H$64,MATCH(B702,Batches!$A$5:$A$64,0))="","",INDEX(Batches!$H$5:$H$64,MATCH(B702,Batches!$A$5:$A$64,0))),"")))</f>
        <v/>
      </c>
      <c r="X702" s="23"/>
      <c r="Y702" s="23"/>
      <c r="Z702" s="26"/>
      <c r="AA702" s="27" t="str">
        <f aca="false">IF(R702="","",IF(X702="Not accepted",R702,IF(OR(X702="Accepted",X702="Withdrawn by hospital"),IF(X702="Accepted",0,R702),IF(ISNUMBER(Z702),R702-Z702,""))))</f>
        <v/>
      </c>
      <c r="AB702" s="23"/>
      <c r="AC702" s="25"/>
      <c r="AD702" s="23"/>
      <c r="AE702" s="23"/>
      <c r="AF702" s="24"/>
      <c r="AG702" s="23"/>
      <c r="AH702" s="24"/>
      <c r="AI702" s="29" t="str">
        <f aca="false">IF(X702="Not accepted","Maintained",IF(X702="Partially accepted","Partially maintained",IF(X702="Accepted","Reversed",IF(X702="Withdrawn by hospital","Withdrawn by hospital",""))))</f>
        <v/>
      </c>
      <c r="AJ702" s="28" t="str">
        <f aca="false">IF(AI702="","",W702)</f>
        <v/>
      </c>
      <c r="AK702" s="29" t="str">
        <f aca="false">IF(AND(ISNUMBER(T702),ISNUMBER(W702)),W702-T702,"")</f>
        <v/>
      </c>
      <c r="AL702" s="29" t="str">
        <f aca="false">IF(A702="","",SUMIF(Actions!$C$5:$C$1004,A702,Actions!$F$5:$F$1004))</f>
        <v/>
      </c>
      <c r="AM702" s="25"/>
    </row>
    <row r="703" customFormat="false" ht="15" hidden="false" customHeight="false" outlineLevel="0" collapsed="false">
      <c r="A703" s="23"/>
      <c r="B703" s="23"/>
      <c r="C703" s="23"/>
      <c r="D703" s="23"/>
      <c r="E703" s="23"/>
      <c r="F703" s="23"/>
      <c r="G703" s="23"/>
      <c r="H703" s="23"/>
      <c r="I703" s="23"/>
      <c r="J703" s="23"/>
      <c r="K703" s="24"/>
      <c r="L703" s="23"/>
      <c r="M703" s="25"/>
      <c r="N703" s="25"/>
      <c r="O703" s="23"/>
      <c r="P703" s="26"/>
      <c r="Q703" s="26"/>
      <c r="R703" s="27" t="str">
        <f aca="false">IF(AND(ISNUMBER(P703),ISNUMBER(Q703)),P703-Q703,"")</f>
        <v/>
      </c>
      <c r="S703" s="24"/>
      <c r="T703" s="28" t="str">
        <f aca="false">IF(S703&lt;&gt;"",S703,IF(B703="","",IFERROR(IF(INDEX(Batches!$G$5:$G$64,MATCH(B703,Batches!$A$5:$A$64,0))="","",INDEX(Batches!$G$5:$G$64,MATCH(B703,Batches!$A$5:$A$64,0))),"")))</f>
        <v/>
      </c>
      <c r="U703" s="23"/>
      <c r="V703" s="24"/>
      <c r="W703" s="28" t="str">
        <f aca="false">IF(OR(X703="",X703="Pending"),"",IF(V703&lt;&gt;"",V703,IFERROR(IF(INDEX(Batches!$H$5:$H$64,MATCH(B703,Batches!$A$5:$A$64,0))="","",INDEX(Batches!$H$5:$H$64,MATCH(B703,Batches!$A$5:$A$64,0))),"")))</f>
        <v/>
      </c>
      <c r="X703" s="23"/>
      <c r="Y703" s="23"/>
      <c r="Z703" s="26"/>
      <c r="AA703" s="27" t="str">
        <f aca="false">IF(R703="","",IF(X703="Not accepted",R703,IF(OR(X703="Accepted",X703="Withdrawn by hospital"),IF(X703="Accepted",0,R703),IF(ISNUMBER(Z703),R703-Z703,""))))</f>
        <v/>
      </c>
      <c r="AB703" s="23"/>
      <c r="AC703" s="25"/>
      <c r="AD703" s="23"/>
      <c r="AE703" s="23"/>
      <c r="AF703" s="24"/>
      <c r="AG703" s="23"/>
      <c r="AH703" s="24"/>
      <c r="AI703" s="29" t="str">
        <f aca="false">IF(X703="Not accepted","Maintained",IF(X703="Partially accepted","Partially maintained",IF(X703="Accepted","Reversed",IF(X703="Withdrawn by hospital","Withdrawn by hospital",""))))</f>
        <v/>
      </c>
      <c r="AJ703" s="28" t="str">
        <f aca="false">IF(AI703="","",W703)</f>
        <v/>
      </c>
      <c r="AK703" s="29" t="str">
        <f aca="false">IF(AND(ISNUMBER(T703),ISNUMBER(W703)),W703-T703,"")</f>
        <v/>
      </c>
      <c r="AL703" s="29" t="str">
        <f aca="false">IF(A703="","",SUMIF(Actions!$C$5:$C$1004,A703,Actions!$F$5:$F$1004))</f>
        <v/>
      </c>
      <c r="AM703" s="25"/>
    </row>
    <row r="704" customFormat="false" ht="15" hidden="false" customHeight="false" outlineLevel="0" collapsed="false">
      <c r="A704" s="23"/>
      <c r="B704" s="23"/>
      <c r="C704" s="23"/>
      <c r="D704" s="23"/>
      <c r="E704" s="23"/>
      <c r="F704" s="23"/>
      <c r="G704" s="23"/>
      <c r="H704" s="23"/>
      <c r="I704" s="23"/>
      <c r="J704" s="23"/>
      <c r="K704" s="24"/>
      <c r="L704" s="23"/>
      <c r="M704" s="25"/>
      <c r="N704" s="25"/>
      <c r="O704" s="23"/>
      <c r="P704" s="26"/>
      <c r="Q704" s="26"/>
      <c r="R704" s="27" t="str">
        <f aca="false">IF(AND(ISNUMBER(P704),ISNUMBER(Q704)),P704-Q704,"")</f>
        <v/>
      </c>
      <c r="S704" s="24"/>
      <c r="T704" s="28" t="str">
        <f aca="false">IF(S704&lt;&gt;"",S704,IF(B704="","",IFERROR(IF(INDEX(Batches!$G$5:$G$64,MATCH(B704,Batches!$A$5:$A$64,0))="","",INDEX(Batches!$G$5:$G$64,MATCH(B704,Batches!$A$5:$A$64,0))),"")))</f>
        <v/>
      </c>
      <c r="U704" s="23"/>
      <c r="V704" s="24"/>
      <c r="W704" s="28" t="str">
        <f aca="false">IF(OR(X704="",X704="Pending"),"",IF(V704&lt;&gt;"",V704,IFERROR(IF(INDEX(Batches!$H$5:$H$64,MATCH(B704,Batches!$A$5:$A$64,0))="","",INDEX(Batches!$H$5:$H$64,MATCH(B704,Batches!$A$5:$A$64,0))),"")))</f>
        <v/>
      </c>
      <c r="X704" s="23"/>
      <c r="Y704" s="23"/>
      <c r="Z704" s="26"/>
      <c r="AA704" s="27" t="str">
        <f aca="false">IF(R704="","",IF(X704="Not accepted",R704,IF(OR(X704="Accepted",X704="Withdrawn by hospital"),IF(X704="Accepted",0,R704),IF(ISNUMBER(Z704),R704-Z704,""))))</f>
        <v/>
      </c>
      <c r="AB704" s="23"/>
      <c r="AC704" s="25"/>
      <c r="AD704" s="23"/>
      <c r="AE704" s="23"/>
      <c r="AF704" s="24"/>
      <c r="AG704" s="23"/>
      <c r="AH704" s="24"/>
      <c r="AI704" s="29" t="str">
        <f aca="false">IF(X704="Not accepted","Maintained",IF(X704="Partially accepted","Partially maintained",IF(X704="Accepted","Reversed",IF(X704="Withdrawn by hospital","Withdrawn by hospital",""))))</f>
        <v/>
      </c>
      <c r="AJ704" s="28" t="str">
        <f aca="false">IF(AI704="","",W704)</f>
        <v/>
      </c>
      <c r="AK704" s="29" t="str">
        <f aca="false">IF(AND(ISNUMBER(T704),ISNUMBER(W704)),W704-T704,"")</f>
        <v/>
      </c>
      <c r="AL704" s="29" t="str">
        <f aca="false">IF(A704="","",SUMIF(Actions!$C$5:$C$1004,A704,Actions!$F$5:$F$1004))</f>
        <v/>
      </c>
      <c r="AM704" s="25"/>
    </row>
    <row r="705" customFormat="false" ht="15" hidden="false" customHeight="false" outlineLevel="0" collapsed="false">
      <c r="A705" s="23"/>
      <c r="B705" s="23"/>
      <c r="C705" s="23"/>
      <c r="D705" s="23"/>
      <c r="E705" s="23"/>
      <c r="F705" s="23"/>
      <c r="G705" s="23"/>
      <c r="H705" s="23"/>
      <c r="I705" s="23"/>
      <c r="J705" s="23"/>
      <c r="K705" s="24"/>
      <c r="L705" s="23"/>
      <c r="M705" s="25"/>
      <c r="N705" s="25"/>
      <c r="O705" s="23"/>
      <c r="P705" s="26"/>
      <c r="Q705" s="26"/>
      <c r="R705" s="27" t="str">
        <f aca="false">IF(AND(ISNUMBER(P705),ISNUMBER(Q705)),P705-Q705,"")</f>
        <v/>
      </c>
      <c r="S705" s="24"/>
      <c r="T705" s="28" t="str">
        <f aca="false">IF(S705&lt;&gt;"",S705,IF(B705="","",IFERROR(IF(INDEX(Batches!$G$5:$G$64,MATCH(B705,Batches!$A$5:$A$64,0))="","",INDEX(Batches!$G$5:$G$64,MATCH(B705,Batches!$A$5:$A$64,0))),"")))</f>
        <v/>
      </c>
      <c r="U705" s="23"/>
      <c r="V705" s="24"/>
      <c r="W705" s="28" t="str">
        <f aca="false">IF(OR(X705="",X705="Pending"),"",IF(V705&lt;&gt;"",V705,IFERROR(IF(INDEX(Batches!$H$5:$H$64,MATCH(B705,Batches!$A$5:$A$64,0))="","",INDEX(Batches!$H$5:$H$64,MATCH(B705,Batches!$A$5:$A$64,0))),"")))</f>
        <v/>
      </c>
      <c r="X705" s="23"/>
      <c r="Y705" s="23"/>
      <c r="Z705" s="26"/>
      <c r="AA705" s="27" t="str">
        <f aca="false">IF(R705="","",IF(X705="Not accepted",R705,IF(OR(X705="Accepted",X705="Withdrawn by hospital"),IF(X705="Accepted",0,R705),IF(ISNUMBER(Z705),R705-Z705,""))))</f>
        <v/>
      </c>
      <c r="AB705" s="23"/>
      <c r="AC705" s="25"/>
      <c r="AD705" s="23"/>
      <c r="AE705" s="23"/>
      <c r="AF705" s="24"/>
      <c r="AG705" s="23"/>
      <c r="AH705" s="24"/>
      <c r="AI705" s="29" t="str">
        <f aca="false">IF(X705="Not accepted","Maintained",IF(X705="Partially accepted","Partially maintained",IF(X705="Accepted","Reversed",IF(X705="Withdrawn by hospital","Withdrawn by hospital",""))))</f>
        <v/>
      </c>
      <c r="AJ705" s="28" t="str">
        <f aca="false">IF(AI705="","",W705)</f>
        <v/>
      </c>
      <c r="AK705" s="29" t="str">
        <f aca="false">IF(AND(ISNUMBER(T705),ISNUMBER(W705)),W705-T705,"")</f>
        <v/>
      </c>
      <c r="AL705" s="29" t="str">
        <f aca="false">IF(A705="","",SUMIF(Actions!$C$5:$C$1004,A705,Actions!$F$5:$F$1004))</f>
        <v/>
      </c>
      <c r="AM705" s="25"/>
    </row>
    <row r="706" customFormat="false" ht="15" hidden="false" customHeight="false" outlineLevel="0" collapsed="false">
      <c r="A706" s="23"/>
      <c r="B706" s="23"/>
      <c r="C706" s="23"/>
      <c r="D706" s="23"/>
      <c r="E706" s="23"/>
      <c r="F706" s="23"/>
      <c r="G706" s="23"/>
      <c r="H706" s="23"/>
      <c r="I706" s="23"/>
      <c r="J706" s="23"/>
      <c r="K706" s="24"/>
      <c r="L706" s="23"/>
      <c r="M706" s="25"/>
      <c r="N706" s="25"/>
      <c r="O706" s="23"/>
      <c r="P706" s="26"/>
      <c r="Q706" s="26"/>
      <c r="R706" s="27" t="str">
        <f aca="false">IF(AND(ISNUMBER(P706),ISNUMBER(Q706)),P706-Q706,"")</f>
        <v/>
      </c>
      <c r="S706" s="24"/>
      <c r="T706" s="28" t="str">
        <f aca="false">IF(S706&lt;&gt;"",S706,IF(B706="","",IFERROR(IF(INDEX(Batches!$G$5:$G$64,MATCH(B706,Batches!$A$5:$A$64,0))="","",INDEX(Batches!$G$5:$G$64,MATCH(B706,Batches!$A$5:$A$64,0))),"")))</f>
        <v/>
      </c>
      <c r="U706" s="23"/>
      <c r="V706" s="24"/>
      <c r="W706" s="28" t="str">
        <f aca="false">IF(OR(X706="",X706="Pending"),"",IF(V706&lt;&gt;"",V706,IFERROR(IF(INDEX(Batches!$H$5:$H$64,MATCH(B706,Batches!$A$5:$A$64,0))="","",INDEX(Batches!$H$5:$H$64,MATCH(B706,Batches!$A$5:$A$64,0))),"")))</f>
        <v/>
      </c>
      <c r="X706" s="23"/>
      <c r="Y706" s="23"/>
      <c r="Z706" s="26"/>
      <c r="AA706" s="27" t="str">
        <f aca="false">IF(R706="","",IF(X706="Not accepted",R706,IF(OR(X706="Accepted",X706="Withdrawn by hospital"),IF(X706="Accepted",0,R706),IF(ISNUMBER(Z706),R706-Z706,""))))</f>
        <v/>
      </c>
      <c r="AB706" s="23"/>
      <c r="AC706" s="25"/>
      <c r="AD706" s="23"/>
      <c r="AE706" s="23"/>
      <c r="AF706" s="24"/>
      <c r="AG706" s="23"/>
      <c r="AH706" s="24"/>
      <c r="AI706" s="29" t="str">
        <f aca="false">IF(X706="Not accepted","Maintained",IF(X706="Partially accepted","Partially maintained",IF(X706="Accepted","Reversed",IF(X706="Withdrawn by hospital","Withdrawn by hospital",""))))</f>
        <v/>
      </c>
      <c r="AJ706" s="28" t="str">
        <f aca="false">IF(AI706="","",W706)</f>
        <v/>
      </c>
      <c r="AK706" s="29" t="str">
        <f aca="false">IF(AND(ISNUMBER(T706),ISNUMBER(W706)),W706-T706,"")</f>
        <v/>
      </c>
      <c r="AL706" s="29" t="str">
        <f aca="false">IF(A706="","",SUMIF(Actions!$C$5:$C$1004,A706,Actions!$F$5:$F$1004))</f>
        <v/>
      </c>
      <c r="AM706" s="25"/>
    </row>
    <row r="707" customFormat="false" ht="15" hidden="false" customHeight="false" outlineLevel="0" collapsed="false">
      <c r="A707" s="23"/>
      <c r="B707" s="23"/>
      <c r="C707" s="23"/>
      <c r="D707" s="23"/>
      <c r="E707" s="23"/>
      <c r="F707" s="23"/>
      <c r="G707" s="23"/>
      <c r="H707" s="23"/>
      <c r="I707" s="23"/>
      <c r="J707" s="23"/>
      <c r="K707" s="24"/>
      <c r="L707" s="23"/>
      <c r="M707" s="25"/>
      <c r="N707" s="25"/>
      <c r="O707" s="23"/>
      <c r="P707" s="26"/>
      <c r="Q707" s="26"/>
      <c r="R707" s="27" t="str">
        <f aca="false">IF(AND(ISNUMBER(P707),ISNUMBER(Q707)),P707-Q707,"")</f>
        <v/>
      </c>
      <c r="S707" s="24"/>
      <c r="T707" s="28" t="str">
        <f aca="false">IF(S707&lt;&gt;"",S707,IF(B707="","",IFERROR(IF(INDEX(Batches!$G$5:$G$64,MATCH(B707,Batches!$A$5:$A$64,0))="","",INDEX(Batches!$G$5:$G$64,MATCH(B707,Batches!$A$5:$A$64,0))),"")))</f>
        <v/>
      </c>
      <c r="U707" s="23"/>
      <c r="V707" s="24"/>
      <c r="W707" s="28" t="str">
        <f aca="false">IF(OR(X707="",X707="Pending"),"",IF(V707&lt;&gt;"",V707,IFERROR(IF(INDEX(Batches!$H$5:$H$64,MATCH(B707,Batches!$A$5:$A$64,0))="","",INDEX(Batches!$H$5:$H$64,MATCH(B707,Batches!$A$5:$A$64,0))),"")))</f>
        <v/>
      </c>
      <c r="X707" s="23"/>
      <c r="Y707" s="23"/>
      <c r="Z707" s="26"/>
      <c r="AA707" s="27" t="str">
        <f aca="false">IF(R707="","",IF(X707="Not accepted",R707,IF(OR(X707="Accepted",X707="Withdrawn by hospital"),IF(X707="Accepted",0,R707),IF(ISNUMBER(Z707),R707-Z707,""))))</f>
        <v/>
      </c>
      <c r="AB707" s="23"/>
      <c r="AC707" s="25"/>
      <c r="AD707" s="23"/>
      <c r="AE707" s="23"/>
      <c r="AF707" s="24"/>
      <c r="AG707" s="23"/>
      <c r="AH707" s="24"/>
      <c r="AI707" s="29" t="str">
        <f aca="false">IF(X707="Not accepted","Maintained",IF(X707="Partially accepted","Partially maintained",IF(X707="Accepted","Reversed",IF(X707="Withdrawn by hospital","Withdrawn by hospital",""))))</f>
        <v/>
      </c>
      <c r="AJ707" s="28" t="str">
        <f aca="false">IF(AI707="","",W707)</f>
        <v/>
      </c>
      <c r="AK707" s="29" t="str">
        <f aca="false">IF(AND(ISNUMBER(T707),ISNUMBER(W707)),W707-T707,"")</f>
        <v/>
      </c>
      <c r="AL707" s="29" t="str">
        <f aca="false">IF(A707="","",SUMIF(Actions!$C$5:$C$1004,A707,Actions!$F$5:$F$1004))</f>
        <v/>
      </c>
      <c r="AM707" s="25"/>
    </row>
    <row r="708" customFormat="false" ht="15" hidden="false" customHeight="false" outlineLevel="0" collapsed="false">
      <c r="A708" s="23"/>
      <c r="B708" s="23"/>
      <c r="C708" s="23"/>
      <c r="D708" s="23"/>
      <c r="E708" s="23"/>
      <c r="F708" s="23"/>
      <c r="G708" s="23"/>
      <c r="H708" s="23"/>
      <c r="I708" s="23"/>
      <c r="J708" s="23"/>
      <c r="K708" s="24"/>
      <c r="L708" s="23"/>
      <c r="M708" s="25"/>
      <c r="N708" s="25"/>
      <c r="O708" s="23"/>
      <c r="P708" s="26"/>
      <c r="Q708" s="26"/>
      <c r="R708" s="27" t="str">
        <f aca="false">IF(AND(ISNUMBER(P708),ISNUMBER(Q708)),P708-Q708,"")</f>
        <v/>
      </c>
      <c r="S708" s="24"/>
      <c r="T708" s="28" t="str">
        <f aca="false">IF(S708&lt;&gt;"",S708,IF(B708="","",IFERROR(IF(INDEX(Batches!$G$5:$G$64,MATCH(B708,Batches!$A$5:$A$64,0))="","",INDEX(Batches!$G$5:$G$64,MATCH(B708,Batches!$A$5:$A$64,0))),"")))</f>
        <v/>
      </c>
      <c r="U708" s="23"/>
      <c r="V708" s="24"/>
      <c r="W708" s="28" t="str">
        <f aca="false">IF(OR(X708="",X708="Pending"),"",IF(V708&lt;&gt;"",V708,IFERROR(IF(INDEX(Batches!$H$5:$H$64,MATCH(B708,Batches!$A$5:$A$64,0))="","",INDEX(Batches!$H$5:$H$64,MATCH(B708,Batches!$A$5:$A$64,0))),"")))</f>
        <v/>
      </c>
      <c r="X708" s="23"/>
      <c r="Y708" s="23"/>
      <c r="Z708" s="26"/>
      <c r="AA708" s="27" t="str">
        <f aca="false">IF(R708="","",IF(X708="Not accepted",R708,IF(OR(X708="Accepted",X708="Withdrawn by hospital"),IF(X708="Accepted",0,R708),IF(ISNUMBER(Z708),R708-Z708,""))))</f>
        <v/>
      </c>
      <c r="AB708" s="23"/>
      <c r="AC708" s="25"/>
      <c r="AD708" s="23"/>
      <c r="AE708" s="23"/>
      <c r="AF708" s="24"/>
      <c r="AG708" s="23"/>
      <c r="AH708" s="24"/>
      <c r="AI708" s="29" t="str">
        <f aca="false">IF(X708="Not accepted","Maintained",IF(X708="Partially accepted","Partially maintained",IF(X708="Accepted","Reversed",IF(X708="Withdrawn by hospital","Withdrawn by hospital",""))))</f>
        <v/>
      </c>
      <c r="AJ708" s="28" t="str">
        <f aca="false">IF(AI708="","",W708)</f>
        <v/>
      </c>
      <c r="AK708" s="29" t="str">
        <f aca="false">IF(AND(ISNUMBER(T708),ISNUMBER(W708)),W708-T708,"")</f>
        <v/>
      </c>
      <c r="AL708" s="29" t="str">
        <f aca="false">IF(A708="","",SUMIF(Actions!$C$5:$C$1004,A708,Actions!$F$5:$F$1004))</f>
        <v/>
      </c>
      <c r="AM708" s="25"/>
    </row>
    <row r="709" customFormat="false" ht="15" hidden="false" customHeight="false" outlineLevel="0" collapsed="false">
      <c r="A709" s="23"/>
      <c r="B709" s="23"/>
      <c r="C709" s="23"/>
      <c r="D709" s="23"/>
      <c r="E709" s="23"/>
      <c r="F709" s="23"/>
      <c r="G709" s="23"/>
      <c r="H709" s="23"/>
      <c r="I709" s="23"/>
      <c r="J709" s="23"/>
      <c r="K709" s="24"/>
      <c r="L709" s="23"/>
      <c r="M709" s="25"/>
      <c r="N709" s="25"/>
      <c r="O709" s="23"/>
      <c r="P709" s="26"/>
      <c r="Q709" s="26"/>
      <c r="R709" s="27" t="str">
        <f aca="false">IF(AND(ISNUMBER(P709),ISNUMBER(Q709)),P709-Q709,"")</f>
        <v/>
      </c>
      <c r="S709" s="24"/>
      <c r="T709" s="28" t="str">
        <f aca="false">IF(S709&lt;&gt;"",S709,IF(B709="","",IFERROR(IF(INDEX(Batches!$G$5:$G$64,MATCH(B709,Batches!$A$5:$A$64,0))="","",INDEX(Batches!$G$5:$G$64,MATCH(B709,Batches!$A$5:$A$64,0))),"")))</f>
        <v/>
      </c>
      <c r="U709" s="23"/>
      <c r="V709" s="24"/>
      <c r="W709" s="28" t="str">
        <f aca="false">IF(OR(X709="",X709="Pending"),"",IF(V709&lt;&gt;"",V709,IFERROR(IF(INDEX(Batches!$H$5:$H$64,MATCH(B709,Batches!$A$5:$A$64,0))="","",INDEX(Batches!$H$5:$H$64,MATCH(B709,Batches!$A$5:$A$64,0))),"")))</f>
        <v/>
      </c>
      <c r="X709" s="23"/>
      <c r="Y709" s="23"/>
      <c r="Z709" s="26"/>
      <c r="AA709" s="27" t="str">
        <f aca="false">IF(R709="","",IF(X709="Not accepted",R709,IF(OR(X709="Accepted",X709="Withdrawn by hospital"),IF(X709="Accepted",0,R709),IF(ISNUMBER(Z709),R709-Z709,""))))</f>
        <v/>
      </c>
      <c r="AB709" s="23"/>
      <c r="AC709" s="25"/>
      <c r="AD709" s="23"/>
      <c r="AE709" s="23"/>
      <c r="AF709" s="24"/>
      <c r="AG709" s="23"/>
      <c r="AH709" s="24"/>
      <c r="AI709" s="29" t="str">
        <f aca="false">IF(X709="Not accepted","Maintained",IF(X709="Partially accepted","Partially maintained",IF(X709="Accepted","Reversed",IF(X709="Withdrawn by hospital","Withdrawn by hospital",""))))</f>
        <v/>
      </c>
      <c r="AJ709" s="28" t="str">
        <f aca="false">IF(AI709="","",W709)</f>
        <v/>
      </c>
      <c r="AK709" s="29" t="str">
        <f aca="false">IF(AND(ISNUMBER(T709),ISNUMBER(W709)),W709-T709,"")</f>
        <v/>
      </c>
      <c r="AL709" s="29" t="str">
        <f aca="false">IF(A709="","",SUMIF(Actions!$C$5:$C$1004,A709,Actions!$F$5:$F$1004))</f>
        <v/>
      </c>
      <c r="AM709" s="25"/>
    </row>
    <row r="710" customFormat="false" ht="15" hidden="false" customHeight="false" outlineLevel="0" collapsed="false">
      <c r="A710" s="23"/>
      <c r="B710" s="23"/>
      <c r="C710" s="23"/>
      <c r="D710" s="23"/>
      <c r="E710" s="23"/>
      <c r="F710" s="23"/>
      <c r="G710" s="23"/>
      <c r="H710" s="23"/>
      <c r="I710" s="23"/>
      <c r="J710" s="23"/>
      <c r="K710" s="24"/>
      <c r="L710" s="23"/>
      <c r="M710" s="25"/>
      <c r="N710" s="25"/>
      <c r="O710" s="23"/>
      <c r="P710" s="26"/>
      <c r="Q710" s="26"/>
      <c r="R710" s="27" t="str">
        <f aca="false">IF(AND(ISNUMBER(P710),ISNUMBER(Q710)),P710-Q710,"")</f>
        <v/>
      </c>
      <c r="S710" s="24"/>
      <c r="T710" s="28" t="str">
        <f aca="false">IF(S710&lt;&gt;"",S710,IF(B710="","",IFERROR(IF(INDEX(Batches!$G$5:$G$64,MATCH(B710,Batches!$A$5:$A$64,0))="","",INDEX(Batches!$G$5:$G$64,MATCH(B710,Batches!$A$5:$A$64,0))),"")))</f>
        <v/>
      </c>
      <c r="U710" s="23"/>
      <c r="V710" s="24"/>
      <c r="W710" s="28" t="str">
        <f aca="false">IF(OR(X710="",X710="Pending"),"",IF(V710&lt;&gt;"",V710,IFERROR(IF(INDEX(Batches!$H$5:$H$64,MATCH(B710,Batches!$A$5:$A$64,0))="","",INDEX(Batches!$H$5:$H$64,MATCH(B710,Batches!$A$5:$A$64,0))),"")))</f>
        <v/>
      </c>
      <c r="X710" s="23"/>
      <c r="Y710" s="23"/>
      <c r="Z710" s="26"/>
      <c r="AA710" s="27" t="str">
        <f aca="false">IF(R710="","",IF(X710="Not accepted",R710,IF(OR(X710="Accepted",X710="Withdrawn by hospital"),IF(X710="Accepted",0,R710),IF(ISNUMBER(Z710),R710-Z710,""))))</f>
        <v/>
      </c>
      <c r="AB710" s="23"/>
      <c r="AC710" s="25"/>
      <c r="AD710" s="23"/>
      <c r="AE710" s="23"/>
      <c r="AF710" s="24"/>
      <c r="AG710" s="23"/>
      <c r="AH710" s="24"/>
      <c r="AI710" s="29" t="str">
        <f aca="false">IF(X710="Not accepted","Maintained",IF(X710="Partially accepted","Partially maintained",IF(X710="Accepted","Reversed",IF(X710="Withdrawn by hospital","Withdrawn by hospital",""))))</f>
        <v/>
      </c>
      <c r="AJ710" s="28" t="str">
        <f aca="false">IF(AI710="","",W710)</f>
        <v/>
      </c>
      <c r="AK710" s="29" t="str">
        <f aca="false">IF(AND(ISNUMBER(T710),ISNUMBER(W710)),W710-T710,"")</f>
        <v/>
      </c>
      <c r="AL710" s="29" t="str">
        <f aca="false">IF(A710="","",SUMIF(Actions!$C$5:$C$1004,A710,Actions!$F$5:$F$1004))</f>
        <v/>
      </c>
      <c r="AM710" s="25"/>
    </row>
    <row r="711" customFormat="false" ht="15" hidden="false" customHeight="false" outlineLevel="0" collapsed="false">
      <c r="A711" s="23"/>
      <c r="B711" s="23"/>
      <c r="C711" s="23"/>
      <c r="D711" s="23"/>
      <c r="E711" s="23"/>
      <c r="F711" s="23"/>
      <c r="G711" s="23"/>
      <c r="H711" s="23"/>
      <c r="I711" s="23"/>
      <c r="J711" s="23"/>
      <c r="K711" s="24"/>
      <c r="L711" s="23"/>
      <c r="M711" s="25"/>
      <c r="N711" s="25"/>
      <c r="O711" s="23"/>
      <c r="P711" s="26"/>
      <c r="Q711" s="26"/>
      <c r="R711" s="27" t="str">
        <f aca="false">IF(AND(ISNUMBER(P711),ISNUMBER(Q711)),P711-Q711,"")</f>
        <v/>
      </c>
      <c r="S711" s="24"/>
      <c r="T711" s="28" t="str">
        <f aca="false">IF(S711&lt;&gt;"",S711,IF(B711="","",IFERROR(IF(INDEX(Batches!$G$5:$G$64,MATCH(B711,Batches!$A$5:$A$64,0))="","",INDEX(Batches!$G$5:$G$64,MATCH(B711,Batches!$A$5:$A$64,0))),"")))</f>
        <v/>
      </c>
      <c r="U711" s="23"/>
      <c r="V711" s="24"/>
      <c r="W711" s="28" t="str">
        <f aca="false">IF(OR(X711="",X711="Pending"),"",IF(V711&lt;&gt;"",V711,IFERROR(IF(INDEX(Batches!$H$5:$H$64,MATCH(B711,Batches!$A$5:$A$64,0))="","",INDEX(Batches!$H$5:$H$64,MATCH(B711,Batches!$A$5:$A$64,0))),"")))</f>
        <v/>
      </c>
      <c r="X711" s="23"/>
      <c r="Y711" s="23"/>
      <c r="Z711" s="26"/>
      <c r="AA711" s="27" t="str">
        <f aca="false">IF(R711="","",IF(X711="Not accepted",R711,IF(OR(X711="Accepted",X711="Withdrawn by hospital"),IF(X711="Accepted",0,R711),IF(ISNUMBER(Z711),R711-Z711,""))))</f>
        <v/>
      </c>
      <c r="AB711" s="23"/>
      <c r="AC711" s="25"/>
      <c r="AD711" s="23"/>
      <c r="AE711" s="23"/>
      <c r="AF711" s="24"/>
      <c r="AG711" s="23"/>
      <c r="AH711" s="24"/>
      <c r="AI711" s="29" t="str">
        <f aca="false">IF(X711="Not accepted","Maintained",IF(X711="Partially accepted","Partially maintained",IF(X711="Accepted","Reversed",IF(X711="Withdrawn by hospital","Withdrawn by hospital",""))))</f>
        <v/>
      </c>
      <c r="AJ711" s="28" t="str">
        <f aca="false">IF(AI711="","",W711)</f>
        <v/>
      </c>
      <c r="AK711" s="29" t="str">
        <f aca="false">IF(AND(ISNUMBER(T711),ISNUMBER(W711)),W711-T711,"")</f>
        <v/>
      </c>
      <c r="AL711" s="29" t="str">
        <f aca="false">IF(A711="","",SUMIF(Actions!$C$5:$C$1004,A711,Actions!$F$5:$F$1004))</f>
        <v/>
      </c>
      <c r="AM711" s="25"/>
    </row>
    <row r="712" customFormat="false" ht="15" hidden="false" customHeight="false" outlineLevel="0" collapsed="false">
      <c r="A712" s="23"/>
      <c r="B712" s="23"/>
      <c r="C712" s="23"/>
      <c r="D712" s="23"/>
      <c r="E712" s="23"/>
      <c r="F712" s="23"/>
      <c r="G712" s="23"/>
      <c r="H712" s="23"/>
      <c r="I712" s="23"/>
      <c r="J712" s="23"/>
      <c r="K712" s="24"/>
      <c r="L712" s="23"/>
      <c r="M712" s="25"/>
      <c r="N712" s="25"/>
      <c r="O712" s="23"/>
      <c r="P712" s="26"/>
      <c r="Q712" s="26"/>
      <c r="R712" s="27" t="str">
        <f aca="false">IF(AND(ISNUMBER(P712),ISNUMBER(Q712)),P712-Q712,"")</f>
        <v/>
      </c>
      <c r="S712" s="24"/>
      <c r="T712" s="28" t="str">
        <f aca="false">IF(S712&lt;&gt;"",S712,IF(B712="","",IFERROR(IF(INDEX(Batches!$G$5:$G$64,MATCH(B712,Batches!$A$5:$A$64,0))="","",INDEX(Batches!$G$5:$G$64,MATCH(B712,Batches!$A$5:$A$64,0))),"")))</f>
        <v/>
      </c>
      <c r="U712" s="23"/>
      <c r="V712" s="24"/>
      <c r="W712" s="28" t="str">
        <f aca="false">IF(OR(X712="",X712="Pending"),"",IF(V712&lt;&gt;"",V712,IFERROR(IF(INDEX(Batches!$H$5:$H$64,MATCH(B712,Batches!$A$5:$A$64,0))="","",INDEX(Batches!$H$5:$H$64,MATCH(B712,Batches!$A$5:$A$64,0))),"")))</f>
        <v/>
      </c>
      <c r="X712" s="23"/>
      <c r="Y712" s="23"/>
      <c r="Z712" s="26"/>
      <c r="AA712" s="27" t="str">
        <f aca="false">IF(R712="","",IF(X712="Not accepted",R712,IF(OR(X712="Accepted",X712="Withdrawn by hospital"),IF(X712="Accepted",0,R712),IF(ISNUMBER(Z712),R712-Z712,""))))</f>
        <v/>
      </c>
      <c r="AB712" s="23"/>
      <c r="AC712" s="25"/>
      <c r="AD712" s="23"/>
      <c r="AE712" s="23"/>
      <c r="AF712" s="24"/>
      <c r="AG712" s="23"/>
      <c r="AH712" s="24"/>
      <c r="AI712" s="29" t="str">
        <f aca="false">IF(X712="Not accepted","Maintained",IF(X712="Partially accepted","Partially maintained",IF(X712="Accepted","Reversed",IF(X712="Withdrawn by hospital","Withdrawn by hospital",""))))</f>
        <v/>
      </c>
      <c r="AJ712" s="28" t="str">
        <f aca="false">IF(AI712="","",W712)</f>
        <v/>
      </c>
      <c r="AK712" s="29" t="str">
        <f aca="false">IF(AND(ISNUMBER(T712),ISNUMBER(W712)),W712-T712,"")</f>
        <v/>
      </c>
      <c r="AL712" s="29" t="str">
        <f aca="false">IF(A712="","",SUMIF(Actions!$C$5:$C$1004,A712,Actions!$F$5:$F$1004))</f>
        <v/>
      </c>
      <c r="AM712" s="25"/>
    </row>
    <row r="713" customFormat="false" ht="15" hidden="false" customHeight="false" outlineLevel="0" collapsed="false">
      <c r="A713" s="23"/>
      <c r="B713" s="23"/>
      <c r="C713" s="23"/>
      <c r="D713" s="23"/>
      <c r="E713" s="23"/>
      <c r="F713" s="23"/>
      <c r="G713" s="23"/>
      <c r="H713" s="23"/>
      <c r="I713" s="23"/>
      <c r="J713" s="23"/>
      <c r="K713" s="24"/>
      <c r="L713" s="23"/>
      <c r="M713" s="25"/>
      <c r="N713" s="25"/>
      <c r="O713" s="23"/>
      <c r="P713" s="26"/>
      <c r="Q713" s="26"/>
      <c r="R713" s="27" t="str">
        <f aca="false">IF(AND(ISNUMBER(P713),ISNUMBER(Q713)),P713-Q713,"")</f>
        <v/>
      </c>
      <c r="S713" s="24"/>
      <c r="T713" s="28" t="str">
        <f aca="false">IF(S713&lt;&gt;"",S713,IF(B713="","",IFERROR(IF(INDEX(Batches!$G$5:$G$64,MATCH(B713,Batches!$A$5:$A$64,0))="","",INDEX(Batches!$G$5:$G$64,MATCH(B713,Batches!$A$5:$A$64,0))),"")))</f>
        <v/>
      </c>
      <c r="U713" s="23"/>
      <c r="V713" s="24"/>
      <c r="W713" s="28" t="str">
        <f aca="false">IF(OR(X713="",X713="Pending"),"",IF(V713&lt;&gt;"",V713,IFERROR(IF(INDEX(Batches!$H$5:$H$64,MATCH(B713,Batches!$A$5:$A$64,0))="","",INDEX(Batches!$H$5:$H$64,MATCH(B713,Batches!$A$5:$A$64,0))),"")))</f>
        <v/>
      </c>
      <c r="X713" s="23"/>
      <c r="Y713" s="23"/>
      <c r="Z713" s="26"/>
      <c r="AA713" s="27" t="str">
        <f aca="false">IF(R713="","",IF(X713="Not accepted",R713,IF(OR(X713="Accepted",X713="Withdrawn by hospital"),IF(X713="Accepted",0,R713),IF(ISNUMBER(Z713),R713-Z713,""))))</f>
        <v/>
      </c>
      <c r="AB713" s="23"/>
      <c r="AC713" s="25"/>
      <c r="AD713" s="23"/>
      <c r="AE713" s="23"/>
      <c r="AF713" s="24"/>
      <c r="AG713" s="23"/>
      <c r="AH713" s="24"/>
      <c r="AI713" s="29" t="str">
        <f aca="false">IF(X713="Not accepted","Maintained",IF(X713="Partially accepted","Partially maintained",IF(X713="Accepted","Reversed",IF(X713="Withdrawn by hospital","Withdrawn by hospital",""))))</f>
        <v/>
      </c>
      <c r="AJ713" s="28" t="str">
        <f aca="false">IF(AI713="","",W713)</f>
        <v/>
      </c>
      <c r="AK713" s="29" t="str">
        <f aca="false">IF(AND(ISNUMBER(T713),ISNUMBER(W713)),W713-T713,"")</f>
        <v/>
      </c>
      <c r="AL713" s="29" t="str">
        <f aca="false">IF(A713="","",SUMIF(Actions!$C$5:$C$1004,A713,Actions!$F$5:$F$1004))</f>
        <v/>
      </c>
      <c r="AM713" s="25"/>
    </row>
    <row r="714" customFormat="false" ht="15" hidden="false" customHeight="false" outlineLevel="0" collapsed="false">
      <c r="A714" s="23"/>
      <c r="B714" s="23"/>
      <c r="C714" s="23"/>
      <c r="D714" s="23"/>
      <c r="E714" s="23"/>
      <c r="F714" s="23"/>
      <c r="G714" s="23"/>
      <c r="H714" s="23"/>
      <c r="I714" s="23"/>
      <c r="J714" s="23"/>
      <c r="K714" s="24"/>
      <c r="L714" s="23"/>
      <c r="M714" s="25"/>
      <c r="N714" s="25"/>
      <c r="O714" s="23"/>
      <c r="P714" s="26"/>
      <c r="Q714" s="26"/>
      <c r="R714" s="27" t="str">
        <f aca="false">IF(AND(ISNUMBER(P714),ISNUMBER(Q714)),P714-Q714,"")</f>
        <v/>
      </c>
      <c r="S714" s="24"/>
      <c r="T714" s="28" t="str">
        <f aca="false">IF(S714&lt;&gt;"",S714,IF(B714="","",IFERROR(IF(INDEX(Batches!$G$5:$G$64,MATCH(B714,Batches!$A$5:$A$64,0))="","",INDEX(Batches!$G$5:$G$64,MATCH(B714,Batches!$A$5:$A$64,0))),"")))</f>
        <v/>
      </c>
      <c r="U714" s="23"/>
      <c r="V714" s="24"/>
      <c r="W714" s="28" t="str">
        <f aca="false">IF(OR(X714="",X714="Pending"),"",IF(V714&lt;&gt;"",V714,IFERROR(IF(INDEX(Batches!$H$5:$H$64,MATCH(B714,Batches!$A$5:$A$64,0))="","",INDEX(Batches!$H$5:$H$64,MATCH(B714,Batches!$A$5:$A$64,0))),"")))</f>
        <v/>
      </c>
      <c r="X714" s="23"/>
      <c r="Y714" s="23"/>
      <c r="Z714" s="26"/>
      <c r="AA714" s="27" t="str">
        <f aca="false">IF(R714="","",IF(X714="Not accepted",R714,IF(OR(X714="Accepted",X714="Withdrawn by hospital"),IF(X714="Accepted",0,R714),IF(ISNUMBER(Z714),R714-Z714,""))))</f>
        <v/>
      </c>
      <c r="AB714" s="23"/>
      <c r="AC714" s="25"/>
      <c r="AD714" s="23"/>
      <c r="AE714" s="23"/>
      <c r="AF714" s="24"/>
      <c r="AG714" s="23"/>
      <c r="AH714" s="24"/>
      <c r="AI714" s="29" t="str">
        <f aca="false">IF(X714="Not accepted","Maintained",IF(X714="Partially accepted","Partially maintained",IF(X714="Accepted","Reversed",IF(X714="Withdrawn by hospital","Withdrawn by hospital",""))))</f>
        <v/>
      </c>
      <c r="AJ714" s="28" t="str">
        <f aca="false">IF(AI714="","",W714)</f>
        <v/>
      </c>
      <c r="AK714" s="29" t="str">
        <f aca="false">IF(AND(ISNUMBER(T714),ISNUMBER(W714)),W714-T714,"")</f>
        <v/>
      </c>
      <c r="AL714" s="29" t="str">
        <f aca="false">IF(A714="","",SUMIF(Actions!$C$5:$C$1004,A714,Actions!$F$5:$F$1004))</f>
        <v/>
      </c>
      <c r="AM714" s="25"/>
    </row>
    <row r="715" customFormat="false" ht="15" hidden="false" customHeight="false" outlineLevel="0" collapsed="false">
      <c r="A715" s="23"/>
      <c r="B715" s="23"/>
      <c r="C715" s="23"/>
      <c r="D715" s="23"/>
      <c r="E715" s="23"/>
      <c r="F715" s="23"/>
      <c r="G715" s="23"/>
      <c r="H715" s="23"/>
      <c r="I715" s="23"/>
      <c r="J715" s="23"/>
      <c r="K715" s="24"/>
      <c r="L715" s="23"/>
      <c r="M715" s="25"/>
      <c r="N715" s="25"/>
      <c r="O715" s="23"/>
      <c r="P715" s="26"/>
      <c r="Q715" s="26"/>
      <c r="R715" s="27" t="str">
        <f aca="false">IF(AND(ISNUMBER(P715),ISNUMBER(Q715)),P715-Q715,"")</f>
        <v/>
      </c>
      <c r="S715" s="24"/>
      <c r="T715" s="28" t="str">
        <f aca="false">IF(S715&lt;&gt;"",S715,IF(B715="","",IFERROR(IF(INDEX(Batches!$G$5:$G$64,MATCH(B715,Batches!$A$5:$A$64,0))="","",INDEX(Batches!$G$5:$G$64,MATCH(B715,Batches!$A$5:$A$64,0))),"")))</f>
        <v/>
      </c>
      <c r="U715" s="23"/>
      <c r="V715" s="24"/>
      <c r="W715" s="28" t="str">
        <f aca="false">IF(OR(X715="",X715="Pending"),"",IF(V715&lt;&gt;"",V715,IFERROR(IF(INDEX(Batches!$H$5:$H$64,MATCH(B715,Batches!$A$5:$A$64,0))="","",INDEX(Batches!$H$5:$H$64,MATCH(B715,Batches!$A$5:$A$64,0))),"")))</f>
        <v/>
      </c>
      <c r="X715" s="23"/>
      <c r="Y715" s="23"/>
      <c r="Z715" s="26"/>
      <c r="AA715" s="27" t="str">
        <f aca="false">IF(R715="","",IF(X715="Not accepted",R715,IF(OR(X715="Accepted",X715="Withdrawn by hospital"),IF(X715="Accepted",0,R715),IF(ISNUMBER(Z715),R715-Z715,""))))</f>
        <v/>
      </c>
      <c r="AB715" s="23"/>
      <c r="AC715" s="25"/>
      <c r="AD715" s="23"/>
      <c r="AE715" s="23"/>
      <c r="AF715" s="24"/>
      <c r="AG715" s="23"/>
      <c r="AH715" s="24"/>
      <c r="AI715" s="29" t="str">
        <f aca="false">IF(X715="Not accepted","Maintained",IF(X715="Partially accepted","Partially maintained",IF(X715="Accepted","Reversed",IF(X715="Withdrawn by hospital","Withdrawn by hospital",""))))</f>
        <v/>
      </c>
      <c r="AJ715" s="28" t="str">
        <f aca="false">IF(AI715="","",W715)</f>
        <v/>
      </c>
      <c r="AK715" s="29" t="str">
        <f aca="false">IF(AND(ISNUMBER(T715),ISNUMBER(W715)),W715-T715,"")</f>
        <v/>
      </c>
      <c r="AL715" s="29" t="str">
        <f aca="false">IF(A715="","",SUMIF(Actions!$C$5:$C$1004,A715,Actions!$F$5:$F$1004))</f>
        <v/>
      </c>
      <c r="AM715" s="25"/>
    </row>
    <row r="716" customFormat="false" ht="15" hidden="false" customHeight="false" outlineLevel="0" collapsed="false">
      <c r="A716" s="23"/>
      <c r="B716" s="23"/>
      <c r="C716" s="23"/>
      <c r="D716" s="23"/>
      <c r="E716" s="23"/>
      <c r="F716" s="23"/>
      <c r="G716" s="23"/>
      <c r="H716" s="23"/>
      <c r="I716" s="23"/>
      <c r="J716" s="23"/>
      <c r="K716" s="24"/>
      <c r="L716" s="23"/>
      <c r="M716" s="25"/>
      <c r="N716" s="25"/>
      <c r="O716" s="23"/>
      <c r="P716" s="26"/>
      <c r="Q716" s="26"/>
      <c r="R716" s="27" t="str">
        <f aca="false">IF(AND(ISNUMBER(P716),ISNUMBER(Q716)),P716-Q716,"")</f>
        <v/>
      </c>
      <c r="S716" s="24"/>
      <c r="T716" s="28" t="str">
        <f aca="false">IF(S716&lt;&gt;"",S716,IF(B716="","",IFERROR(IF(INDEX(Batches!$G$5:$G$64,MATCH(B716,Batches!$A$5:$A$64,0))="","",INDEX(Batches!$G$5:$G$64,MATCH(B716,Batches!$A$5:$A$64,0))),"")))</f>
        <v/>
      </c>
      <c r="U716" s="23"/>
      <c r="V716" s="24"/>
      <c r="W716" s="28" t="str">
        <f aca="false">IF(OR(X716="",X716="Pending"),"",IF(V716&lt;&gt;"",V716,IFERROR(IF(INDEX(Batches!$H$5:$H$64,MATCH(B716,Batches!$A$5:$A$64,0))="","",INDEX(Batches!$H$5:$H$64,MATCH(B716,Batches!$A$5:$A$64,0))),"")))</f>
        <v/>
      </c>
      <c r="X716" s="23"/>
      <c r="Y716" s="23"/>
      <c r="Z716" s="26"/>
      <c r="AA716" s="27" t="str">
        <f aca="false">IF(R716="","",IF(X716="Not accepted",R716,IF(OR(X716="Accepted",X716="Withdrawn by hospital"),IF(X716="Accepted",0,R716),IF(ISNUMBER(Z716),R716-Z716,""))))</f>
        <v/>
      </c>
      <c r="AB716" s="23"/>
      <c r="AC716" s="25"/>
      <c r="AD716" s="23"/>
      <c r="AE716" s="23"/>
      <c r="AF716" s="24"/>
      <c r="AG716" s="23"/>
      <c r="AH716" s="24"/>
      <c r="AI716" s="29" t="str">
        <f aca="false">IF(X716="Not accepted","Maintained",IF(X716="Partially accepted","Partially maintained",IF(X716="Accepted","Reversed",IF(X716="Withdrawn by hospital","Withdrawn by hospital",""))))</f>
        <v/>
      </c>
      <c r="AJ716" s="28" t="str">
        <f aca="false">IF(AI716="","",W716)</f>
        <v/>
      </c>
      <c r="AK716" s="29" t="str">
        <f aca="false">IF(AND(ISNUMBER(T716),ISNUMBER(W716)),W716-T716,"")</f>
        <v/>
      </c>
      <c r="AL716" s="29" t="str">
        <f aca="false">IF(A716="","",SUMIF(Actions!$C$5:$C$1004,A716,Actions!$F$5:$F$1004))</f>
        <v/>
      </c>
      <c r="AM716" s="25"/>
    </row>
    <row r="717" customFormat="false" ht="15" hidden="false" customHeight="false" outlineLevel="0" collapsed="false">
      <c r="A717" s="23"/>
      <c r="B717" s="23"/>
      <c r="C717" s="23"/>
      <c r="D717" s="23"/>
      <c r="E717" s="23"/>
      <c r="F717" s="23"/>
      <c r="G717" s="23"/>
      <c r="H717" s="23"/>
      <c r="I717" s="23"/>
      <c r="J717" s="23"/>
      <c r="K717" s="24"/>
      <c r="L717" s="23"/>
      <c r="M717" s="25"/>
      <c r="N717" s="25"/>
      <c r="O717" s="23"/>
      <c r="P717" s="26"/>
      <c r="Q717" s="26"/>
      <c r="R717" s="27" t="str">
        <f aca="false">IF(AND(ISNUMBER(P717),ISNUMBER(Q717)),P717-Q717,"")</f>
        <v/>
      </c>
      <c r="S717" s="24"/>
      <c r="T717" s="28" t="str">
        <f aca="false">IF(S717&lt;&gt;"",S717,IF(B717="","",IFERROR(IF(INDEX(Batches!$G$5:$G$64,MATCH(B717,Batches!$A$5:$A$64,0))="","",INDEX(Batches!$G$5:$G$64,MATCH(B717,Batches!$A$5:$A$64,0))),"")))</f>
        <v/>
      </c>
      <c r="U717" s="23"/>
      <c r="V717" s="24"/>
      <c r="W717" s="28" t="str">
        <f aca="false">IF(OR(X717="",X717="Pending"),"",IF(V717&lt;&gt;"",V717,IFERROR(IF(INDEX(Batches!$H$5:$H$64,MATCH(B717,Batches!$A$5:$A$64,0))="","",INDEX(Batches!$H$5:$H$64,MATCH(B717,Batches!$A$5:$A$64,0))),"")))</f>
        <v/>
      </c>
      <c r="X717" s="23"/>
      <c r="Y717" s="23"/>
      <c r="Z717" s="26"/>
      <c r="AA717" s="27" t="str">
        <f aca="false">IF(R717="","",IF(X717="Not accepted",R717,IF(OR(X717="Accepted",X717="Withdrawn by hospital"),IF(X717="Accepted",0,R717),IF(ISNUMBER(Z717),R717-Z717,""))))</f>
        <v/>
      </c>
      <c r="AB717" s="23"/>
      <c r="AC717" s="25"/>
      <c r="AD717" s="23"/>
      <c r="AE717" s="23"/>
      <c r="AF717" s="24"/>
      <c r="AG717" s="23"/>
      <c r="AH717" s="24"/>
      <c r="AI717" s="29" t="str">
        <f aca="false">IF(X717="Not accepted","Maintained",IF(X717="Partially accepted","Partially maintained",IF(X717="Accepted","Reversed",IF(X717="Withdrawn by hospital","Withdrawn by hospital",""))))</f>
        <v/>
      </c>
      <c r="AJ717" s="28" t="str">
        <f aca="false">IF(AI717="","",W717)</f>
        <v/>
      </c>
      <c r="AK717" s="29" t="str">
        <f aca="false">IF(AND(ISNUMBER(T717),ISNUMBER(W717)),W717-T717,"")</f>
        <v/>
      </c>
      <c r="AL717" s="29" t="str">
        <f aca="false">IF(A717="","",SUMIF(Actions!$C$5:$C$1004,A717,Actions!$F$5:$F$1004))</f>
        <v/>
      </c>
      <c r="AM717" s="25"/>
    </row>
    <row r="718" customFormat="false" ht="15" hidden="false" customHeight="false" outlineLevel="0" collapsed="false">
      <c r="A718" s="23"/>
      <c r="B718" s="23"/>
      <c r="C718" s="23"/>
      <c r="D718" s="23"/>
      <c r="E718" s="23"/>
      <c r="F718" s="23"/>
      <c r="G718" s="23"/>
      <c r="H718" s="23"/>
      <c r="I718" s="23"/>
      <c r="J718" s="23"/>
      <c r="K718" s="24"/>
      <c r="L718" s="23"/>
      <c r="M718" s="25"/>
      <c r="N718" s="25"/>
      <c r="O718" s="23"/>
      <c r="P718" s="26"/>
      <c r="Q718" s="26"/>
      <c r="R718" s="27" t="str">
        <f aca="false">IF(AND(ISNUMBER(P718),ISNUMBER(Q718)),P718-Q718,"")</f>
        <v/>
      </c>
      <c r="S718" s="24"/>
      <c r="T718" s="28" t="str">
        <f aca="false">IF(S718&lt;&gt;"",S718,IF(B718="","",IFERROR(IF(INDEX(Batches!$G$5:$G$64,MATCH(B718,Batches!$A$5:$A$64,0))="","",INDEX(Batches!$G$5:$G$64,MATCH(B718,Batches!$A$5:$A$64,0))),"")))</f>
        <v/>
      </c>
      <c r="U718" s="23"/>
      <c r="V718" s="24"/>
      <c r="W718" s="28" t="str">
        <f aca="false">IF(OR(X718="",X718="Pending"),"",IF(V718&lt;&gt;"",V718,IFERROR(IF(INDEX(Batches!$H$5:$H$64,MATCH(B718,Batches!$A$5:$A$64,0))="","",INDEX(Batches!$H$5:$H$64,MATCH(B718,Batches!$A$5:$A$64,0))),"")))</f>
        <v/>
      </c>
      <c r="X718" s="23"/>
      <c r="Y718" s="23"/>
      <c r="Z718" s="26"/>
      <c r="AA718" s="27" t="str">
        <f aca="false">IF(R718="","",IF(X718="Not accepted",R718,IF(OR(X718="Accepted",X718="Withdrawn by hospital"),IF(X718="Accepted",0,R718),IF(ISNUMBER(Z718),R718-Z718,""))))</f>
        <v/>
      </c>
      <c r="AB718" s="23"/>
      <c r="AC718" s="25"/>
      <c r="AD718" s="23"/>
      <c r="AE718" s="23"/>
      <c r="AF718" s="24"/>
      <c r="AG718" s="23"/>
      <c r="AH718" s="24"/>
      <c r="AI718" s="29" t="str">
        <f aca="false">IF(X718="Not accepted","Maintained",IF(X718="Partially accepted","Partially maintained",IF(X718="Accepted","Reversed",IF(X718="Withdrawn by hospital","Withdrawn by hospital",""))))</f>
        <v/>
      </c>
      <c r="AJ718" s="28" t="str">
        <f aca="false">IF(AI718="","",W718)</f>
        <v/>
      </c>
      <c r="AK718" s="29" t="str">
        <f aca="false">IF(AND(ISNUMBER(T718),ISNUMBER(W718)),W718-T718,"")</f>
        <v/>
      </c>
      <c r="AL718" s="29" t="str">
        <f aca="false">IF(A718="","",SUMIF(Actions!$C$5:$C$1004,A718,Actions!$F$5:$F$1004))</f>
        <v/>
      </c>
      <c r="AM718" s="25"/>
    </row>
    <row r="719" customFormat="false" ht="15" hidden="false" customHeight="false" outlineLevel="0" collapsed="false">
      <c r="A719" s="23"/>
      <c r="B719" s="23"/>
      <c r="C719" s="23"/>
      <c r="D719" s="23"/>
      <c r="E719" s="23"/>
      <c r="F719" s="23"/>
      <c r="G719" s="23"/>
      <c r="H719" s="23"/>
      <c r="I719" s="23"/>
      <c r="J719" s="23"/>
      <c r="K719" s="24"/>
      <c r="L719" s="23"/>
      <c r="M719" s="25"/>
      <c r="N719" s="25"/>
      <c r="O719" s="23"/>
      <c r="P719" s="26"/>
      <c r="Q719" s="26"/>
      <c r="R719" s="27" t="str">
        <f aca="false">IF(AND(ISNUMBER(P719),ISNUMBER(Q719)),P719-Q719,"")</f>
        <v/>
      </c>
      <c r="S719" s="24"/>
      <c r="T719" s="28" t="str">
        <f aca="false">IF(S719&lt;&gt;"",S719,IF(B719="","",IFERROR(IF(INDEX(Batches!$G$5:$G$64,MATCH(B719,Batches!$A$5:$A$64,0))="","",INDEX(Batches!$G$5:$G$64,MATCH(B719,Batches!$A$5:$A$64,0))),"")))</f>
        <v/>
      </c>
      <c r="U719" s="23"/>
      <c r="V719" s="24"/>
      <c r="W719" s="28" t="str">
        <f aca="false">IF(OR(X719="",X719="Pending"),"",IF(V719&lt;&gt;"",V719,IFERROR(IF(INDEX(Batches!$H$5:$H$64,MATCH(B719,Batches!$A$5:$A$64,0))="","",INDEX(Batches!$H$5:$H$64,MATCH(B719,Batches!$A$5:$A$64,0))),"")))</f>
        <v/>
      </c>
      <c r="X719" s="23"/>
      <c r="Y719" s="23"/>
      <c r="Z719" s="26"/>
      <c r="AA719" s="27" t="str">
        <f aca="false">IF(R719="","",IF(X719="Not accepted",R719,IF(OR(X719="Accepted",X719="Withdrawn by hospital"),IF(X719="Accepted",0,R719),IF(ISNUMBER(Z719),R719-Z719,""))))</f>
        <v/>
      </c>
      <c r="AB719" s="23"/>
      <c r="AC719" s="25"/>
      <c r="AD719" s="23"/>
      <c r="AE719" s="23"/>
      <c r="AF719" s="24"/>
      <c r="AG719" s="23"/>
      <c r="AH719" s="24"/>
      <c r="AI719" s="29" t="str">
        <f aca="false">IF(X719="Not accepted","Maintained",IF(X719="Partially accepted","Partially maintained",IF(X719="Accepted","Reversed",IF(X719="Withdrawn by hospital","Withdrawn by hospital",""))))</f>
        <v/>
      </c>
      <c r="AJ719" s="28" t="str">
        <f aca="false">IF(AI719="","",W719)</f>
        <v/>
      </c>
      <c r="AK719" s="29" t="str">
        <f aca="false">IF(AND(ISNUMBER(T719),ISNUMBER(W719)),W719-T719,"")</f>
        <v/>
      </c>
      <c r="AL719" s="29" t="str">
        <f aca="false">IF(A719="","",SUMIF(Actions!$C$5:$C$1004,A719,Actions!$F$5:$F$1004))</f>
        <v/>
      </c>
      <c r="AM719" s="25"/>
    </row>
    <row r="720" customFormat="false" ht="15" hidden="false" customHeight="false" outlineLevel="0" collapsed="false">
      <c r="A720" s="23"/>
      <c r="B720" s="23"/>
      <c r="C720" s="23"/>
      <c r="D720" s="23"/>
      <c r="E720" s="23"/>
      <c r="F720" s="23"/>
      <c r="G720" s="23"/>
      <c r="H720" s="23"/>
      <c r="I720" s="23"/>
      <c r="J720" s="23"/>
      <c r="K720" s="24"/>
      <c r="L720" s="23"/>
      <c r="M720" s="25"/>
      <c r="N720" s="25"/>
      <c r="O720" s="23"/>
      <c r="P720" s="26"/>
      <c r="Q720" s="26"/>
      <c r="R720" s="27" t="str">
        <f aca="false">IF(AND(ISNUMBER(P720),ISNUMBER(Q720)),P720-Q720,"")</f>
        <v/>
      </c>
      <c r="S720" s="24"/>
      <c r="T720" s="28" t="str">
        <f aca="false">IF(S720&lt;&gt;"",S720,IF(B720="","",IFERROR(IF(INDEX(Batches!$G$5:$G$64,MATCH(B720,Batches!$A$5:$A$64,0))="","",INDEX(Batches!$G$5:$G$64,MATCH(B720,Batches!$A$5:$A$64,0))),"")))</f>
        <v/>
      </c>
      <c r="U720" s="23"/>
      <c r="V720" s="24"/>
      <c r="W720" s="28" t="str">
        <f aca="false">IF(OR(X720="",X720="Pending"),"",IF(V720&lt;&gt;"",V720,IFERROR(IF(INDEX(Batches!$H$5:$H$64,MATCH(B720,Batches!$A$5:$A$64,0))="","",INDEX(Batches!$H$5:$H$64,MATCH(B720,Batches!$A$5:$A$64,0))),"")))</f>
        <v/>
      </c>
      <c r="X720" s="23"/>
      <c r="Y720" s="23"/>
      <c r="Z720" s="26"/>
      <c r="AA720" s="27" t="str">
        <f aca="false">IF(R720="","",IF(X720="Not accepted",R720,IF(OR(X720="Accepted",X720="Withdrawn by hospital"),IF(X720="Accepted",0,R720),IF(ISNUMBER(Z720),R720-Z720,""))))</f>
        <v/>
      </c>
      <c r="AB720" s="23"/>
      <c r="AC720" s="25"/>
      <c r="AD720" s="23"/>
      <c r="AE720" s="23"/>
      <c r="AF720" s="24"/>
      <c r="AG720" s="23"/>
      <c r="AH720" s="24"/>
      <c r="AI720" s="29" t="str">
        <f aca="false">IF(X720="Not accepted","Maintained",IF(X720="Partially accepted","Partially maintained",IF(X720="Accepted","Reversed",IF(X720="Withdrawn by hospital","Withdrawn by hospital",""))))</f>
        <v/>
      </c>
      <c r="AJ720" s="28" t="str">
        <f aca="false">IF(AI720="","",W720)</f>
        <v/>
      </c>
      <c r="AK720" s="29" t="str">
        <f aca="false">IF(AND(ISNUMBER(T720),ISNUMBER(W720)),W720-T720,"")</f>
        <v/>
      </c>
      <c r="AL720" s="29" t="str">
        <f aca="false">IF(A720="","",SUMIF(Actions!$C$5:$C$1004,A720,Actions!$F$5:$F$1004))</f>
        <v/>
      </c>
      <c r="AM720" s="25"/>
    </row>
    <row r="721" customFormat="false" ht="15" hidden="false" customHeight="false" outlineLevel="0" collapsed="false">
      <c r="A721" s="23"/>
      <c r="B721" s="23"/>
      <c r="C721" s="23"/>
      <c r="D721" s="23"/>
      <c r="E721" s="23"/>
      <c r="F721" s="23"/>
      <c r="G721" s="23"/>
      <c r="H721" s="23"/>
      <c r="I721" s="23"/>
      <c r="J721" s="23"/>
      <c r="K721" s="24"/>
      <c r="L721" s="23"/>
      <c r="M721" s="25"/>
      <c r="N721" s="25"/>
      <c r="O721" s="23"/>
      <c r="P721" s="26"/>
      <c r="Q721" s="26"/>
      <c r="R721" s="27" t="str">
        <f aca="false">IF(AND(ISNUMBER(P721),ISNUMBER(Q721)),P721-Q721,"")</f>
        <v/>
      </c>
      <c r="S721" s="24"/>
      <c r="T721" s="28" t="str">
        <f aca="false">IF(S721&lt;&gt;"",S721,IF(B721="","",IFERROR(IF(INDEX(Batches!$G$5:$G$64,MATCH(B721,Batches!$A$5:$A$64,0))="","",INDEX(Batches!$G$5:$G$64,MATCH(B721,Batches!$A$5:$A$64,0))),"")))</f>
        <v/>
      </c>
      <c r="U721" s="23"/>
      <c r="V721" s="24"/>
      <c r="W721" s="28" t="str">
        <f aca="false">IF(OR(X721="",X721="Pending"),"",IF(V721&lt;&gt;"",V721,IFERROR(IF(INDEX(Batches!$H$5:$H$64,MATCH(B721,Batches!$A$5:$A$64,0))="","",INDEX(Batches!$H$5:$H$64,MATCH(B721,Batches!$A$5:$A$64,0))),"")))</f>
        <v/>
      </c>
      <c r="X721" s="23"/>
      <c r="Y721" s="23"/>
      <c r="Z721" s="26"/>
      <c r="AA721" s="27" t="str">
        <f aca="false">IF(R721="","",IF(X721="Not accepted",R721,IF(OR(X721="Accepted",X721="Withdrawn by hospital"),IF(X721="Accepted",0,R721),IF(ISNUMBER(Z721),R721-Z721,""))))</f>
        <v/>
      </c>
      <c r="AB721" s="23"/>
      <c r="AC721" s="25"/>
      <c r="AD721" s="23"/>
      <c r="AE721" s="23"/>
      <c r="AF721" s="24"/>
      <c r="AG721" s="23"/>
      <c r="AH721" s="24"/>
      <c r="AI721" s="29" t="str">
        <f aca="false">IF(X721="Not accepted","Maintained",IF(X721="Partially accepted","Partially maintained",IF(X721="Accepted","Reversed",IF(X721="Withdrawn by hospital","Withdrawn by hospital",""))))</f>
        <v/>
      </c>
      <c r="AJ721" s="28" t="str">
        <f aca="false">IF(AI721="","",W721)</f>
        <v/>
      </c>
      <c r="AK721" s="29" t="str">
        <f aca="false">IF(AND(ISNUMBER(T721),ISNUMBER(W721)),W721-T721,"")</f>
        <v/>
      </c>
      <c r="AL721" s="29" t="str">
        <f aca="false">IF(A721="","",SUMIF(Actions!$C$5:$C$1004,A721,Actions!$F$5:$F$1004))</f>
        <v/>
      </c>
      <c r="AM721" s="25"/>
    </row>
    <row r="722" customFormat="false" ht="15" hidden="false" customHeight="false" outlineLevel="0" collapsed="false">
      <c r="A722" s="23"/>
      <c r="B722" s="23"/>
      <c r="C722" s="23"/>
      <c r="D722" s="23"/>
      <c r="E722" s="23"/>
      <c r="F722" s="23"/>
      <c r="G722" s="23"/>
      <c r="H722" s="23"/>
      <c r="I722" s="23"/>
      <c r="J722" s="23"/>
      <c r="K722" s="24"/>
      <c r="L722" s="23"/>
      <c r="M722" s="25"/>
      <c r="N722" s="25"/>
      <c r="O722" s="23"/>
      <c r="P722" s="26"/>
      <c r="Q722" s="26"/>
      <c r="R722" s="27" t="str">
        <f aca="false">IF(AND(ISNUMBER(P722),ISNUMBER(Q722)),P722-Q722,"")</f>
        <v/>
      </c>
      <c r="S722" s="24"/>
      <c r="T722" s="28" t="str">
        <f aca="false">IF(S722&lt;&gt;"",S722,IF(B722="","",IFERROR(IF(INDEX(Batches!$G$5:$G$64,MATCH(B722,Batches!$A$5:$A$64,0))="","",INDEX(Batches!$G$5:$G$64,MATCH(B722,Batches!$A$5:$A$64,0))),"")))</f>
        <v/>
      </c>
      <c r="U722" s="23"/>
      <c r="V722" s="24"/>
      <c r="W722" s="28" t="str">
        <f aca="false">IF(OR(X722="",X722="Pending"),"",IF(V722&lt;&gt;"",V722,IFERROR(IF(INDEX(Batches!$H$5:$H$64,MATCH(B722,Batches!$A$5:$A$64,0))="","",INDEX(Batches!$H$5:$H$64,MATCH(B722,Batches!$A$5:$A$64,0))),"")))</f>
        <v/>
      </c>
      <c r="X722" s="23"/>
      <c r="Y722" s="23"/>
      <c r="Z722" s="26"/>
      <c r="AA722" s="27" t="str">
        <f aca="false">IF(R722="","",IF(X722="Not accepted",R722,IF(OR(X722="Accepted",X722="Withdrawn by hospital"),IF(X722="Accepted",0,R722),IF(ISNUMBER(Z722),R722-Z722,""))))</f>
        <v/>
      </c>
      <c r="AB722" s="23"/>
      <c r="AC722" s="25"/>
      <c r="AD722" s="23"/>
      <c r="AE722" s="23"/>
      <c r="AF722" s="24"/>
      <c r="AG722" s="23"/>
      <c r="AH722" s="24"/>
      <c r="AI722" s="29" t="str">
        <f aca="false">IF(X722="Not accepted","Maintained",IF(X722="Partially accepted","Partially maintained",IF(X722="Accepted","Reversed",IF(X722="Withdrawn by hospital","Withdrawn by hospital",""))))</f>
        <v/>
      </c>
      <c r="AJ722" s="28" t="str">
        <f aca="false">IF(AI722="","",W722)</f>
        <v/>
      </c>
      <c r="AK722" s="29" t="str">
        <f aca="false">IF(AND(ISNUMBER(T722),ISNUMBER(W722)),W722-T722,"")</f>
        <v/>
      </c>
      <c r="AL722" s="29" t="str">
        <f aca="false">IF(A722="","",SUMIF(Actions!$C$5:$C$1004,A722,Actions!$F$5:$F$1004))</f>
        <v/>
      </c>
      <c r="AM722" s="25"/>
    </row>
    <row r="723" customFormat="false" ht="15" hidden="false" customHeight="false" outlineLevel="0" collapsed="false">
      <c r="A723" s="23"/>
      <c r="B723" s="23"/>
      <c r="C723" s="23"/>
      <c r="D723" s="23"/>
      <c r="E723" s="23"/>
      <c r="F723" s="23"/>
      <c r="G723" s="23"/>
      <c r="H723" s="23"/>
      <c r="I723" s="23"/>
      <c r="J723" s="23"/>
      <c r="K723" s="24"/>
      <c r="L723" s="23"/>
      <c r="M723" s="25"/>
      <c r="N723" s="25"/>
      <c r="O723" s="23"/>
      <c r="P723" s="26"/>
      <c r="Q723" s="26"/>
      <c r="R723" s="27" t="str">
        <f aca="false">IF(AND(ISNUMBER(P723),ISNUMBER(Q723)),P723-Q723,"")</f>
        <v/>
      </c>
      <c r="S723" s="24"/>
      <c r="T723" s="28" t="str">
        <f aca="false">IF(S723&lt;&gt;"",S723,IF(B723="","",IFERROR(IF(INDEX(Batches!$G$5:$G$64,MATCH(B723,Batches!$A$5:$A$64,0))="","",INDEX(Batches!$G$5:$G$64,MATCH(B723,Batches!$A$5:$A$64,0))),"")))</f>
        <v/>
      </c>
      <c r="U723" s="23"/>
      <c r="V723" s="24"/>
      <c r="W723" s="28" t="str">
        <f aca="false">IF(OR(X723="",X723="Pending"),"",IF(V723&lt;&gt;"",V723,IFERROR(IF(INDEX(Batches!$H$5:$H$64,MATCH(B723,Batches!$A$5:$A$64,0))="","",INDEX(Batches!$H$5:$H$64,MATCH(B723,Batches!$A$5:$A$64,0))),"")))</f>
        <v/>
      </c>
      <c r="X723" s="23"/>
      <c r="Y723" s="23"/>
      <c r="Z723" s="26"/>
      <c r="AA723" s="27" t="str">
        <f aca="false">IF(R723="","",IF(X723="Not accepted",R723,IF(OR(X723="Accepted",X723="Withdrawn by hospital"),IF(X723="Accepted",0,R723),IF(ISNUMBER(Z723),R723-Z723,""))))</f>
        <v/>
      </c>
      <c r="AB723" s="23"/>
      <c r="AC723" s="25"/>
      <c r="AD723" s="23"/>
      <c r="AE723" s="23"/>
      <c r="AF723" s="24"/>
      <c r="AG723" s="23"/>
      <c r="AH723" s="24"/>
      <c r="AI723" s="29" t="str">
        <f aca="false">IF(X723="Not accepted","Maintained",IF(X723="Partially accepted","Partially maintained",IF(X723="Accepted","Reversed",IF(X723="Withdrawn by hospital","Withdrawn by hospital",""))))</f>
        <v/>
      </c>
      <c r="AJ723" s="28" t="str">
        <f aca="false">IF(AI723="","",W723)</f>
        <v/>
      </c>
      <c r="AK723" s="29" t="str">
        <f aca="false">IF(AND(ISNUMBER(T723),ISNUMBER(W723)),W723-T723,"")</f>
        <v/>
      </c>
      <c r="AL723" s="29" t="str">
        <f aca="false">IF(A723="","",SUMIF(Actions!$C$5:$C$1004,A723,Actions!$F$5:$F$1004))</f>
        <v/>
      </c>
      <c r="AM723" s="25"/>
    </row>
    <row r="724" customFormat="false" ht="15" hidden="false" customHeight="false" outlineLevel="0" collapsed="false">
      <c r="A724" s="23"/>
      <c r="B724" s="23"/>
      <c r="C724" s="23"/>
      <c r="D724" s="23"/>
      <c r="E724" s="23"/>
      <c r="F724" s="23"/>
      <c r="G724" s="23"/>
      <c r="H724" s="23"/>
      <c r="I724" s="23"/>
      <c r="J724" s="23"/>
      <c r="K724" s="24"/>
      <c r="L724" s="23"/>
      <c r="M724" s="25"/>
      <c r="N724" s="25"/>
      <c r="O724" s="23"/>
      <c r="P724" s="26"/>
      <c r="Q724" s="26"/>
      <c r="R724" s="27" t="str">
        <f aca="false">IF(AND(ISNUMBER(P724),ISNUMBER(Q724)),P724-Q724,"")</f>
        <v/>
      </c>
      <c r="S724" s="24"/>
      <c r="T724" s="28" t="str">
        <f aca="false">IF(S724&lt;&gt;"",S724,IF(B724="","",IFERROR(IF(INDEX(Batches!$G$5:$G$64,MATCH(B724,Batches!$A$5:$A$64,0))="","",INDEX(Batches!$G$5:$G$64,MATCH(B724,Batches!$A$5:$A$64,0))),"")))</f>
        <v/>
      </c>
      <c r="U724" s="23"/>
      <c r="V724" s="24"/>
      <c r="W724" s="28" t="str">
        <f aca="false">IF(OR(X724="",X724="Pending"),"",IF(V724&lt;&gt;"",V724,IFERROR(IF(INDEX(Batches!$H$5:$H$64,MATCH(B724,Batches!$A$5:$A$64,0))="","",INDEX(Batches!$H$5:$H$64,MATCH(B724,Batches!$A$5:$A$64,0))),"")))</f>
        <v/>
      </c>
      <c r="X724" s="23"/>
      <c r="Y724" s="23"/>
      <c r="Z724" s="26"/>
      <c r="AA724" s="27" t="str">
        <f aca="false">IF(R724="","",IF(X724="Not accepted",R724,IF(OR(X724="Accepted",X724="Withdrawn by hospital"),IF(X724="Accepted",0,R724),IF(ISNUMBER(Z724),R724-Z724,""))))</f>
        <v/>
      </c>
      <c r="AB724" s="23"/>
      <c r="AC724" s="25"/>
      <c r="AD724" s="23"/>
      <c r="AE724" s="23"/>
      <c r="AF724" s="24"/>
      <c r="AG724" s="23"/>
      <c r="AH724" s="24"/>
      <c r="AI724" s="29" t="str">
        <f aca="false">IF(X724="Not accepted","Maintained",IF(X724="Partially accepted","Partially maintained",IF(X724="Accepted","Reversed",IF(X724="Withdrawn by hospital","Withdrawn by hospital",""))))</f>
        <v/>
      </c>
      <c r="AJ724" s="28" t="str">
        <f aca="false">IF(AI724="","",W724)</f>
        <v/>
      </c>
      <c r="AK724" s="29" t="str">
        <f aca="false">IF(AND(ISNUMBER(T724),ISNUMBER(W724)),W724-T724,"")</f>
        <v/>
      </c>
      <c r="AL724" s="29" t="str">
        <f aca="false">IF(A724="","",SUMIF(Actions!$C$5:$C$1004,A724,Actions!$F$5:$F$1004))</f>
        <v/>
      </c>
      <c r="AM724" s="25"/>
    </row>
    <row r="725" customFormat="false" ht="15" hidden="false" customHeight="false" outlineLevel="0" collapsed="false">
      <c r="A725" s="23"/>
      <c r="B725" s="23"/>
      <c r="C725" s="23"/>
      <c r="D725" s="23"/>
      <c r="E725" s="23"/>
      <c r="F725" s="23"/>
      <c r="G725" s="23"/>
      <c r="H725" s="23"/>
      <c r="I725" s="23"/>
      <c r="J725" s="23"/>
      <c r="K725" s="24"/>
      <c r="L725" s="23"/>
      <c r="M725" s="25"/>
      <c r="N725" s="25"/>
      <c r="O725" s="23"/>
      <c r="P725" s="26"/>
      <c r="Q725" s="26"/>
      <c r="R725" s="27" t="str">
        <f aca="false">IF(AND(ISNUMBER(P725),ISNUMBER(Q725)),P725-Q725,"")</f>
        <v/>
      </c>
      <c r="S725" s="24"/>
      <c r="T725" s="28" t="str">
        <f aca="false">IF(S725&lt;&gt;"",S725,IF(B725="","",IFERROR(IF(INDEX(Batches!$G$5:$G$64,MATCH(B725,Batches!$A$5:$A$64,0))="","",INDEX(Batches!$G$5:$G$64,MATCH(B725,Batches!$A$5:$A$64,0))),"")))</f>
        <v/>
      </c>
      <c r="U725" s="23"/>
      <c r="V725" s="24"/>
      <c r="W725" s="28" t="str">
        <f aca="false">IF(OR(X725="",X725="Pending"),"",IF(V725&lt;&gt;"",V725,IFERROR(IF(INDEX(Batches!$H$5:$H$64,MATCH(B725,Batches!$A$5:$A$64,0))="","",INDEX(Batches!$H$5:$H$64,MATCH(B725,Batches!$A$5:$A$64,0))),"")))</f>
        <v/>
      </c>
      <c r="X725" s="23"/>
      <c r="Y725" s="23"/>
      <c r="Z725" s="26"/>
      <c r="AA725" s="27" t="str">
        <f aca="false">IF(R725="","",IF(X725="Not accepted",R725,IF(OR(X725="Accepted",X725="Withdrawn by hospital"),IF(X725="Accepted",0,R725),IF(ISNUMBER(Z725),R725-Z725,""))))</f>
        <v/>
      </c>
      <c r="AB725" s="23"/>
      <c r="AC725" s="25"/>
      <c r="AD725" s="23"/>
      <c r="AE725" s="23"/>
      <c r="AF725" s="24"/>
      <c r="AG725" s="23"/>
      <c r="AH725" s="24"/>
      <c r="AI725" s="29" t="str">
        <f aca="false">IF(X725="Not accepted","Maintained",IF(X725="Partially accepted","Partially maintained",IF(X725="Accepted","Reversed",IF(X725="Withdrawn by hospital","Withdrawn by hospital",""))))</f>
        <v/>
      </c>
      <c r="AJ725" s="28" t="str">
        <f aca="false">IF(AI725="","",W725)</f>
        <v/>
      </c>
      <c r="AK725" s="29" t="str">
        <f aca="false">IF(AND(ISNUMBER(T725),ISNUMBER(W725)),W725-T725,"")</f>
        <v/>
      </c>
      <c r="AL725" s="29" t="str">
        <f aca="false">IF(A725="","",SUMIF(Actions!$C$5:$C$1004,A725,Actions!$F$5:$F$1004))</f>
        <v/>
      </c>
      <c r="AM725" s="25"/>
    </row>
    <row r="726" customFormat="false" ht="15" hidden="false" customHeight="false" outlineLevel="0" collapsed="false">
      <c r="A726" s="23"/>
      <c r="B726" s="23"/>
      <c r="C726" s="23"/>
      <c r="D726" s="23"/>
      <c r="E726" s="23"/>
      <c r="F726" s="23"/>
      <c r="G726" s="23"/>
      <c r="H726" s="23"/>
      <c r="I726" s="23"/>
      <c r="J726" s="23"/>
      <c r="K726" s="24"/>
      <c r="L726" s="23"/>
      <c r="M726" s="25"/>
      <c r="N726" s="25"/>
      <c r="O726" s="23"/>
      <c r="P726" s="26"/>
      <c r="Q726" s="26"/>
      <c r="R726" s="27" t="str">
        <f aca="false">IF(AND(ISNUMBER(P726),ISNUMBER(Q726)),P726-Q726,"")</f>
        <v/>
      </c>
      <c r="S726" s="24"/>
      <c r="T726" s="28" t="str">
        <f aca="false">IF(S726&lt;&gt;"",S726,IF(B726="","",IFERROR(IF(INDEX(Batches!$G$5:$G$64,MATCH(B726,Batches!$A$5:$A$64,0))="","",INDEX(Batches!$G$5:$G$64,MATCH(B726,Batches!$A$5:$A$64,0))),"")))</f>
        <v/>
      </c>
      <c r="U726" s="23"/>
      <c r="V726" s="24"/>
      <c r="W726" s="28" t="str">
        <f aca="false">IF(OR(X726="",X726="Pending"),"",IF(V726&lt;&gt;"",V726,IFERROR(IF(INDEX(Batches!$H$5:$H$64,MATCH(B726,Batches!$A$5:$A$64,0))="","",INDEX(Batches!$H$5:$H$64,MATCH(B726,Batches!$A$5:$A$64,0))),"")))</f>
        <v/>
      </c>
      <c r="X726" s="23"/>
      <c r="Y726" s="23"/>
      <c r="Z726" s="26"/>
      <c r="AA726" s="27" t="str">
        <f aca="false">IF(R726="","",IF(X726="Not accepted",R726,IF(OR(X726="Accepted",X726="Withdrawn by hospital"),IF(X726="Accepted",0,R726),IF(ISNUMBER(Z726),R726-Z726,""))))</f>
        <v/>
      </c>
      <c r="AB726" s="23"/>
      <c r="AC726" s="25"/>
      <c r="AD726" s="23"/>
      <c r="AE726" s="23"/>
      <c r="AF726" s="24"/>
      <c r="AG726" s="23"/>
      <c r="AH726" s="24"/>
      <c r="AI726" s="29" t="str">
        <f aca="false">IF(X726="Not accepted","Maintained",IF(X726="Partially accepted","Partially maintained",IF(X726="Accepted","Reversed",IF(X726="Withdrawn by hospital","Withdrawn by hospital",""))))</f>
        <v/>
      </c>
      <c r="AJ726" s="28" t="str">
        <f aca="false">IF(AI726="","",W726)</f>
        <v/>
      </c>
      <c r="AK726" s="29" t="str">
        <f aca="false">IF(AND(ISNUMBER(T726),ISNUMBER(W726)),W726-T726,"")</f>
        <v/>
      </c>
      <c r="AL726" s="29" t="str">
        <f aca="false">IF(A726="","",SUMIF(Actions!$C$5:$C$1004,A726,Actions!$F$5:$F$1004))</f>
        <v/>
      </c>
      <c r="AM726" s="25"/>
    </row>
    <row r="727" customFormat="false" ht="15" hidden="false" customHeight="false" outlineLevel="0" collapsed="false">
      <c r="A727" s="23"/>
      <c r="B727" s="23"/>
      <c r="C727" s="23"/>
      <c r="D727" s="23"/>
      <c r="E727" s="23"/>
      <c r="F727" s="23"/>
      <c r="G727" s="23"/>
      <c r="H727" s="23"/>
      <c r="I727" s="23"/>
      <c r="J727" s="23"/>
      <c r="K727" s="24"/>
      <c r="L727" s="23"/>
      <c r="M727" s="25"/>
      <c r="N727" s="25"/>
      <c r="O727" s="23"/>
      <c r="P727" s="26"/>
      <c r="Q727" s="26"/>
      <c r="R727" s="27" t="str">
        <f aca="false">IF(AND(ISNUMBER(P727),ISNUMBER(Q727)),P727-Q727,"")</f>
        <v/>
      </c>
      <c r="S727" s="24"/>
      <c r="T727" s="28" t="str">
        <f aca="false">IF(S727&lt;&gt;"",S727,IF(B727="","",IFERROR(IF(INDEX(Batches!$G$5:$G$64,MATCH(B727,Batches!$A$5:$A$64,0))="","",INDEX(Batches!$G$5:$G$64,MATCH(B727,Batches!$A$5:$A$64,0))),"")))</f>
        <v/>
      </c>
      <c r="U727" s="23"/>
      <c r="V727" s="24"/>
      <c r="W727" s="28" t="str">
        <f aca="false">IF(OR(X727="",X727="Pending"),"",IF(V727&lt;&gt;"",V727,IFERROR(IF(INDEX(Batches!$H$5:$H$64,MATCH(B727,Batches!$A$5:$A$64,0))="","",INDEX(Batches!$H$5:$H$64,MATCH(B727,Batches!$A$5:$A$64,0))),"")))</f>
        <v/>
      </c>
      <c r="X727" s="23"/>
      <c r="Y727" s="23"/>
      <c r="Z727" s="26"/>
      <c r="AA727" s="27" t="str">
        <f aca="false">IF(R727="","",IF(X727="Not accepted",R727,IF(OR(X727="Accepted",X727="Withdrawn by hospital"),IF(X727="Accepted",0,R727),IF(ISNUMBER(Z727),R727-Z727,""))))</f>
        <v/>
      </c>
      <c r="AB727" s="23"/>
      <c r="AC727" s="25"/>
      <c r="AD727" s="23"/>
      <c r="AE727" s="23"/>
      <c r="AF727" s="24"/>
      <c r="AG727" s="23"/>
      <c r="AH727" s="24"/>
      <c r="AI727" s="29" t="str">
        <f aca="false">IF(X727="Not accepted","Maintained",IF(X727="Partially accepted","Partially maintained",IF(X727="Accepted","Reversed",IF(X727="Withdrawn by hospital","Withdrawn by hospital",""))))</f>
        <v/>
      </c>
      <c r="AJ727" s="28" t="str">
        <f aca="false">IF(AI727="","",W727)</f>
        <v/>
      </c>
      <c r="AK727" s="29" t="str">
        <f aca="false">IF(AND(ISNUMBER(T727),ISNUMBER(W727)),W727-T727,"")</f>
        <v/>
      </c>
      <c r="AL727" s="29" t="str">
        <f aca="false">IF(A727="","",SUMIF(Actions!$C$5:$C$1004,A727,Actions!$F$5:$F$1004))</f>
        <v/>
      </c>
      <c r="AM727" s="25"/>
    </row>
    <row r="728" customFormat="false" ht="15" hidden="false" customHeight="false" outlineLevel="0" collapsed="false">
      <c r="A728" s="23"/>
      <c r="B728" s="23"/>
      <c r="C728" s="23"/>
      <c r="D728" s="23"/>
      <c r="E728" s="23"/>
      <c r="F728" s="23"/>
      <c r="G728" s="23"/>
      <c r="H728" s="23"/>
      <c r="I728" s="23"/>
      <c r="J728" s="23"/>
      <c r="K728" s="24"/>
      <c r="L728" s="23"/>
      <c r="M728" s="25"/>
      <c r="N728" s="25"/>
      <c r="O728" s="23"/>
      <c r="P728" s="26"/>
      <c r="Q728" s="26"/>
      <c r="R728" s="27" t="str">
        <f aca="false">IF(AND(ISNUMBER(P728),ISNUMBER(Q728)),P728-Q728,"")</f>
        <v/>
      </c>
      <c r="S728" s="24"/>
      <c r="T728" s="28" t="str">
        <f aca="false">IF(S728&lt;&gt;"",S728,IF(B728="","",IFERROR(IF(INDEX(Batches!$G$5:$G$64,MATCH(B728,Batches!$A$5:$A$64,0))="","",INDEX(Batches!$G$5:$G$64,MATCH(B728,Batches!$A$5:$A$64,0))),"")))</f>
        <v/>
      </c>
      <c r="U728" s="23"/>
      <c r="V728" s="24"/>
      <c r="W728" s="28" t="str">
        <f aca="false">IF(OR(X728="",X728="Pending"),"",IF(V728&lt;&gt;"",V728,IFERROR(IF(INDEX(Batches!$H$5:$H$64,MATCH(B728,Batches!$A$5:$A$64,0))="","",INDEX(Batches!$H$5:$H$64,MATCH(B728,Batches!$A$5:$A$64,0))),"")))</f>
        <v/>
      </c>
      <c r="X728" s="23"/>
      <c r="Y728" s="23"/>
      <c r="Z728" s="26"/>
      <c r="AA728" s="27" t="str">
        <f aca="false">IF(R728="","",IF(X728="Not accepted",R728,IF(OR(X728="Accepted",X728="Withdrawn by hospital"),IF(X728="Accepted",0,R728),IF(ISNUMBER(Z728),R728-Z728,""))))</f>
        <v/>
      </c>
      <c r="AB728" s="23"/>
      <c r="AC728" s="25"/>
      <c r="AD728" s="23"/>
      <c r="AE728" s="23"/>
      <c r="AF728" s="24"/>
      <c r="AG728" s="23"/>
      <c r="AH728" s="24"/>
      <c r="AI728" s="29" t="str">
        <f aca="false">IF(X728="Not accepted","Maintained",IF(X728="Partially accepted","Partially maintained",IF(X728="Accepted","Reversed",IF(X728="Withdrawn by hospital","Withdrawn by hospital",""))))</f>
        <v/>
      </c>
      <c r="AJ728" s="28" t="str">
        <f aca="false">IF(AI728="","",W728)</f>
        <v/>
      </c>
      <c r="AK728" s="29" t="str">
        <f aca="false">IF(AND(ISNUMBER(T728),ISNUMBER(W728)),W728-T728,"")</f>
        <v/>
      </c>
      <c r="AL728" s="29" t="str">
        <f aca="false">IF(A728="","",SUMIF(Actions!$C$5:$C$1004,A728,Actions!$F$5:$F$1004))</f>
        <v/>
      </c>
      <c r="AM728" s="25"/>
    </row>
    <row r="729" customFormat="false" ht="15" hidden="false" customHeight="false" outlineLevel="0" collapsed="false">
      <c r="A729" s="23"/>
      <c r="B729" s="23"/>
      <c r="C729" s="23"/>
      <c r="D729" s="23"/>
      <c r="E729" s="23"/>
      <c r="F729" s="23"/>
      <c r="G729" s="23"/>
      <c r="H729" s="23"/>
      <c r="I729" s="23"/>
      <c r="J729" s="23"/>
      <c r="K729" s="24"/>
      <c r="L729" s="23"/>
      <c r="M729" s="25"/>
      <c r="N729" s="25"/>
      <c r="O729" s="23"/>
      <c r="P729" s="26"/>
      <c r="Q729" s="26"/>
      <c r="R729" s="27" t="str">
        <f aca="false">IF(AND(ISNUMBER(P729),ISNUMBER(Q729)),P729-Q729,"")</f>
        <v/>
      </c>
      <c r="S729" s="24"/>
      <c r="T729" s="28" t="str">
        <f aca="false">IF(S729&lt;&gt;"",S729,IF(B729="","",IFERROR(IF(INDEX(Batches!$G$5:$G$64,MATCH(B729,Batches!$A$5:$A$64,0))="","",INDEX(Batches!$G$5:$G$64,MATCH(B729,Batches!$A$5:$A$64,0))),"")))</f>
        <v/>
      </c>
      <c r="U729" s="23"/>
      <c r="V729" s="24"/>
      <c r="W729" s="28" t="str">
        <f aca="false">IF(OR(X729="",X729="Pending"),"",IF(V729&lt;&gt;"",V729,IFERROR(IF(INDEX(Batches!$H$5:$H$64,MATCH(B729,Batches!$A$5:$A$64,0))="","",INDEX(Batches!$H$5:$H$64,MATCH(B729,Batches!$A$5:$A$64,0))),"")))</f>
        <v/>
      </c>
      <c r="X729" s="23"/>
      <c r="Y729" s="23"/>
      <c r="Z729" s="26"/>
      <c r="AA729" s="27" t="str">
        <f aca="false">IF(R729="","",IF(X729="Not accepted",R729,IF(OR(X729="Accepted",X729="Withdrawn by hospital"),IF(X729="Accepted",0,R729),IF(ISNUMBER(Z729),R729-Z729,""))))</f>
        <v/>
      </c>
      <c r="AB729" s="23"/>
      <c r="AC729" s="25"/>
      <c r="AD729" s="23"/>
      <c r="AE729" s="23"/>
      <c r="AF729" s="24"/>
      <c r="AG729" s="23"/>
      <c r="AH729" s="24"/>
      <c r="AI729" s="29" t="str">
        <f aca="false">IF(X729="Not accepted","Maintained",IF(X729="Partially accepted","Partially maintained",IF(X729="Accepted","Reversed",IF(X729="Withdrawn by hospital","Withdrawn by hospital",""))))</f>
        <v/>
      </c>
      <c r="AJ729" s="28" t="str">
        <f aca="false">IF(AI729="","",W729)</f>
        <v/>
      </c>
      <c r="AK729" s="29" t="str">
        <f aca="false">IF(AND(ISNUMBER(T729),ISNUMBER(W729)),W729-T729,"")</f>
        <v/>
      </c>
      <c r="AL729" s="29" t="str">
        <f aca="false">IF(A729="","",SUMIF(Actions!$C$5:$C$1004,A729,Actions!$F$5:$F$1004))</f>
        <v/>
      </c>
      <c r="AM729" s="25"/>
    </row>
    <row r="730" customFormat="false" ht="15" hidden="false" customHeight="false" outlineLevel="0" collapsed="false">
      <c r="A730" s="23"/>
      <c r="B730" s="23"/>
      <c r="C730" s="23"/>
      <c r="D730" s="23"/>
      <c r="E730" s="23"/>
      <c r="F730" s="23"/>
      <c r="G730" s="23"/>
      <c r="H730" s="23"/>
      <c r="I730" s="23"/>
      <c r="J730" s="23"/>
      <c r="K730" s="24"/>
      <c r="L730" s="23"/>
      <c r="M730" s="25"/>
      <c r="N730" s="25"/>
      <c r="O730" s="23"/>
      <c r="P730" s="26"/>
      <c r="Q730" s="26"/>
      <c r="R730" s="27" t="str">
        <f aca="false">IF(AND(ISNUMBER(P730),ISNUMBER(Q730)),P730-Q730,"")</f>
        <v/>
      </c>
      <c r="S730" s="24"/>
      <c r="T730" s="28" t="str">
        <f aca="false">IF(S730&lt;&gt;"",S730,IF(B730="","",IFERROR(IF(INDEX(Batches!$G$5:$G$64,MATCH(B730,Batches!$A$5:$A$64,0))="","",INDEX(Batches!$G$5:$G$64,MATCH(B730,Batches!$A$5:$A$64,0))),"")))</f>
        <v/>
      </c>
      <c r="U730" s="23"/>
      <c r="V730" s="24"/>
      <c r="W730" s="28" t="str">
        <f aca="false">IF(OR(X730="",X730="Pending"),"",IF(V730&lt;&gt;"",V730,IFERROR(IF(INDEX(Batches!$H$5:$H$64,MATCH(B730,Batches!$A$5:$A$64,0))="","",INDEX(Batches!$H$5:$H$64,MATCH(B730,Batches!$A$5:$A$64,0))),"")))</f>
        <v/>
      </c>
      <c r="X730" s="23"/>
      <c r="Y730" s="23"/>
      <c r="Z730" s="26"/>
      <c r="AA730" s="27" t="str">
        <f aca="false">IF(R730="","",IF(X730="Not accepted",R730,IF(OR(X730="Accepted",X730="Withdrawn by hospital"),IF(X730="Accepted",0,R730),IF(ISNUMBER(Z730),R730-Z730,""))))</f>
        <v/>
      </c>
      <c r="AB730" s="23"/>
      <c r="AC730" s="25"/>
      <c r="AD730" s="23"/>
      <c r="AE730" s="23"/>
      <c r="AF730" s="24"/>
      <c r="AG730" s="23"/>
      <c r="AH730" s="24"/>
      <c r="AI730" s="29" t="str">
        <f aca="false">IF(X730="Not accepted","Maintained",IF(X730="Partially accepted","Partially maintained",IF(X730="Accepted","Reversed",IF(X730="Withdrawn by hospital","Withdrawn by hospital",""))))</f>
        <v/>
      </c>
      <c r="AJ730" s="28" t="str">
        <f aca="false">IF(AI730="","",W730)</f>
        <v/>
      </c>
      <c r="AK730" s="29" t="str">
        <f aca="false">IF(AND(ISNUMBER(T730),ISNUMBER(W730)),W730-T730,"")</f>
        <v/>
      </c>
      <c r="AL730" s="29" t="str">
        <f aca="false">IF(A730="","",SUMIF(Actions!$C$5:$C$1004,A730,Actions!$F$5:$F$1004))</f>
        <v/>
      </c>
      <c r="AM730" s="25"/>
    </row>
    <row r="731" customFormat="false" ht="15" hidden="false" customHeight="false" outlineLevel="0" collapsed="false">
      <c r="A731" s="23"/>
      <c r="B731" s="23"/>
      <c r="C731" s="23"/>
      <c r="D731" s="23"/>
      <c r="E731" s="23"/>
      <c r="F731" s="23"/>
      <c r="G731" s="23"/>
      <c r="H731" s="23"/>
      <c r="I731" s="23"/>
      <c r="J731" s="23"/>
      <c r="K731" s="24"/>
      <c r="L731" s="23"/>
      <c r="M731" s="25"/>
      <c r="N731" s="25"/>
      <c r="O731" s="23"/>
      <c r="P731" s="26"/>
      <c r="Q731" s="26"/>
      <c r="R731" s="27" t="str">
        <f aca="false">IF(AND(ISNUMBER(P731),ISNUMBER(Q731)),P731-Q731,"")</f>
        <v/>
      </c>
      <c r="S731" s="24"/>
      <c r="T731" s="28" t="str">
        <f aca="false">IF(S731&lt;&gt;"",S731,IF(B731="","",IFERROR(IF(INDEX(Batches!$G$5:$G$64,MATCH(B731,Batches!$A$5:$A$64,0))="","",INDEX(Batches!$G$5:$G$64,MATCH(B731,Batches!$A$5:$A$64,0))),"")))</f>
        <v/>
      </c>
      <c r="U731" s="23"/>
      <c r="V731" s="24"/>
      <c r="W731" s="28" t="str">
        <f aca="false">IF(OR(X731="",X731="Pending"),"",IF(V731&lt;&gt;"",V731,IFERROR(IF(INDEX(Batches!$H$5:$H$64,MATCH(B731,Batches!$A$5:$A$64,0))="","",INDEX(Batches!$H$5:$H$64,MATCH(B731,Batches!$A$5:$A$64,0))),"")))</f>
        <v/>
      </c>
      <c r="X731" s="23"/>
      <c r="Y731" s="23"/>
      <c r="Z731" s="26"/>
      <c r="AA731" s="27" t="str">
        <f aca="false">IF(R731="","",IF(X731="Not accepted",R731,IF(OR(X731="Accepted",X731="Withdrawn by hospital"),IF(X731="Accepted",0,R731),IF(ISNUMBER(Z731),R731-Z731,""))))</f>
        <v/>
      </c>
      <c r="AB731" s="23"/>
      <c r="AC731" s="25"/>
      <c r="AD731" s="23"/>
      <c r="AE731" s="23"/>
      <c r="AF731" s="24"/>
      <c r="AG731" s="23"/>
      <c r="AH731" s="24"/>
      <c r="AI731" s="29" t="str">
        <f aca="false">IF(X731="Not accepted","Maintained",IF(X731="Partially accepted","Partially maintained",IF(X731="Accepted","Reversed",IF(X731="Withdrawn by hospital","Withdrawn by hospital",""))))</f>
        <v/>
      </c>
      <c r="AJ731" s="28" t="str">
        <f aca="false">IF(AI731="","",W731)</f>
        <v/>
      </c>
      <c r="AK731" s="29" t="str">
        <f aca="false">IF(AND(ISNUMBER(T731),ISNUMBER(W731)),W731-T731,"")</f>
        <v/>
      </c>
      <c r="AL731" s="29" t="str">
        <f aca="false">IF(A731="","",SUMIF(Actions!$C$5:$C$1004,A731,Actions!$F$5:$F$1004))</f>
        <v/>
      </c>
      <c r="AM731" s="25"/>
    </row>
    <row r="732" customFormat="false" ht="15" hidden="false" customHeight="false" outlineLevel="0" collapsed="false">
      <c r="A732" s="23"/>
      <c r="B732" s="23"/>
      <c r="C732" s="23"/>
      <c r="D732" s="23"/>
      <c r="E732" s="23"/>
      <c r="F732" s="23"/>
      <c r="G732" s="23"/>
      <c r="H732" s="23"/>
      <c r="I732" s="23"/>
      <c r="J732" s="23"/>
      <c r="K732" s="24"/>
      <c r="L732" s="23"/>
      <c r="M732" s="25"/>
      <c r="N732" s="25"/>
      <c r="O732" s="23"/>
      <c r="P732" s="26"/>
      <c r="Q732" s="26"/>
      <c r="R732" s="27" t="str">
        <f aca="false">IF(AND(ISNUMBER(P732),ISNUMBER(Q732)),P732-Q732,"")</f>
        <v/>
      </c>
      <c r="S732" s="24"/>
      <c r="T732" s="28" t="str">
        <f aca="false">IF(S732&lt;&gt;"",S732,IF(B732="","",IFERROR(IF(INDEX(Batches!$G$5:$G$64,MATCH(B732,Batches!$A$5:$A$64,0))="","",INDEX(Batches!$G$5:$G$64,MATCH(B732,Batches!$A$5:$A$64,0))),"")))</f>
        <v/>
      </c>
      <c r="U732" s="23"/>
      <c r="V732" s="24"/>
      <c r="W732" s="28" t="str">
        <f aca="false">IF(OR(X732="",X732="Pending"),"",IF(V732&lt;&gt;"",V732,IFERROR(IF(INDEX(Batches!$H$5:$H$64,MATCH(B732,Batches!$A$5:$A$64,0))="","",INDEX(Batches!$H$5:$H$64,MATCH(B732,Batches!$A$5:$A$64,0))),"")))</f>
        <v/>
      </c>
      <c r="X732" s="23"/>
      <c r="Y732" s="23"/>
      <c r="Z732" s="26"/>
      <c r="AA732" s="27" t="str">
        <f aca="false">IF(R732="","",IF(X732="Not accepted",R732,IF(OR(X732="Accepted",X732="Withdrawn by hospital"),IF(X732="Accepted",0,R732),IF(ISNUMBER(Z732),R732-Z732,""))))</f>
        <v/>
      </c>
      <c r="AB732" s="23"/>
      <c r="AC732" s="25"/>
      <c r="AD732" s="23"/>
      <c r="AE732" s="23"/>
      <c r="AF732" s="24"/>
      <c r="AG732" s="23"/>
      <c r="AH732" s="24"/>
      <c r="AI732" s="29" t="str">
        <f aca="false">IF(X732="Not accepted","Maintained",IF(X732="Partially accepted","Partially maintained",IF(X732="Accepted","Reversed",IF(X732="Withdrawn by hospital","Withdrawn by hospital",""))))</f>
        <v/>
      </c>
      <c r="AJ732" s="28" t="str">
        <f aca="false">IF(AI732="","",W732)</f>
        <v/>
      </c>
      <c r="AK732" s="29" t="str">
        <f aca="false">IF(AND(ISNUMBER(T732),ISNUMBER(W732)),W732-T732,"")</f>
        <v/>
      </c>
      <c r="AL732" s="29" t="str">
        <f aca="false">IF(A732="","",SUMIF(Actions!$C$5:$C$1004,A732,Actions!$F$5:$F$1004))</f>
        <v/>
      </c>
      <c r="AM732" s="25"/>
    </row>
    <row r="733" customFormat="false" ht="15" hidden="false" customHeight="false" outlineLevel="0" collapsed="false">
      <c r="A733" s="23"/>
      <c r="B733" s="23"/>
      <c r="C733" s="23"/>
      <c r="D733" s="23"/>
      <c r="E733" s="23"/>
      <c r="F733" s="23"/>
      <c r="G733" s="23"/>
      <c r="H733" s="23"/>
      <c r="I733" s="23"/>
      <c r="J733" s="23"/>
      <c r="K733" s="24"/>
      <c r="L733" s="23"/>
      <c r="M733" s="25"/>
      <c r="N733" s="25"/>
      <c r="O733" s="23"/>
      <c r="P733" s="26"/>
      <c r="Q733" s="26"/>
      <c r="R733" s="27" t="str">
        <f aca="false">IF(AND(ISNUMBER(P733),ISNUMBER(Q733)),P733-Q733,"")</f>
        <v/>
      </c>
      <c r="S733" s="24"/>
      <c r="T733" s="28" t="str">
        <f aca="false">IF(S733&lt;&gt;"",S733,IF(B733="","",IFERROR(IF(INDEX(Batches!$G$5:$G$64,MATCH(B733,Batches!$A$5:$A$64,0))="","",INDEX(Batches!$G$5:$G$64,MATCH(B733,Batches!$A$5:$A$64,0))),"")))</f>
        <v/>
      </c>
      <c r="U733" s="23"/>
      <c r="V733" s="24"/>
      <c r="W733" s="28" t="str">
        <f aca="false">IF(OR(X733="",X733="Pending"),"",IF(V733&lt;&gt;"",V733,IFERROR(IF(INDEX(Batches!$H$5:$H$64,MATCH(B733,Batches!$A$5:$A$64,0))="","",INDEX(Batches!$H$5:$H$64,MATCH(B733,Batches!$A$5:$A$64,0))),"")))</f>
        <v/>
      </c>
      <c r="X733" s="23"/>
      <c r="Y733" s="23"/>
      <c r="Z733" s="26"/>
      <c r="AA733" s="27" t="str">
        <f aca="false">IF(R733="","",IF(X733="Not accepted",R733,IF(OR(X733="Accepted",X733="Withdrawn by hospital"),IF(X733="Accepted",0,R733),IF(ISNUMBER(Z733),R733-Z733,""))))</f>
        <v/>
      </c>
      <c r="AB733" s="23"/>
      <c r="AC733" s="25"/>
      <c r="AD733" s="23"/>
      <c r="AE733" s="23"/>
      <c r="AF733" s="24"/>
      <c r="AG733" s="23"/>
      <c r="AH733" s="24"/>
      <c r="AI733" s="29" t="str">
        <f aca="false">IF(X733="Not accepted","Maintained",IF(X733="Partially accepted","Partially maintained",IF(X733="Accepted","Reversed",IF(X733="Withdrawn by hospital","Withdrawn by hospital",""))))</f>
        <v/>
      </c>
      <c r="AJ733" s="28" t="str">
        <f aca="false">IF(AI733="","",W733)</f>
        <v/>
      </c>
      <c r="AK733" s="29" t="str">
        <f aca="false">IF(AND(ISNUMBER(T733),ISNUMBER(W733)),W733-T733,"")</f>
        <v/>
      </c>
      <c r="AL733" s="29" t="str">
        <f aca="false">IF(A733="","",SUMIF(Actions!$C$5:$C$1004,A733,Actions!$F$5:$F$1004))</f>
        <v/>
      </c>
      <c r="AM733" s="25"/>
    </row>
    <row r="734" customFormat="false" ht="15" hidden="false" customHeight="false" outlineLevel="0" collapsed="false">
      <c r="A734" s="23"/>
      <c r="B734" s="23"/>
      <c r="C734" s="23"/>
      <c r="D734" s="23"/>
      <c r="E734" s="23"/>
      <c r="F734" s="23"/>
      <c r="G734" s="23"/>
      <c r="H734" s="23"/>
      <c r="I734" s="23"/>
      <c r="J734" s="23"/>
      <c r="K734" s="24"/>
      <c r="L734" s="23"/>
      <c r="M734" s="25"/>
      <c r="N734" s="25"/>
      <c r="O734" s="23"/>
      <c r="P734" s="26"/>
      <c r="Q734" s="26"/>
      <c r="R734" s="27" t="str">
        <f aca="false">IF(AND(ISNUMBER(P734),ISNUMBER(Q734)),P734-Q734,"")</f>
        <v/>
      </c>
      <c r="S734" s="24"/>
      <c r="T734" s="28" t="str">
        <f aca="false">IF(S734&lt;&gt;"",S734,IF(B734="","",IFERROR(IF(INDEX(Batches!$G$5:$G$64,MATCH(B734,Batches!$A$5:$A$64,0))="","",INDEX(Batches!$G$5:$G$64,MATCH(B734,Batches!$A$5:$A$64,0))),"")))</f>
        <v/>
      </c>
      <c r="U734" s="23"/>
      <c r="V734" s="24"/>
      <c r="W734" s="28" t="str">
        <f aca="false">IF(OR(X734="",X734="Pending"),"",IF(V734&lt;&gt;"",V734,IFERROR(IF(INDEX(Batches!$H$5:$H$64,MATCH(B734,Batches!$A$5:$A$64,0))="","",INDEX(Batches!$H$5:$H$64,MATCH(B734,Batches!$A$5:$A$64,0))),"")))</f>
        <v/>
      </c>
      <c r="X734" s="23"/>
      <c r="Y734" s="23"/>
      <c r="Z734" s="26"/>
      <c r="AA734" s="27" t="str">
        <f aca="false">IF(R734="","",IF(X734="Not accepted",R734,IF(OR(X734="Accepted",X734="Withdrawn by hospital"),IF(X734="Accepted",0,R734),IF(ISNUMBER(Z734),R734-Z734,""))))</f>
        <v/>
      </c>
      <c r="AB734" s="23"/>
      <c r="AC734" s="25"/>
      <c r="AD734" s="23"/>
      <c r="AE734" s="23"/>
      <c r="AF734" s="24"/>
      <c r="AG734" s="23"/>
      <c r="AH734" s="24"/>
      <c r="AI734" s="29" t="str">
        <f aca="false">IF(X734="Not accepted","Maintained",IF(X734="Partially accepted","Partially maintained",IF(X734="Accepted","Reversed",IF(X734="Withdrawn by hospital","Withdrawn by hospital",""))))</f>
        <v/>
      </c>
      <c r="AJ734" s="28" t="str">
        <f aca="false">IF(AI734="","",W734)</f>
        <v/>
      </c>
      <c r="AK734" s="29" t="str">
        <f aca="false">IF(AND(ISNUMBER(T734),ISNUMBER(W734)),W734-T734,"")</f>
        <v/>
      </c>
      <c r="AL734" s="29" t="str">
        <f aca="false">IF(A734="","",SUMIF(Actions!$C$5:$C$1004,A734,Actions!$F$5:$F$1004))</f>
        <v/>
      </c>
      <c r="AM734" s="25"/>
    </row>
    <row r="735" customFormat="false" ht="15" hidden="false" customHeight="false" outlineLevel="0" collapsed="false">
      <c r="A735" s="23"/>
      <c r="B735" s="23"/>
      <c r="C735" s="23"/>
      <c r="D735" s="23"/>
      <c r="E735" s="23"/>
      <c r="F735" s="23"/>
      <c r="G735" s="23"/>
      <c r="H735" s="23"/>
      <c r="I735" s="23"/>
      <c r="J735" s="23"/>
      <c r="K735" s="24"/>
      <c r="L735" s="23"/>
      <c r="M735" s="25"/>
      <c r="N735" s="25"/>
      <c r="O735" s="23"/>
      <c r="P735" s="26"/>
      <c r="Q735" s="26"/>
      <c r="R735" s="27" t="str">
        <f aca="false">IF(AND(ISNUMBER(P735),ISNUMBER(Q735)),P735-Q735,"")</f>
        <v/>
      </c>
      <c r="S735" s="24"/>
      <c r="T735" s="28" t="str">
        <f aca="false">IF(S735&lt;&gt;"",S735,IF(B735="","",IFERROR(IF(INDEX(Batches!$G$5:$G$64,MATCH(B735,Batches!$A$5:$A$64,0))="","",INDEX(Batches!$G$5:$G$64,MATCH(B735,Batches!$A$5:$A$64,0))),"")))</f>
        <v/>
      </c>
      <c r="U735" s="23"/>
      <c r="V735" s="24"/>
      <c r="W735" s="28" t="str">
        <f aca="false">IF(OR(X735="",X735="Pending"),"",IF(V735&lt;&gt;"",V735,IFERROR(IF(INDEX(Batches!$H$5:$H$64,MATCH(B735,Batches!$A$5:$A$64,0))="","",INDEX(Batches!$H$5:$H$64,MATCH(B735,Batches!$A$5:$A$64,0))),"")))</f>
        <v/>
      </c>
      <c r="X735" s="23"/>
      <c r="Y735" s="23"/>
      <c r="Z735" s="26"/>
      <c r="AA735" s="27" t="str">
        <f aca="false">IF(R735="","",IF(X735="Not accepted",R735,IF(OR(X735="Accepted",X735="Withdrawn by hospital"),IF(X735="Accepted",0,R735),IF(ISNUMBER(Z735),R735-Z735,""))))</f>
        <v/>
      </c>
      <c r="AB735" s="23"/>
      <c r="AC735" s="25"/>
      <c r="AD735" s="23"/>
      <c r="AE735" s="23"/>
      <c r="AF735" s="24"/>
      <c r="AG735" s="23"/>
      <c r="AH735" s="24"/>
      <c r="AI735" s="29" t="str">
        <f aca="false">IF(X735="Not accepted","Maintained",IF(X735="Partially accepted","Partially maintained",IF(X735="Accepted","Reversed",IF(X735="Withdrawn by hospital","Withdrawn by hospital",""))))</f>
        <v/>
      </c>
      <c r="AJ735" s="28" t="str">
        <f aca="false">IF(AI735="","",W735)</f>
        <v/>
      </c>
      <c r="AK735" s="29" t="str">
        <f aca="false">IF(AND(ISNUMBER(T735),ISNUMBER(W735)),W735-T735,"")</f>
        <v/>
      </c>
      <c r="AL735" s="29" t="str">
        <f aca="false">IF(A735="","",SUMIF(Actions!$C$5:$C$1004,A735,Actions!$F$5:$F$1004))</f>
        <v/>
      </c>
      <c r="AM735" s="25"/>
    </row>
    <row r="736" customFormat="false" ht="15" hidden="false" customHeight="false" outlineLevel="0" collapsed="false">
      <c r="A736" s="23"/>
      <c r="B736" s="23"/>
      <c r="C736" s="23"/>
      <c r="D736" s="23"/>
      <c r="E736" s="23"/>
      <c r="F736" s="23"/>
      <c r="G736" s="23"/>
      <c r="H736" s="23"/>
      <c r="I736" s="23"/>
      <c r="J736" s="23"/>
      <c r="K736" s="24"/>
      <c r="L736" s="23"/>
      <c r="M736" s="25"/>
      <c r="N736" s="25"/>
      <c r="O736" s="23"/>
      <c r="P736" s="26"/>
      <c r="Q736" s="26"/>
      <c r="R736" s="27" t="str">
        <f aca="false">IF(AND(ISNUMBER(P736),ISNUMBER(Q736)),P736-Q736,"")</f>
        <v/>
      </c>
      <c r="S736" s="24"/>
      <c r="T736" s="28" t="str">
        <f aca="false">IF(S736&lt;&gt;"",S736,IF(B736="","",IFERROR(IF(INDEX(Batches!$G$5:$G$64,MATCH(B736,Batches!$A$5:$A$64,0))="","",INDEX(Batches!$G$5:$G$64,MATCH(B736,Batches!$A$5:$A$64,0))),"")))</f>
        <v/>
      </c>
      <c r="U736" s="23"/>
      <c r="V736" s="24"/>
      <c r="W736" s="28" t="str">
        <f aca="false">IF(OR(X736="",X736="Pending"),"",IF(V736&lt;&gt;"",V736,IFERROR(IF(INDEX(Batches!$H$5:$H$64,MATCH(B736,Batches!$A$5:$A$64,0))="","",INDEX(Batches!$H$5:$H$64,MATCH(B736,Batches!$A$5:$A$64,0))),"")))</f>
        <v/>
      </c>
      <c r="X736" s="23"/>
      <c r="Y736" s="23"/>
      <c r="Z736" s="26"/>
      <c r="AA736" s="27" t="str">
        <f aca="false">IF(R736="","",IF(X736="Not accepted",R736,IF(OR(X736="Accepted",X736="Withdrawn by hospital"),IF(X736="Accepted",0,R736),IF(ISNUMBER(Z736),R736-Z736,""))))</f>
        <v/>
      </c>
      <c r="AB736" s="23"/>
      <c r="AC736" s="25"/>
      <c r="AD736" s="23"/>
      <c r="AE736" s="23"/>
      <c r="AF736" s="24"/>
      <c r="AG736" s="23"/>
      <c r="AH736" s="24"/>
      <c r="AI736" s="29" t="str">
        <f aca="false">IF(X736="Not accepted","Maintained",IF(X736="Partially accepted","Partially maintained",IF(X736="Accepted","Reversed",IF(X736="Withdrawn by hospital","Withdrawn by hospital",""))))</f>
        <v/>
      </c>
      <c r="AJ736" s="28" t="str">
        <f aca="false">IF(AI736="","",W736)</f>
        <v/>
      </c>
      <c r="AK736" s="29" t="str">
        <f aca="false">IF(AND(ISNUMBER(T736),ISNUMBER(W736)),W736-T736,"")</f>
        <v/>
      </c>
      <c r="AL736" s="29" t="str">
        <f aca="false">IF(A736="","",SUMIF(Actions!$C$5:$C$1004,A736,Actions!$F$5:$F$1004))</f>
        <v/>
      </c>
      <c r="AM736" s="25"/>
    </row>
    <row r="737" customFormat="false" ht="15" hidden="false" customHeight="false" outlineLevel="0" collapsed="false">
      <c r="A737" s="23"/>
      <c r="B737" s="23"/>
      <c r="C737" s="23"/>
      <c r="D737" s="23"/>
      <c r="E737" s="23"/>
      <c r="F737" s="23"/>
      <c r="G737" s="23"/>
      <c r="H737" s="23"/>
      <c r="I737" s="23"/>
      <c r="J737" s="23"/>
      <c r="K737" s="24"/>
      <c r="L737" s="23"/>
      <c r="M737" s="25"/>
      <c r="N737" s="25"/>
      <c r="O737" s="23"/>
      <c r="P737" s="26"/>
      <c r="Q737" s="26"/>
      <c r="R737" s="27" t="str">
        <f aca="false">IF(AND(ISNUMBER(P737),ISNUMBER(Q737)),P737-Q737,"")</f>
        <v/>
      </c>
      <c r="S737" s="24"/>
      <c r="T737" s="28" t="str">
        <f aca="false">IF(S737&lt;&gt;"",S737,IF(B737="","",IFERROR(IF(INDEX(Batches!$G$5:$G$64,MATCH(B737,Batches!$A$5:$A$64,0))="","",INDEX(Batches!$G$5:$G$64,MATCH(B737,Batches!$A$5:$A$64,0))),"")))</f>
        <v/>
      </c>
      <c r="U737" s="23"/>
      <c r="V737" s="24"/>
      <c r="W737" s="28" t="str">
        <f aca="false">IF(OR(X737="",X737="Pending"),"",IF(V737&lt;&gt;"",V737,IFERROR(IF(INDEX(Batches!$H$5:$H$64,MATCH(B737,Batches!$A$5:$A$64,0))="","",INDEX(Batches!$H$5:$H$64,MATCH(B737,Batches!$A$5:$A$64,0))),"")))</f>
        <v/>
      </c>
      <c r="X737" s="23"/>
      <c r="Y737" s="23"/>
      <c r="Z737" s="26"/>
      <c r="AA737" s="27" t="str">
        <f aca="false">IF(R737="","",IF(X737="Not accepted",R737,IF(OR(X737="Accepted",X737="Withdrawn by hospital"),IF(X737="Accepted",0,R737),IF(ISNUMBER(Z737),R737-Z737,""))))</f>
        <v/>
      </c>
      <c r="AB737" s="23"/>
      <c r="AC737" s="25"/>
      <c r="AD737" s="23"/>
      <c r="AE737" s="23"/>
      <c r="AF737" s="24"/>
      <c r="AG737" s="23"/>
      <c r="AH737" s="24"/>
      <c r="AI737" s="29" t="str">
        <f aca="false">IF(X737="Not accepted","Maintained",IF(X737="Partially accepted","Partially maintained",IF(X737="Accepted","Reversed",IF(X737="Withdrawn by hospital","Withdrawn by hospital",""))))</f>
        <v/>
      </c>
      <c r="AJ737" s="28" t="str">
        <f aca="false">IF(AI737="","",W737)</f>
        <v/>
      </c>
      <c r="AK737" s="29" t="str">
        <f aca="false">IF(AND(ISNUMBER(T737),ISNUMBER(W737)),W737-T737,"")</f>
        <v/>
      </c>
      <c r="AL737" s="29" t="str">
        <f aca="false">IF(A737="","",SUMIF(Actions!$C$5:$C$1004,A737,Actions!$F$5:$F$1004))</f>
        <v/>
      </c>
      <c r="AM737" s="25"/>
    </row>
    <row r="738" customFormat="false" ht="15" hidden="false" customHeight="false" outlineLevel="0" collapsed="false">
      <c r="A738" s="23"/>
      <c r="B738" s="23"/>
      <c r="C738" s="23"/>
      <c r="D738" s="23"/>
      <c r="E738" s="23"/>
      <c r="F738" s="23"/>
      <c r="G738" s="23"/>
      <c r="H738" s="23"/>
      <c r="I738" s="23"/>
      <c r="J738" s="23"/>
      <c r="K738" s="24"/>
      <c r="L738" s="23"/>
      <c r="M738" s="25"/>
      <c r="N738" s="25"/>
      <c r="O738" s="23"/>
      <c r="P738" s="26"/>
      <c r="Q738" s="26"/>
      <c r="R738" s="27" t="str">
        <f aca="false">IF(AND(ISNUMBER(P738),ISNUMBER(Q738)),P738-Q738,"")</f>
        <v/>
      </c>
      <c r="S738" s="24"/>
      <c r="T738" s="28" t="str">
        <f aca="false">IF(S738&lt;&gt;"",S738,IF(B738="","",IFERROR(IF(INDEX(Batches!$G$5:$G$64,MATCH(B738,Batches!$A$5:$A$64,0))="","",INDEX(Batches!$G$5:$G$64,MATCH(B738,Batches!$A$5:$A$64,0))),"")))</f>
        <v/>
      </c>
      <c r="U738" s="23"/>
      <c r="V738" s="24"/>
      <c r="W738" s="28" t="str">
        <f aca="false">IF(OR(X738="",X738="Pending"),"",IF(V738&lt;&gt;"",V738,IFERROR(IF(INDEX(Batches!$H$5:$H$64,MATCH(B738,Batches!$A$5:$A$64,0))="","",INDEX(Batches!$H$5:$H$64,MATCH(B738,Batches!$A$5:$A$64,0))),"")))</f>
        <v/>
      </c>
      <c r="X738" s="23"/>
      <c r="Y738" s="23"/>
      <c r="Z738" s="26"/>
      <c r="AA738" s="27" t="str">
        <f aca="false">IF(R738="","",IF(X738="Not accepted",R738,IF(OR(X738="Accepted",X738="Withdrawn by hospital"),IF(X738="Accepted",0,R738),IF(ISNUMBER(Z738),R738-Z738,""))))</f>
        <v/>
      </c>
      <c r="AB738" s="23"/>
      <c r="AC738" s="25"/>
      <c r="AD738" s="23"/>
      <c r="AE738" s="23"/>
      <c r="AF738" s="24"/>
      <c r="AG738" s="23"/>
      <c r="AH738" s="24"/>
      <c r="AI738" s="29" t="str">
        <f aca="false">IF(X738="Not accepted","Maintained",IF(X738="Partially accepted","Partially maintained",IF(X738="Accepted","Reversed",IF(X738="Withdrawn by hospital","Withdrawn by hospital",""))))</f>
        <v/>
      </c>
      <c r="AJ738" s="28" t="str">
        <f aca="false">IF(AI738="","",W738)</f>
        <v/>
      </c>
      <c r="AK738" s="29" t="str">
        <f aca="false">IF(AND(ISNUMBER(T738),ISNUMBER(W738)),W738-T738,"")</f>
        <v/>
      </c>
      <c r="AL738" s="29" t="str">
        <f aca="false">IF(A738="","",SUMIF(Actions!$C$5:$C$1004,A738,Actions!$F$5:$F$1004))</f>
        <v/>
      </c>
      <c r="AM738" s="25"/>
    </row>
    <row r="739" customFormat="false" ht="15" hidden="false" customHeight="false" outlineLevel="0" collapsed="false">
      <c r="A739" s="23"/>
      <c r="B739" s="23"/>
      <c r="C739" s="23"/>
      <c r="D739" s="23"/>
      <c r="E739" s="23"/>
      <c r="F739" s="23"/>
      <c r="G739" s="23"/>
      <c r="H739" s="23"/>
      <c r="I739" s="23"/>
      <c r="J739" s="23"/>
      <c r="K739" s="24"/>
      <c r="L739" s="23"/>
      <c r="M739" s="25"/>
      <c r="N739" s="25"/>
      <c r="O739" s="23"/>
      <c r="P739" s="26"/>
      <c r="Q739" s="26"/>
      <c r="R739" s="27" t="str">
        <f aca="false">IF(AND(ISNUMBER(P739),ISNUMBER(Q739)),P739-Q739,"")</f>
        <v/>
      </c>
      <c r="S739" s="24"/>
      <c r="T739" s="28" t="str">
        <f aca="false">IF(S739&lt;&gt;"",S739,IF(B739="","",IFERROR(IF(INDEX(Batches!$G$5:$G$64,MATCH(B739,Batches!$A$5:$A$64,0))="","",INDEX(Batches!$G$5:$G$64,MATCH(B739,Batches!$A$5:$A$64,0))),"")))</f>
        <v/>
      </c>
      <c r="U739" s="23"/>
      <c r="V739" s="24"/>
      <c r="W739" s="28" t="str">
        <f aca="false">IF(OR(X739="",X739="Pending"),"",IF(V739&lt;&gt;"",V739,IFERROR(IF(INDEX(Batches!$H$5:$H$64,MATCH(B739,Batches!$A$5:$A$64,0))="","",INDEX(Batches!$H$5:$H$64,MATCH(B739,Batches!$A$5:$A$64,0))),"")))</f>
        <v/>
      </c>
      <c r="X739" s="23"/>
      <c r="Y739" s="23"/>
      <c r="Z739" s="26"/>
      <c r="AA739" s="27" t="str">
        <f aca="false">IF(R739="","",IF(X739="Not accepted",R739,IF(OR(X739="Accepted",X739="Withdrawn by hospital"),IF(X739="Accepted",0,R739),IF(ISNUMBER(Z739),R739-Z739,""))))</f>
        <v/>
      </c>
      <c r="AB739" s="23"/>
      <c r="AC739" s="25"/>
      <c r="AD739" s="23"/>
      <c r="AE739" s="23"/>
      <c r="AF739" s="24"/>
      <c r="AG739" s="23"/>
      <c r="AH739" s="24"/>
      <c r="AI739" s="29" t="str">
        <f aca="false">IF(X739="Not accepted","Maintained",IF(X739="Partially accepted","Partially maintained",IF(X739="Accepted","Reversed",IF(X739="Withdrawn by hospital","Withdrawn by hospital",""))))</f>
        <v/>
      </c>
      <c r="AJ739" s="28" t="str">
        <f aca="false">IF(AI739="","",W739)</f>
        <v/>
      </c>
      <c r="AK739" s="29" t="str">
        <f aca="false">IF(AND(ISNUMBER(T739),ISNUMBER(W739)),W739-T739,"")</f>
        <v/>
      </c>
      <c r="AL739" s="29" t="str">
        <f aca="false">IF(A739="","",SUMIF(Actions!$C$5:$C$1004,A739,Actions!$F$5:$F$1004))</f>
        <v/>
      </c>
      <c r="AM739" s="25"/>
    </row>
    <row r="740" customFormat="false" ht="15" hidden="false" customHeight="false" outlineLevel="0" collapsed="false">
      <c r="A740" s="23"/>
      <c r="B740" s="23"/>
      <c r="C740" s="23"/>
      <c r="D740" s="23"/>
      <c r="E740" s="23"/>
      <c r="F740" s="23"/>
      <c r="G740" s="23"/>
      <c r="H740" s="23"/>
      <c r="I740" s="23"/>
      <c r="J740" s="23"/>
      <c r="K740" s="24"/>
      <c r="L740" s="23"/>
      <c r="M740" s="25"/>
      <c r="N740" s="25"/>
      <c r="O740" s="23"/>
      <c r="P740" s="26"/>
      <c r="Q740" s="26"/>
      <c r="R740" s="27" t="str">
        <f aca="false">IF(AND(ISNUMBER(P740),ISNUMBER(Q740)),P740-Q740,"")</f>
        <v/>
      </c>
      <c r="S740" s="24"/>
      <c r="T740" s="28" t="str">
        <f aca="false">IF(S740&lt;&gt;"",S740,IF(B740="","",IFERROR(IF(INDEX(Batches!$G$5:$G$64,MATCH(B740,Batches!$A$5:$A$64,0))="","",INDEX(Batches!$G$5:$G$64,MATCH(B740,Batches!$A$5:$A$64,0))),"")))</f>
        <v/>
      </c>
      <c r="U740" s="23"/>
      <c r="V740" s="24"/>
      <c r="W740" s="28" t="str">
        <f aca="false">IF(OR(X740="",X740="Pending"),"",IF(V740&lt;&gt;"",V740,IFERROR(IF(INDEX(Batches!$H$5:$H$64,MATCH(B740,Batches!$A$5:$A$64,0))="","",INDEX(Batches!$H$5:$H$64,MATCH(B740,Batches!$A$5:$A$64,0))),"")))</f>
        <v/>
      </c>
      <c r="X740" s="23"/>
      <c r="Y740" s="23"/>
      <c r="Z740" s="26"/>
      <c r="AA740" s="27" t="str">
        <f aca="false">IF(R740="","",IF(X740="Not accepted",R740,IF(OR(X740="Accepted",X740="Withdrawn by hospital"),IF(X740="Accepted",0,R740),IF(ISNUMBER(Z740),R740-Z740,""))))</f>
        <v/>
      </c>
      <c r="AB740" s="23"/>
      <c r="AC740" s="25"/>
      <c r="AD740" s="23"/>
      <c r="AE740" s="23"/>
      <c r="AF740" s="24"/>
      <c r="AG740" s="23"/>
      <c r="AH740" s="24"/>
      <c r="AI740" s="29" t="str">
        <f aca="false">IF(X740="Not accepted","Maintained",IF(X740="Partially accepted","Partially maintained",IF(X740="Accepted","Reversed",IF(X740="Withdrawn by hospital","Withdrawn by hospital",""))))</f>
        <v/>
      </c>
      <c r="AJ740" s="28" t="str">
        <f aca="false">IF(AI740="","",W740)</f>
        <v/>
      </c>
      <c r="AK740" s="29" t="str">
        <f aca="false">IF(AND(ISNUMBER(T740),ISNUMBER(W740)),W740-T740,"")</f>
        <v/>
      </c>
      <c r="AL740" s="29" t="str">
        <f aca="false">IF(A740="","",SUMIF(Actions!$C$5:$C$1004,A740,Actions!$F$5:$F$1004))</f>
        <v/>
      </c>
      <c r="AM740" s="25"/>
    </row>
    <row r="741" customFormat="false" ht="15" hidden="false" customHeight="false" outlineLevel="0" collapsed="false">
      <c r="A741" s="23"/>
      <c r="B741" s="23"/>
      <c r="C741" s="23"/>
      <c r="D741" s="23"/>
      <c r="E741" s="23"/>
      <c r="F741" s="23"/>
      <c r="G741" s="23"/>
      <c r="H741" s="23"/>
      <c r="I741" s="23"/>
      <c r="J741" s="23"/>
      <c r="K741" s="24"/>
      <c r="L741" s="23"/>
      <c r="M741" s="25"/>
      <c r="N741" s="25"/>
      <c r="O741" s="23"/>
      <c r="P741" s="26"/>
      <c r="Q741" s="26"/>
      <c r="R741" s="27" t="str">
        <f aca="false">IF(AND(ISNUMBER(P741),ISNUMBER(Q741)),P741-Q741,"")</f>
        <v/>
      </c>
      <c r="S741" s="24"/>
      <c r="T741" s="28" t="str">
        <f aca="false">IF(S741&lt;&gt;"",S741,IF(B741="","",IFERROR(IF(INDEX(Batches!$G$5:$G$64,MATCH(B741,Batches!$A$5:$A$64,0))="","",INDEX(Batches!$G$5:$G$64,MATCH(B741,Batches!$A$5:$A$64,0))),"")))</f>
        <v/>
      </c>
      <c r="U741" s="23"/>
      <c r="V741" s="24"/>
      <c r="W741" s="28" t="str">
        <f aca="false">IF(OR(X741="",X741="Pending"),"",IF(V741&lt;&gt;"",V741,IFERROR(IF(INDEX(Batches!$H$5:$H$64,MATCH(B741,Batches!$A$5:$A$64,0))="","",INDEX(Batches!$H$5:$H$64,MATCH(B741,Batches!$A$5:$A$64,0))),"")))</f>
        <v/>
      </c>
      <c r="X741" s="23"/>
      <c r="Y741" s="23"/>
      <c r="Z741" s="26"/>
      <c r="AA741" s="27" t="str">
        <f aca="false">IF(R741="","",IF(X741="Not accepted",R741,IF(OR(X741="Accepted",X741="Withdrawn by hospital"),IF(X741="Accepted",0,R741),IF(ISNUMBER(Z741),R741-Z741,""))))</f>
        <v/>
      </c>
      <c r="AB741" s="23"/>
      <c r="AC741" s="25"/>
      <c r="AD741" s="23"/>
      <c r="AE741" s="23"/>
      <c r="AF741" s="24"/>
      <c r="AG741" s="23"/>
      <c r="AH741" s="24"/>
      <c r="AI741" s="29" t="str">
        <f aca="false">IF(X741="Not accepted","Maintained",IF(X741="Partially accepted","Partially maintained",IF(X741="Accepted","Reversed",IF(X741="Withdrawn by hospital","Withdrawn by hospital",""))))</f>
        <v/>
      </c>
      <c r="AJ741" s="28" t="str">
        <f aca="false">IF(AI741="","",W741)</f>
        <v/>
      </c>
      <c r="AK741" s="29" t="str">
        <f aca="false">IF(AND(ISNUMBER(T741),ISNUMBER(W741)),W741-T741,"")</f>
        <v/>
      </c>
      <c r="AL741" s="29" t="str">
        <f aca="false">IF(A741="","",SUMIF(Actions!$C$5:$C$1004,A741,Actions!$F$5:$F$1004))</f>
        <v/>
      </c>
      <c r="AM741" s="25"/>
    </row>
    <row r="742" customFormat="false" ht="15" hidden="false" customHeight="false" outlineLevel="0" collapsed="false">
      <c r="A742" s="23"/>
      <c r="B742" s="23"/>
      <c r="C742" s="23"/>
      <c r="D742" s="23"/>
      <c r="E742" s="23"/>
      <c r="F742" s="23"/>
      <c r="G742" s="23"/>
      <c r="H742" s="23"/>
      <c r="I742" s="23"/>
      <c r="J742" s="23"/>
      <c r="K742" s="24"/>
      <c r="L742" s="23"/>
      <c r="M742" s="25"/>
      <c r="N742" s="25"/>
      <c r="O742" s="23"/>
      <c r="P742" s="26"/>
      <c r="Q742" s="26"/>
      <c r="R742" s="27" t="str">
        <f aca="false">IF(AND(ISNUMBER(P742),ISNUMBER(Q742)),P742-Q742,"")</f>
        <v/>
      </c>
      <c r="S742" s="24"/>
      <c r="T742" s="28" t="str">
        <f aca="false">IF(S742&lt;&gt;"",S742,IF(B742="","",IFERROR(IF(INDEX(Batches!$G$5:$G$64,MATCH(B742,Batches!$A$5:$A$64,0))="","",INDEX(Batches!$G$5:$G$64,MATCH(B742,Batches!$A$5:$A$64,0))),"")))</f>
        <v/>
      </c>
      <c r="U742" s="23"/>
      <c r="V742" s="24"/>
      <c r="W742" s="28" t="str">
        <f aca="false">IF(OR(X742="",X742="Pending"),"",IF(V742&lt;&gt;"",V742,IFERROR(IF(INDEX(Batches!$H$5:$H$64,MATCH(B742,Batches!$A$5:$A$64,0))="","",INDEX(Batches!$H$5:$H$64,MATCH(B742,Batches!$A$5:$A$64,0))),"")))</f>
        <v/>
      </c>
      <c r="X742" s="23"/>
      <c r="Y742" s="23"/>
      <c r="Z742" s="26"/>
      <c r="AA742" s="27" t="str">
        <f aca="false">IF(R742="","",IF(X742="Not accepted",R742,IF(OR(X742="Accepted",X742="Withdrawn by hospital"),IF(X742="Accepted",0,R742),IF(ISNUMBER(Z742),R742-Z742,""))))</f>
        <v/>
      </c>
      <c r="AB742" s="23"/>
      <c r="AC742" s="25"/>
      <c r="AD742" s="23"/>
      <c r="AE742" s="23"/>
      <c r="AF742" s="24"/>
      <c r="AG742" s="23"/>
      <c r="AH742" s="24"/>
      <c r="AI742" s="29" t="str">
        <f aca="false">IF(X742="Not accepted","Maintained",IF(X742="Partially accepted","Partially maintained",IF(X742="Accepted","Reversed",IF(X742="Withdrawn by hospital","Withdrawn by hospital",""))))</f>
        <v/>
      </c>
      <c r="AJ742" s="28" t="str">
        <f aca="false">IF(AI742="","",W742)</f>
        <v/>
      </c>
      <c r="AK742" s="29" t="str">
        <f aca="false">IF(AND(ISNUMBER(T742),ISNUMBER(W742)),W742-T742,"")</f>
        <v/>
      </c>
      <c r="AL742" s="29" t="str">
        <f aca="false">IF(A742="","",SUMIF(Actions!$C$5:$C$1004,A742,Actions!$F$5:$F$1004))</f>
        <v/>
      </c>
      <c r="AM742" s="25"/>
    </row>
    <row r="743" customFormat="false" ht="15" hidden="false" customHeight="false" outlineLevel="0" collapsed="false">
      <c r="A743" s="23"/>
      <c r="B743" s="23"/>
      <c r="C743" s="23"/>
      <c r="D743" s="23"/>
      <c r="E743" s="23"/>
      <c r="F743" s="23"/>
      <c r="G743" s="23"/>
      <c r="H743" s="23"/>
      <c r="I743" s="23"/>
      <c r="J743" s="23"/>
      <c r="K743" s="24"/>
      <c r="L743" s="23"/>
      <c r="M743" s="25"/>
      <c r="N743" s="25"/>
      <c r="O743" s="23"/>
      <c r="P743" s="26"/>
      <c r="Q743" s="26"/>
      <c r="R743" s="27" t="str">
        <f aca="false">IF(AND(ISNUMBER(P743),ISNUMBER(Q743)),P743-Q743,"")</f>
        <v/>
      </c>
      <c r="S743" s="24"/>
      <c r="T743" s="28" t="str">
        <f aca="false">IF(S743&lt;&gt;"",S743,IF(B743="","",IFERROR(IF(INDEX(Batches!$G$5:$G$64,MATCH(B743,Batches!$A$5:$A$64,0))="","",INDEX(Batches!$G$5:$G$64,MATCH(B743,Batches!$A$5:$A$64,0))),"")))</f>
        <v/>
      </c>
      <c r="U743" s="23"/>
      <c r="V743" s="24"/>
      <c r="W743" s="28" t="str">
        <f aca="false">IF(OR(X743="",X743="Pending"),"",IF(V743&lt;&gt;"",V743,IFERROR(IF(INDEX(Batches!$H$5:$H$64,MATCH(B743,Batches!$A$5:$A$64,0))="","",INDEX(Batches!$H$5:$H$64,MATCH(B743,Batches!$A$5:$A$64,0))),"")))</f>
        <v/>
      </c>
      <c r="X743" s="23"/>
      <c r="Y743" s="23"/>
      <c r="Z743" s="26"/>
      <c r="AA743" s="27" t="str">
        <f aca="false">IF(R743="","",IF(X743="Not accepted",R743,IF(OR(X743="Accepted",X743="Withdrawn by hospital"),IF(X743="Accepted",0,R743),IF(ISNUMBER(Z743),R743-Z743,""))))</f>
        <v/>
      </c>
      <c r="AB743" s="23"/>
      <c r="AC743" s="25"/>
      <c r="AD743" s="23"/>
      <c r="AE743" s="23"/>
      <c r="AF743" s="24"/>
      <c r="AG743" s="23"/>
      <c r="AH743" s="24"/>
      <c r="AI743" s="29" t="str">
        <f aca="false">IF(X743="Not accepted","Maintained",IF(X743="Partially accepted","Partially maintained",IF(X743="Accepted","Reversed",IF(X743="Withdrawn by hospital","Withdrawn by hospital",""))))</f>
        <v/>
      </c>
      <c r="AJ743" s="28" t="str">
        <f aca="false">IF(AI743="","",W743)</f>
        <v/>
      </c>
      <c r="AK743" s="29" t="str">
        <f aca="false">IF(AND(ISNUMBER(T743),ISNUMBER(W743)),W743-T743,"")</f>
        <v/>
      </c>
      <c r="AL743" s="29" t="str">
        <f aca="false">IF(A743="","",SUMIF(Actions!$C$5:$C$1004,A743,Actions!$F$5:$F$1004))</f>
        <v/>
      </c>
      <c r="AM743" s="25"/>
    </row>
    <row r="744" customFormat="false" ht="15" hidden="false" customHeight="false" outlineLevel="0" collapsed="false">
      <c r="A744" s="23"/>
      <c r="B744" s="23"/>
      <c r="C744" s="23"/>
      <c r="D744" s="23"/>
      <c r="E744" s="23"/>
      <c r="F744" s="23"/>
      <c r="G744" s="23"/>
      <c r="H744" s="23"/>
      <c r="I744" s="23"/>
      <c r="J744" s="23"/>
      <c r="K744" s="24"/>
      <c r="L744" s="23"/>
      <c r="M744" s="25"/>
      <c r="N744" s="25"/>
      <c r="O744" s="23"/>
      <c r="P744" s="26"/>
      <c r="Q744" s="26"/>
      <c r="R744" s="27" t="str">
        <f aca="false">IF(AND(ISNUMBER(P744),ISNUMBER(Q744)),P744-Q744,"")</f>
        <v/>
      </c>
      <c r="S744" s="24"/>
      <c r="T744" s="28" t="str">
        <f aca="false">IF(S744&lt;&gt;"",S744,IF(B744="","",IFERROR(IF(INDEX(Batches!$G$5:$G$64,MATCH(B744,Batches!$A$5:$A$64,0))="","",INDEX(Batches!$G$5:$G$64,MATCH(B744,Batches!$A$5:$A$64,0))),"")))</f>
        <v/>
      </c>
      <c r="U744" s="23"/>
      <c r="V744" s="24"/>
      <c r="W744" s="28" t="str">
        <f aca="false">IF(OR(X744="",X744="Pending"),"",IF(V744&lt;&gt;"",V744,IFERROR(IF(INDEX(Batches!$H$5:$H$64,MATCH(B744,Batches!$A$5:$A$64,0))="","",INDEX(Batches!$H$5:$H$64,MATCH(B744,Batches!$A$5:$A$64,0))),"")))</f>
        <v/>
      </c>
      <c r="X744" s="23"/>
      <c r="Y744" s="23"/>
      <c r="Z744" s="26"/>
      <c r="AA744" s="27" t="str">
        <f aca="false">IF(R744="","",IF(X744="Not accepted",R744,IF(OR(X744="Accepted",X744="Withdrawn by hospital"),IF(X744="Accepted",0,R744),IF(ISNUMBER(Z744),R744-Z744,""))))</f>
        <v/>
      </c>
      <c r="AB744" s="23"/>
      <c r="AC744" s="25"/>
      <c r="AD744" s="23"/>
      <c r="AE744" s="23"/>
      <c r="AF744" s="24"/>
      <c r="AG744" s="23"/>
      <c r="AH744" s="24"/>
      <c r="AI744" s="29" t="str">
        <f aca="false">IF(X744="Not accepted","Maintained",IF(X744="Partially accepted","Partially maintained",IF(X744="Accepted","Reversed",IF(X744="Withdrawn by hospital","Withdrawn by hospital",""))))</f>
        <v/>
      </c>
      <c r="AJ744" s="28" t="str">
        <f aca="false">IF(AI744="","",W744)</f>
        <v/>
      </c>
      <c r="AK744" s="29" t="str">
        <f aca="false">IF(AND(ISNUMBER(T744),ISNUMBER(W744)),W744-T744,"")</f>
        <v/>
      </c>
      <c r="AL744" s="29" t="str">
        <f aca="false">IF(A744="","",SUMIF(Actions!$C$5:$C$1004,A744,Actions!$F$5:$F$1004))</f>
        <v/>
      </c>
      <c r="AM744" s="25"/>
    </row>
    <row r="745" customFormat="false" ht="15" hidden="false" customHeight="false" outlineLevel="0" collapsed="false">
      <c r="A745" s="23"/>
      <c r="B745" s="23"/>
      <c r="C745" s="23"/>
      <c r="D745" s="23"/>
      <c r="E745" s="23"/>
      <c r="F745" s="23"/>
      <c r="G745" s="23"/>
      <c r="H745" s="23"/>
      <c r="I745" s="23"/>
      <c r="J745" s="23"/>
      <c r="K745" s="24"/>
      <c r="L745" s="23"/>
      <c r="M745" s="25"/>
      <c r="N745" s="25"/>
      <c r="O745" s="23"/>
      <c r="P745" s="26"/>
      <c r="Q745" s="26"/>
      <c r="R745" s="27" t="str">
        <f aca="false">IF(AND(ISNUMBER(P745),ISNUMBER(Q745)),P745-Q745,"")</f>
        <v/>
      </c>
      <c r="S745" s="24"/>
      <c r="T745" s="28" t="str">
        <f aca="false">IF(S745&lt;&gt;"",S745,IF(B745="","",IFERROR(IF(INDEX(Batches!$G$5:$G$64,MATCH(B745,Batches!$A$5:$A$64,0))="","",INDEX(Batches!$G$5:$G$64,MATCH(B745,Batches!$A$5:$A$64,0))),"")))</f>
        <v/>
      </c>
      <c r="U745" s="23"/>
      <c r="V745" s="24"/>
      <c r="W745" s="28" t="str">
        <f aca="false">IF(OR(X745="",X745="Pending"),"",IF(V745&lt;&gt;"",V745,IFERROR(IF(INDEX(Batches!$H$5:$H$64,MATCH(B745,Batches!$A$5:$A$64,0))="","",INDEX(Batches!$H$5:$H$64,MATCH(B745,Batches!$A$5:$A$64,0))),"")))</f>
        <v/>
      </c>
      <c r="X745" s="23"/>
      <c r="Y745" s="23"/>
      <c r="Z745" s="26"/>
      <c r="AA745" s="27" t="str">
        <f aca="false">IF(R745="","",IF(X745="Not accepted",R745,IF(OR(X745="Accepted",X745="Withdrawn by hospital"),IF(X745="Accepted",0,R745),IF(ISNUMBER(Z745),R745-Z745,""))))</f>
        <v/>
      </c>
      <c r="AB745" s="23"/>
      <c r="AC745" s="25"/>
      <c r="AD745" s="23"/>
      <c r="AE745" s="23"/>
      <c r="AF745" s="24"/>
      <c r="AG745" s="23"/>
      <c r="AH745" s="24"/>
      <c r="AI745" s="29" t="str">
        <f aca="false">IF(X745="Not accepted","Maintained",IF(X745="Partially accepted","Partially maintained",IF(X745="Accepted","Reversed",IF(X745="Withdrawn by hospital","Withdrawn by hospital",""))))</f>
        <v/>
      </c>
      <c r="AJ745" s="28" t="str">
        <f aca="false">IF(AI745="","",W745)</f>
        <v/>
      </c>
      <c r="AK745" s="29" t="str">
        <f aca="false">IF(AND(ISNUMBER(T745),ISNUMBER(W745)),W745-T745,"")</f>
        <v/>
      </c>
      <c r="AL745" s="29" t="str">
        <f aca="false">IF(A745="","",SUMIF(Actions!$C$5:$C$1004,A745,Actions!$F$5:$F$1004))</f>
        <v/>
      </c>
      <c r="AM745" s="25"/>
    </row>
    <row r="746" customFormat="false" ht="15" hidden="false" customHeight="false" outlineLevel="0" collapsed="false">
      <c r="A746" s="23"/>
      <c r="B746" s="23"/>
      <c r="C746" s="23"/>
      <c r="D746" s="23"/>
      <c r="E746" s="23"/>
      <c r="F746" s="23"/>
      <c r="G746" s="23"/>
      <c r="H746" s="23"/>
      <c r="I746" s="23"/>
      <c r="J746" s="23"/>
      <c r="K746" s="24"/>
      <c r="L746" s="23"/>
      <c r="M746" s="25"/>
      <c r="N746" s="25"/>
      <c r="O746" s="23"/>
      <c r="P746" s="26"/>
      <c r="Q746" s="26"/>
      <c r="R746" s="27" t="str">
        <f aca="false">IF(AND(ISNUMBER(P746),ISNUMBER(Q746)),P746-Q746,"")</f>
        <v/>
      </c>
      <c r="S746" s="24"/>
      <c r="T746" s="28" t="str">
        <f aca="false">IF(S746&lt;&gt;"",S746,IF(B746="","",IFERROR(IF(INDEX(Batches!$G$5:$G$64,MATCH(B746,Batches!$A$5:$A$64,0))="","",INDEX(Batches!$G$5:$G$64,MATCH(B746,Batches!$A$5:$A$64,0))),"")))</f>
        <v/>
      </c>
      <c r="U746" s="23"/>
      <c r="V746" s="24"/>
      <c r="W746" s="28" t="str">
        <f aca="false">IF(OR(X746="",X746="Pending"),"",IF(V746&lt;&gt;"",V746,IFERROR(IF(INDEX(Batches!$H$5:$H$64,MATCH(B746,Batches!$A$5:$A$64,0))="","",INDEX(Batches!$H$5:$H$64,MATCH(B746,Batches!$A$5:$A$64,0))),"")))</f>
        <v/>
      </c>
      <c r="X746" s="23"/>
      <c r="Y746" s="23"/>
      <c r="Z746" s="26"/>
      <c r="AA746" s="27" t="str">
        <f aca="false">IF(R746="","",IF(X746="Not accepted",R746,IF(OR(X746="Accepted",X746="Withdrawn by hospital"),IF(X746="Accepted",0,R746),IF(ISNUMBER(Z746),R746-Z746,""))))</f>
        <v/>
      </c>
      <c r="AB746" s="23"/>
      <c r="AC746" s="25"/>
      <c r="AD746" s="23"/>
      <c r="AE746" s="23"/>
      <c r="AF746" s="24"/>
      <c r="AG746" s="23"/>
      <c r="AH746" s="24"/>
      <c r="AI746" s="29" t="str">
        <f aca="false">IF(X746="Not accepted","Maintained",IF(X746="Partially accepted","Partially maintained",IF(X746="Accepted","Reversed",IF(X746="Withdrawn by hospital","Withdrawn by hospital",""))))</f>
        <v/>
      </c>
      <c r="AJ746" s="28" t="str">
        <f aca="false">IF(AI746="","",W746)</f>
        <v/>
      </c>
      <c r="AK746" s="29" t="str">
        <f aca="false">IF(AND(ISNUMBER(T746),ISNUMBER(W746)),W746-T746,"")</f>
        <v/>
      </c>
      <c r="AL746" s="29" t="str">
        <f aca="false">IF(A746="","",SUMIF(Actions!$C$5:$C$1004,A746,Actions!$F$5:$F$1004))</f>
        <v/>
      </c>
      <c r="AM746" s="25"/>
    </row>
    <row r="747" customFormat="false" ht="15" hidden="false" customHeight="false" outlineLevel="0" collapsed="false">
      <c r="A747" s="23"/>
      <c r="B747" s="23"/>
      <c r="C747" s="23"/>
      <c r="D747" s="23"/>
      <c r="E747" s="23"/>
      <c r="F747" s="23"/>
      <c r="G747" s="23"/>
      <c r="H747" s="23"/>
      <c r="I747" s="23"/>
      <c r="J747" s="23"/>
      <c r="K747" s="24"/>
      <c r="L747" s="23"/>
      <c r="M747" s="25"/>
      <c r="N747" s="25"/>
      <c r="O747" s="23"/>
      <c r="P747" s="26"/>
      <c r="Q747" s="26"/>
      <c r="R747" s="27" t="str">
        <f aca="false">IF(AND(ISNUMBER(P747),ISNUMBER(Q747)),P747-Q747,"")</f>
        <v/>
      </c>
      <c r="S747" s="24"/>
      <c r="T747" s="28" t="str">
        <f aca="false">IF(S747&lt;&gt;"",S747,IF(B747="","",IFERROR(IF(INDEX(Batches!$G$5:$G$64,MATCH(B747,Batches!$A$5:$A$64,0))="","",INDEX(Batches!$G$5:$G$64,MATCH(B747,Batches!$A$5:$A$64,0))),"")))</f>
        <v/>
      </c>
      <c r="U747" s="23"/>
      <c r="V747" s="24"/>
      <c r="W747" s="28" t="str">
        <f aca="false">IF(OR(X747="",X747="Pending"),"",IF(V747&lt;&gt;"",V747,IFERROR(IF(INDEX(Batches!$H$5:$H$64,MATCH(B747,Batches!$A$5:$A$64,0))="","",INDEX(Batches!$H$5:$H$64,MATCH(B747,Batches!$A$5:$A$64,0))),"")))</f>
        <v/>
      </c>
      <c r="X747" s="23"/>
      <c r="Y747" s="23"/>
      <c r="Z747" s="26"/>
      <c r="AA747" s="27" t="str">
        <f aca="false">IF(R747="","",IF(X747="Not accepted",R747,IF(OR(X747="Accepted",X747="Withdrawn by hospital"),IF(X747="Accepted",0,R747),IF(ISNUMBER(Z747),R747-Z747,""))))</f>
        <v/>
      </c>
      <c r="AB747" s="23"/>
      <c r="AC747" s="25"/>
      <c r="AD747" s="23"/>
      <c r="AE747" s="23"/>
      <c r="AF747" s="24"/>
      <c r="AG747" s="23"/>
      <c r="AH747" s="24"/>
      <c r="AI747" s="29" t="str">
        <f aca="false">IF(X747="Not accepted","Maintained",IF(X747="Partially accepted","Partially maintained",IF(X747="Accepted","Reversed",IF(X747="Withdrawn by hospital","Withdrawn by hospital",""))))</f>
        <v/>
      </c>
      <c r="AJ747" s="28" t="str">
        <f aca="false">IF(AI747="","",W747)</f>
        <v/>
      </c>
      <c r="AK747" s="29" t="str">
        <f aca="false">IF(AND(ISNUMBER(T747),ISNUMBER(W747)),W747-T747,"")</f>
        <v/>
      </c>
      <c r="AL747" s="29" t="str">
        <f aca="false">IF(A747="","",SUMIF(Actions!$C$5:$C$1004,A747,Actions!$F$5:$F$1004))</f>
        <v/>
      </c>
      <c r="AM747" s="25"/>
    </row>
    <row r="748" customFormat="false" ht="15" hidden="false" customHeight="false" outlineLevel="0" collapsed="false">
      <c r="A748" s="23"/>
      <c r="B748" s="23"/>
      <c r="C748" s="23"/>
      <c r="D748" s="23"/>
      <c r="E748" s="23"/>
      <c r="F748" s="23"/>
      <c r="G748" s="23"/>
      <c r="H748" s="23"/>
      <c r="I748" s="23"/>
      <c r="J748" s="23"/>
      <c r="K748" s="24"/>
      <c r="L748" s="23"/>
      <c r="M748" s="25"/>
      <c r="N748" s="25"/>
      <c r="O748" s="23"/>
      <c r="P748" s="26"/>
      <c r="Q748" s="26"/>
      <c r="R748" s="27" t="str">
        <f aca="false">IF(AND(ISNUMBER(P748),ISNUMBER(Q748)),P748-Q748,"")</f>
        <v/>
      </c>
      <c r="S748" s="24"/>
      <c r="T748" s="28" t="str">
        <f aca="false">IF(S748&lt;&gt;"",S748,IF(B748="","",IFERROR(IF(INDEX(Batches!$G$5:$G$64,MATCH(B748,Batches!$A$5:$A$64,0))="","",INDEX(Batches!$G$5:$G$64,MATCH(B748,Batches!$A$5:$A$64,0))),"")))</f>
        <v/>
      </c>
      <c r="U748" s="23"/>
      <c r="V748" s="24"/>
      <c r="W748" s="28" t="str">
        <f aca="false">IF(OR(X748="",X748="Pending"),"",IF(V748&lt;&gt;"",V748,IFERROR(IF(INDEX(Batches!$H$5:$H$64,MATCH(B748,Batches!$A$5:$A$64,0))="","",INDEX(Batches!$H$5:$H$64,MATCH(B748,Batches!$A$5:$A$64,0))),"")))</f>
        <v/>
      </c>
      <c r="X748" s="23"/>
      <c r="Y748" s="23"/>
      <c r="Z748" s="26"/>
      <c r="AA748" s="27" t="str">
        <f aca="false">IF(R748="","",IF(X748="Not accepted",R748,IF(OR(X748="Accepted",X748="Withdrawn by hospital"),IF(X748="Accepted",0,R748),IF(ISNUMBER(Z748),R748-Z748,""))))</f>
        <v/>
      </c>
      <c r="AB748" s="23"/>
      <c r="AC748" s="25"/>
      <c r="AD748" s="23"/>
      <c r="AE748" s="23"/>
      <c r="AF748" s="24"/>
      <c r="AG748" s="23"/>
      <c r="AH748" s="24"/>
      <c r="AI748" s="29" t="str">
        <f aca="false">IF(X748="Not accepted","Maintained",IF(X748="Partially accepted","Partially maintained",IF(X748="Accepted","Reversed",IF(X748="Withdrawn by hospital","Withdrawn by hospital",""))))</f>
        <v/>
      </c>
      <c r="AJ748" s="28" t="str">
        <f aca="false">IF(AI748="","",W748)</f>
        <v/>
      </c>
      <c r="AK748" s="29" t="str">
        <f aca="false">IF(AND(ISNUMBER(T748),ISNUMBER(W748)),W748-T748,"")</f>
        <v/>
      </c>
      <c r="AL748" s="29" t="str">
        <f aca="false">IF(A748="","",SUMIF(Actions!$C$5:$C$1004,A748,Actions!$F$5:$F$1004))</f>
        <v/>
      </c>
      <c r="AM748" s="25"/>
    </row>
    <row r="749" customFormat="false" ht="15" hidden="false" customHeight="false" outlineLevel="0" collapsed="false">
      <c r="A749" s="23"/>
      <c r="B749" s="23"/>
      <c r="C749" s="23"/>
      <c r="D749" s="23"/>
      <c r="E749" s="23"/>
      <c r="F749" s="23"/>
      <c r="G749" s="23"/>
      <c r="H749" s="23"/>
      <c r="I749" s="23"/>
      <c r="J749" s="23"/>
      <c r="K749" s="24"/>
      <c r="L749" s="23"/>
      <c r="M749" s="25"/>
      <c r="N749" s="25"/>
      <c r="O749" s="23"/>
      <c r="P749" s="26"/>
      <c r="Q749" s="26"/>
      <c r="R749" s="27" t="str">
        <f aca="false">IF(AND(ISNUMBER(P749),ISNUMBER(Q749)),P749-Q749,"")</f>
        <v/>
      </c>
      <c r="S749" s="24"/>
      <c r="T749" s="28" t="str">
        <f aca="false">IF(S749&lt;&gt;"",S749,IF(B749="","",IFERROR(IF(INDEX(Batches!$G$5:$G$64,MATCH(B749,Batches!$A$5:$A$64,0))="","",INDEX(Batches!$G$5:$G$64,MATCH(B749,Batches!$A$5:$A$64,0))),"")))</f>
        <v/>
      </c>
      <c r="U749" s="23"/>
      <c r="V749" s="24"/>
      <c r="W749" s="28" t="str">
        <f aca="false">IF(OR(X749="",X749="Pending"),"",IF(V749&lt;&gt;"",V749,IFERROR(IF(INDEX(Batches!$H$5:$H$64,MATCH(B749,Batches!$A$5:$A$64,0))="","",INDEX(Batches!$H$5:$H$64,MATCH(B749,Batches!$A$5:$A$64,0))),"")))</f>
        <v/>
      </c>
      <c r="X749" s="23"/>
      <c r="Y749" s="23"/>
      <c r="Z749" s="26"/>
      <c r="AA749" s="27" t="str">
        <f aca="false">IF(R749="","",IF(X749="Not accepted",R749,IF(OR(X749="Accepted",X749="Withdrawn by hospital"),IF(X749="Accepted",0,R749),IF(ISNUMBER(Z749),R749-Z749,""))))</f>
        <v/>
      </c>
      <c r="AB749" s="23"/>
      <c r="AC749" s="25"/>
      <c r="AD749" s="23"/>
      <c r="AE749" s="23"/>
      <c r="AF749" s="24"/>
      <c r="AG749" s="23"/>
      <c r="AH749" s="24"/>
      <c r="AI749" s="29" t="str">
        <f aca="false">IF(X749="Not accepted","Maintained",IF(X749="Partially accepted","Partially maintained",IF(X749="Accepted","Reversed",IF(X749="Withdrawn by hospital","Withdrawn by hospital",""))))</f>
        <v/>
      </c>
      <c r="AJ749" s="28" t="str">
        <f aca="false">IF(AI749="","",W749)</f>
        <v/>
      </c>
      <c r="AK749" s="29" t="str">
        <f aca="false">IF(AND(ISNUMBER(T749),ISNUMBER(W749)),W749-T749,"")</f>
        <v/>
      </c>
      <c r="AL749" s="29" t="str">
        <f aca="false">IF(A749="","",SUMIF(Actions!$C$5:$C$1004,A749,Actions!$F$5:$F$1004))</f>
        <v/>
      </c>
      <c r="AM749" s="25"/>
    </row>
    <row r="750" customFormat="false" ht="15" hidden="false" customHeight="false" outlineLevel="0" collapsed="false">
      <c r="A750" s="23"/>
      <c r="B750" s="23"/>
      <c r="C750" s="23"/>
      <c r="D750" s="23"/>
      <c r="E750" s="23"/>
      <c r="F750" s="23"/>
      <c r="G750" s="23"/>
      <c r="H750" s="23"/>
      <c r="I750" s="23"/>
      <c r="J750" s="23"/>
      <c r="K750" s="24"/>
      <c r="L750" s="23"/>
      <c r="M750" s="25"/>
      <c r="N750" s="25"/>
      <c r="O750" s="23"/>
      <c r="P750" s="26"/>
      <c r="Q750" s="26"/>
      <c r="R750" s="27" t="str">
        <f aca="false">IF(AND(ISNUMBER(P750),ISNUMBER(Q750)),P750-Q750,"")</f>
        <v/>
      </c>
      <c r="S750" s="24"/>
      <c r="T750" s="28" t="str">
        <f aca="false">IF(S750&lt;&gt;"",S750,IF(B750="","",IFERROR(IF(INDEX(Batches!$G$5:$G$64,MATCH(B750,Batches!$A$5:$A$64,0))="","",INDEX(Batches!$G$5:$G$64,MATCH(B750,Batches!$A$5:$A$64,0))),"")))</f>
        <v/>
      </c>
      <c r="U750" s="23"/>
      <c r="V750" s="24"/>
      <c r="W750" s="28" t="str">
        <f aca="false">IF(OR(X750="",X750="Pending"),"",IF(V750&lt;&gt;"",V750,IFERROR(IF(INDEX(Batches!$H$5:$H$64,MATCH(B750,Batches!$A$5:$A$64,0))="","",INDEX(Batches!$H$5:$H$64,MATCH(B750,Batches!$A$5:$A$64,0))),"")))</f>
        <v/>
      </c>
      <c r="X750" s="23"/>
      <c r="Y750" s="23"/>
      <c r="Z750" s="26"/>
      <c r="AA750" s="27" t="str">
        <f aca="false">IF(R750="","",IF(X750="Not accepted",R750,IF(OR(X750="Accepted",X750="Withdrawn by hospital"),IF(X750="Accepted",0,R750),IF(ISNUMBER(Z750),R750-Z750,""))))</f>
        <v/>
      </c>
      <c r="AB750" s="23"/>
      <c r="AC750" s="25"/>
      <c r="AD750" s="23"/>
      <c r="AE750" s="23"/>
      <c r="AF750" s="24"/>
      <c r="AG750" s="23"/>
      <c r="AH750" s="24"/>
      <c r="AI750" s="29" t="str">
        <f aca="false">IF(X750="Not accepted","Maintained",IF(X750="Partially accepted","Partially maintained",IF(X750="Accepted","Reversed",IF(X750="Withdrawn by hospital","Withdrawn by hospital",""))))</f>
        <v/>
      </c>
      <c r="AJ750" s="28" t="str">
        <f aca="false">IF(AI750="","",W750)</f>
        <v/>
      </c>
      <c r="AK750" s="29" t="str">
        <f aca="false">IF(AND(ISNUMBER(T750),ISNUMBER(W750)),W750-T750,"")</f>
        <v/>
      </c>
      <c r="AL750" s="29" t="str">
        <f aca="false">IF(A750="","",SUMIF(Actions!$C$5:$C$1004,A750,Actions!$F$5:$F$1004))</f>
        <v/>
      </c>
      <c r="AM750" s="25"/>
    </row>
    <row r="751" customFormat="false" ht="15" hidden="false" customHeight="false" outlineLevel="0" collapsed="false">
      <c r="A751" s="23"/>
      <c r="B751" s="23"/>
      <c r="C751" s="23"/>
      <c r="D751" s="23"/>
      <c r="E751" s="23"/>
      <c r="F751" s="23"/>
      <c r="G751" s="23"/>
      <c r="H751" s="23"/>
      <c r="I751" s="23"/>
      <c r="J751" s="23"/>
      <c r="K751" s="24"/>
      <c r="L751" s="23"/>
      <c r="M751" s="25"/>
      <c r="N751" s="25"/>
      <c r="O751" s="23"/>
      <c r="P751" s="26"/>
      <c r="Q751" s="26"/>
      <c r="R751" s="27" t="str">
        <f aca="false">IF(AND(ISNUMBER(P751),ISNUMBER(Q751)),P751-Q751,"")</f>
        <v/>
      </c>
      <c r="S751" s="24"/>
      <c r="T751" s="28" t="str">
        <f aca="false">IF(S751&lt;&gt;"",S751,IF(B751="","",IFERROR(IF(INDEX(Batches!$G$5:$G$64,MATCH(B751,Batches!$A$5:$A$64,0))="","",INDEX(Batches!$G$5:$G$64,MATCH(B751,Batches!$A$5:$A$64,0))),"")))</f>
        <v/>
      </c>
      <c r="U751" s="23"/>
      <c r="V751" s="24"/>
      <c r="W751" s="28" t="str">
        <f aca="false">IF(OR(X751="",X751="Pending"),"",IF(V751&lt;&gt;"",V751,IFERROR(IF(INDEX(Batches!$H$5:$H$64,MATCH(B751,Batches!$A$5:$A$64,0))="","",INDEX(Batches!$H$5:$H$64,MATCH(B751,Batches!$A$5:$A$64,0))),"")))</f>
        <v/>
      </c>
      <c r="X751" s="23"/>
      <c r="Y751" s="23"/>
      <c r="Z751" s="26"/>
      <c r="AA751" s="27" t="str">
        <f aca="false">IF(R751="","",IF(X751="Not accepted",R751,IF(OR(X751="Accepted",X751="Withdrawn by hospital"),IF(X751="Accepted",0,R751),IF(ISNUMBER(Z751),R751-Z751,""))))</f>
        <v/>
      </c>
      <c r="AB751" s="23"/>
      <c r="AC751" s="25"/>
      <c r="AD751" s="23"/>
      <c r="AE751" s="23"/>
      <c r="AF751" s="24"/>
      <c r="AG751" s="23"/>
      <c r="AH751" s="24"/>
      <c r="AI751" s="29" t="str">
        <f aca="false">IF(X751="Not accepted","Maintained",IF(X751="Partially accepted","Partially maintained",IF(X751="Accepted","Reversed",IF(X751="Withdrawn by hospital","Withdrawn by hospital",""))))</f>
        <v/>
      </c>
      <c r="AJ751" s="28" t="str">
        <f aca="false">IF(AI751="","",W751)</f>
        <v/>
      </c>
      <c r="AK751" s="29" t="str">
        <f aca="false">IF(AND(ISNUMBER(T751),ISNUMBER(W751)),W751-T751,"")</f>
        <v/>
      </c>
      <c r="AL751" s="29" t="str">
        <f aca="false">IF(A751="","",SUMIF(Actions!$C$5:$C$1004,A751,Actions!$F$5:$F$1004))</f>
        <v/>
      </c>
      <c r="AM751" s="25"/>
    </row>
    <row r="752" customFormat="false" ht="15" hidden="false" customHeight="false" outlineLevel="0" collapsed="false">
      <c r="A752" s="23"/>
      <c r="B752" s="23"/>
      <c r="C752" s="23"/>
      <c r="D752" s="23"/>
      <c r="E752" s="23"/>
      <c r="F752" s="23"/>
      <c r="G752" s="23"/>
      <c r="H752" s="23"/>
      <c r="I752" s="23"/>
      <c r="J752" s="23"/>
      <c r="K752" s="24"/>
      <c r="L752" s="23"/>
      <c r="M752" s="25"/>
      <c r="N752" s="25"/>
      <c r="O752" s="23"/>
      <c r="P752" s="26"/>
      <c r="Q752" s="26"/>
      <c r="R752" s="27" t="str">
        <f aca="false">IF(AND(ISNUMBER(P752),ISNUMBER(Q752)),P752-Q752,"")</f>
        <v/>
      </c>
      <c r="S752" s="24"/>
      <c r="T752" s="28" t="str">
        <f aca="false">IF(S752&lt;&gt;"",S752,IF(B752="","",IFERROR(IF(INDEX(Batches!$G$5:$G$64,MATCH(B752,Batches!$A$5:$A$64,0))="","",INDEX(Batches!$G$5:$G$64,MATCH(B752,Batches!$A$5:$A$64,0))),"")))</f>
        <v/>
      </c>
      <c r="U752" s="23"/>
      <c r="V752" s="24"/>
      <c r="W752" s="28" t="str">
        <f aca="false">IF(OR(X752="",X752="Pending"),"",IF(V752&lt;&gt;"",V752,IFERROR(IF(INDEX(Batches!$H$5:$H$64,MATCH(B752,Batches!$A$5:$A$64,0))="","",INDEX(Batches!$H$5:$H$64,MATCH(B752,Batches!$A$5:$A$64,0))),"")))</f>
        <v/>
      </c>
      <c r="X752" s="23"/>
      <c r="Y752" s="23"/>
      <c r="Z752" s="26"/>
      <c r="AA752" s="27" t="str">
        <f aca="false">IF(R752="","",IF(X752="Not accepted",R752,IF(OR(X752="Accepted",X752="Withdrawn by hospital"),IF(X752="Accepted",0,R752),IF(ISNUMBER(Z752),R752-Z752,""))))</f>
        <v/>
      </c>
      <c r="AB752" s="23"/>
      <c r="AC752" s="25"/>
      <c r="AD752" s="23"/>
      <c r="AE752" s="23"/>
      <c r="AF752" s="24"/>
      <c r="AG752" s="23"/>
      <c r="AH752" s="24"/>
      <c r="AI752" s="29" t="str">
        <f aca="false">IF(X752="Not accepted","Maintained",IF(X752="Partially accepted","Partially maintained",IF(X752="Accepted","Reversed",IF(X752="Withdrawn by hospital","Withdrawn by hospital",""))))</f>
        <v/>
      </c>
      <c r="AJ752" s="28" t="str">
        <f aca="false">IF(AI752="","",W752)</f>
        <v/>
      </c>
      <c r="AK752" s="29" t="str">
        <f aca="false">IF(AND(ISNUMBER(T752),ISNUMBER(W752)),W752-T752,"")</f>
        <v/>
      </c>
      <c r="AL752" s="29" t="str">
        <f aca="false">IF(A752="","",SUMIF(Actions!$C$5:$C$1004,A752,Actions!$F$5:$F$1004))</f>
        <v/>
      </c>
      <c r="AM752" s="25"/>
    </row>
    <row r="753" customFormat="false" ht="15" hidden="false" customHeight="false" outlineLevel="0" collapsed="false">
      <c r="A753" s="23"/>
      <c r="B753" s="23"/>
      <c r="C753" s="23"/>
      <c r="D753" s="23"/>
      <c r="E753" s="23"/>
      <c r="F753" s="23"/>
      <c r="G753" s="23"/>
      <c r="H753" s="23"/>
      <c r="I753" s="23"/>
      <c r="J753" s="23"/>
      <c r="K753" s="24"/>
      <c r="L753" s="23"/>
      <c r="M753" s="25"/>
      <c r="N753" s="25"/>
      <c r="O753" s="23"/>
      <c r="P753" s="26"/>
      <c r="Q753" s="26"/>
      <c r="R753" s="27" t="str">
        <f aca="false">IF(AND(ISNUMBER(P753),ISNUMBER(Q753)),P753-Q753,"")</f>
        <v/>
      </c>
      <c r="S753" s="24"/>
      <c r="T753" s="28" t="str">
        <f aca="false">IF(S753&lt;&gt;"",S753,IF(B753="","",IFERROR(IF(INDEX(Batches!$G$5:$G$64,MATCH(B753,Batches!$A$5:$A$64,0))="","",INDEX(Batches!$G$5:$G$64,MATCH(B753,Batches!$A$5:$A$64,0))),"")))</f>
        <v/>
      </c>
      <c r="U753" s="23"/>
      <c r="V753" s="24"/>
      <c r="W753" s="28" t="str">
        <f aca="false">IF(OR(X753="",X753="Pending"),"",IF(V753&lt;&gt;"",V753,IFERROR(IF(INDEX(Batches!$H$5:$H$64,MATCH(B753,Batches!$A$5:$A$64,0))="","",INDEX(Batches!$H$5:$H$64,MATCH(B753,Batches!$A$5:$A$64,0))),"")))</f>
        <v/>
      </c>
      <c r="X753" s="23"/>
      <c r="Y753" s="23"/>
      <c r="Z753" s="26"/>
      <c r="AA753" s="27" t="str">
        <f aca="false">IF(R753="","",IF(X753="Not accepted",R753,IF(OR(X753="Accepted",X753="Withdrawn by hospital"),IF(X753="Accepted",0,R753),IF(ISNUMBER(Z753),R753-Z753,""))))</f>
        <v/>
      </c>
      <c r="AB753" s="23"/>
      <c r="AC753" s="25"/>
      <c r="AD753" s="23"/>
      <c r="AE753" s="23"/>
      <c r="AF753" s="24"/>
      <c r="AG753" s="23"/>
      <c r="AH753" s="24"/>
      <c r="AI753" s="29" t="str">
        <f aca="false">IF(X753="Not accepted","Maintained",IF(X753="Partially accepted","Partially maintained",IF(X753="Accepted","Reversed",IF(X753="Withdrawn by hospital","Withdrawn by hospital",""))))</f>
        <v/>
      </c>
      <c r="AJ753" s="28" t="str">
        <f aca="false">IF(AI753="","",W753)</f>
        <v/>
      </c>
      <c r="AK753" s="29" t="str">
        <f aca="false">IF(AND(ISNUMBER(T753),ISNUMBER(W753)),W753-T753,"")</f>
        <v/>
      </c>
      <c r="AL753" s="29" t="str">
        <f aca="false">IF(A753="","",SUMIF(Actions!$C$5:$C$1004,A753,Actions!$F$5:$F$1004))</f>
        <v/>
      </c>
      <c r="AM753" s="25"/>
    </row>
    <row r="754" customFormat="false" ht="15" hidden="false" customHeight="false" outlineLevel="0" collapsed="false">
      <c r="A754" s="23"/>
      <c r="B754" s="23"/>
      <c r="C754" s="23"/>
      <c r="D754" s="23"/>
      <c r="E754" s="23"/>
      <c r="F754" s="23"/>
      <c r="G754" s="23"/>
      <c r="H754" s="23"/>
      <c r="I754" s="23"/>
      <c r="J754" s="23"/>
      <c r="K754" s="24"/>
      <c r="L754" s="23"/>
      <c r="M754" s="25"/>
      <c r="N754" s="25"/>
      <c r="O754" s="23"/>
      <c r="P754" s="26"/>
      <c r="Q754" s="26"/>
      <c r="R754" s="27" t="str">
        <f aca="false">IF(AND(ISNUMBER(P754),ISNUMBER(Q754)),P754-Q754,"")</f>
        <v/>
      </c>
      <c r="S754" s="24"/>
      <c r="T754" s="28" t="str">
        <f aca="false">IF(S754&lt;&gt;"",S754,IF(B754="","",IFERROR(IF(INDEX(Batches!$G$5:$G$64,MATCH(B754,Batches!$A$5:$A$64,0))="","",INDEX(Batches!$G$5:$G$64,MATCH(B754,Batches!$A$5:$A$64,0))),"")))</f>
        <v/>
      </c>
      <c r="U754" s="23"/>
      <c r="V754" s="24"/>
      <c r="W754" s="28" t="str">
        <f aca="false">IF(OR(X754="",X754="Pending"),"",IF(V754&lt;&gt;"",V754,IFERROR(IF(INDEX(Batches!$H$5:$H$64,MATCH(B754,Batches!$A$5:$A$64,0))="","",INDEX(Batches!$H$5:$H$64,MATCH(B754,Batches!$A$5:$A$64,0))),"")))</f>
        <v/>
      </c>
      <c r="X754" s="23"/>
      <c r="Y754" s="23"/>
      <c r="Z754" s="26"/>
      <c r="AA754" s="27" t="str">
        <f aca="false">IF(R754="","",IF(X754="Not accepted",R754,IF(OR(X754="Accepted",X754="Withdrawn by hospital"),IF(X754="Accepted",0,R754),IF(ISNUMBER(Z754),R754-Z754,""))))</f>
        <v/>
      </c>
      <c r="AB754" s="23"/>
      <c r="AC754" s="25"/>
      <c r="AD754" s="23"/>
      <c r="AE754" s="23"/>
      <c r="AF754" s="24"/>
      <c r="AG754" s="23"/>
      <c r="AH754" s="24"/>
      <c r="AI754" s="29" t="str">
        <f aca="false">IF(X754="Not accepted","Maintained",IF(X754="Partially accepted","Partially maintained",IF(X754="Accepted","Reversed",IF(X754="Withdrawn by hospital","Withdrawn by hospital",""))))</f>
        <v/>
      </c>
      <c r="AJ754" s="28" t="str">
        <f aca="false">IF(AI754="","",W754)</f>
        <v/>
      </c>
      <c r="AK754" s="29" t="str">
        <f aca="false">IF(AND(ISNUMBER(T754),ISNUMBER(W754)),W754-T754,"")</f>
        <v/>
      </c>
      <c r="AL754" s="29" t="str">
        <f aca="false">IF(A754="","",SUMIF(Actions!$C$5:$C$1004,A754,Actions!$F$5:$F$1004))</f>
        <v/>
      </c>
      <c r="AM754" s="25"/>
    </row>
    <row r="755" customFormat="false" ht="15" hidden="false" customHeight="false" outlineLevel="0" collapsed="false">
      <c r="A755" s="23"/>
      <c r="B755" s="23"/>
      <c r="C755" s="23"/>
      <c r="D755" s="23"/>
      <c r="E755" s="23"/>
      <c r="F755" s="23"/>
      <c r="G755" s="23"/>
      <c r="H755" s="23"/>
      <c r="I755" s="23"/>
      <c r="J755" s="23"/>
      <c r="K755" s="24"/>
      <c r="L755" s="23"/>
      <c r="M755" s="25"/>
      <c r="N755" s="25"/>
      <c r="O755" s="23"/>
      <c r="P755" s="26"/>
      <c r="Q755" s="26"/>
      <c r="R755" s="27" t="str">
        <f aca="false">IF(AND(ISNUMBER(P755),ISNUMBER(Q755)),P755-Q755,"")</f>
        <v/>
      </c>
      <c r="S755" s="24"/>
      <c r="T755" s="28" t="str">
        <f aca="false">IF(S755&lt;&gt;"",S755,IF(B755="","",IFERROR(IF(INDEX(Batches!$G$5:$G$64,MATCH(B755,Batches!$A$5:$A$64,0))="","",INDEX(Batches!$G$5:$G$64,MATCH(B755,Batches!$A$5:$A$64,0))),"")))</f>
        <v/>
      </c>
      <c r="U755" s="23"/>
      <c r="V755" s="24"/>
      <c r="W755" s="28" t="str">
        <f aca="false">IF(OR(X755="",X755="Pending"),"",IF(V755&lt;&gt;"",V755,IFERROR(IF(INDEX(Batches!$H$5:$H$64,MATCH(B755,Batches!$A$5:$A$64,0))="","",INDEX(Batches!$H$5:$H$64,MATCH(B755,Batches!$A$5:$A$64,0))),"")))</f>
        <v/>
      </c>
      <c r="X755" s="23"/>
      <c r="Y755" s="23"/>
      <c r="Z755" s="26"/>
      <c r="AA755" s="27" t="str">
        <f aca="false">IF(R755="","",IF(X755="Not accepted",R755,IF(OR(X755="Accepted",X755="Withdrawn by hospital"),IF(X755="Accepted",0,R755),IF(ISNUMBER(Z755),R755-Z755,""))))</f>
        <v/>
      </c>
      <c r="AB755" s="23"/>
      <c r="AC755" s="25"/>
      <c r="AD755" s="23"/>
      <c r="AE755" s="23"/>
      <c r="AF755" s="24"/>
      <c r="AG755" s="23"/>
      <c r="AH755" s="24"/>
      <c r="AI755" s="29" t="str">
        <f aca="false">IF(X755="Not accepted","Maintained",IF(X755="Partially accepted","Partially maintained",IF(X755="Accepted","Reversed",IF(X755="Withdrawn by hospital","Withdrawn by hospital",""))))</f>
        <v/>
      </c>
      <c r="AJ755" s="28" t="str">
        <f aca="false">IF(AI755="","",W755)</f>
        <v/>
      </c>
      <c r="AK755" s="29" t="str">
        <f aca="false">IF(AND(ISNUMBER(T755),ISNUMBER(W755)),W755-T755,"")</f>
        <v/>
      </c>
      <c r="AL755" s="29" t="str">
        <f aca="false">IF(A755="","",SUMIF(Actions!$C$5:$C$1004,A755,Actions!$F$5:$F$1004))</f>
        <v/>
      </c>
      <c r="AM755" s="25"/>
    </row>
    <row r="756" customFormat="false" ht="15" hidden="false" customHeight="false" outlineLevel="0" collapsed="false">
      <c r="A756" s="23"/>
      <c r="B756" s="23"/>
      <c r="C756" s="23"/>
      <c r="D756" s="23"/>
      <c r="E756" s="23"/>
      <c r="F756" s="23"/>
      <c r="G756" s="23"/>
      <c r="H756" s="23"/>
      <c r="I756" s="23"/>
      <c r="J756" s="23"/>
      <c r="K756" s="24"/>
      <c r="L756" s="23"/>
      <c r="M756" s="25"/>
      <c r="N756" s="25"/>
      <c r="O756" s="23"/>
      <c r="P756" s="26"/>
      <c r="Q756" s="26"/>
      <c r="R756" s="27" t="str">
        <f aca="false">IF(AND(ISNUMBER(P756),ISNUMBER(Q756)),P756-Q756,"")</f>
        <v/>
      </c>
      <c r="S756" s="24"/>
      <c r="T756" s="28" t="str">
        <f aca="false">IF(S756&lt;&gt;"",S756,IF(B756="","",IFERROR(IF(INDEX(Batches!$G$5:$G$64,MATCH(B756,Batches!$A$5:$A$64,0))="","",INDEX(Batches!$G$5:$G$64,MATCH(B756,Batches!$A$5:$A$64,0))),"")))</f>
        <v/>
      </c>
      <c r="U756" s="23"/>
      <c r="V756" s="24"/>
      <c r="W756" s="28" t="str">
        <f aca="false">IF(OR(X756="",X756="Pending"),"",IF(V756&lt;&gt;"",V756,IFERROR(IF(INDEX(Batches!$H$5:$H$64,MATCH(B756,Batches!$A$5:$A$64,0))="","",INDEX(Batches!$H$5:$H$64,MATCH(B756,Batches!$A$5:$A$64,0))),"")))</f>
        <v/>
      </c>
      <c r="X756" s="23"/>
      <c r="Y756" s="23"/>
      <c r="Z756" s="26"/>
      <c r="AA756" s="27" t="str">
        <f aca="false">IF(R756="","",IF(X756="Not accepted",R756,IF(OR(X756="Accepted",X756="Withdrawn by hospital"),IF(X756="Accepted",0,R756),IF(ISNUMBER(Z756),R756-Z756,""))))</f>
        <v/>
      </c>
      <c r="AB756" s="23"/>
      <c r="AC756" s="25"/>
      <c r="AD756" s="23"/>
      <c r="AE756" s="23"/>
      <c r="AF756" s="24"/>
      <c r="AG756" s="23"/>
      <c r="AH756" s="24"/>
      <c r="AI756" s="29" t="str">
        <f aca="false">IF(X756="Not accepted","Maintained",IF(X756="Partially accepted","Partially maintained",IF(X756="Accepted","Reversed",IF(X756="Withdrawn by hospital","Withdrawn by hospital",""))))</f>
        <v/>
      </c>
      <c r="AJ756" s="28" t="str">
        <f aca="false">IF(AI756="","",W756)</f>
        <v/>
      </c>
      <c r="AK756" s="29" t="str">
        <f aca="false">IF(AND(ISNUMBER(T756),ISNUMBER(W756)),W756-T756,"")</f>
        <v/>
      </c>
      <c r="AL756" s="29" t="str">
        <f aca="false">IF(A756="","",SUMIF(Actions!$C$5:$C$1004,A756,Actions!$F$5:$F$1004))</f>
        <v/>
      </c>
      <c r="AM756" s="25"/>
    </row>
    <row r="757" customFormat="false" ht="15" hidden="false" customHeight="false" outlineLevel="0" collapsed="false">
      <c r="A757" s="23"/>
      <c r="B757" s="23"/>
      <c r="C757" s="23"/>
      <c r="D757" s="23"/>
      <c r="E757" s="23"/>
      <c r="F757" s="23"/>
      <c r="G757" s="23"/>
      <c r="H757" s="23"/>
      <c r="I757" s="23"/>
      <c r="J757" s="23"/>
      <c r="K757" s="24"/>
      <c r="L757" s="23"/>
      <c r="M757" s="25"/>
      <c r="N757" s="25"/>
      <c r="O757" s="23"/>
      <c r="P757" s="26"/>
      <c r="Q757" s="26"/>
      <c r="R757" s="27" t="str">
        <f aca="false">IF(AND(ISNUMBER(P757),ISNUMBER(Q757)),P757-Q757,"")</f>
        <v/>
      </c>
      <c r="S757" s="24"/>
      <c r="T757" s="28" t="str">
        <f aca="false">IF(S757&lt;&gt;"",S757,IF(B757="","",IFERROR(IF(INDEX(Batches!$G$5:$G$64,MATCH(B757,Batches!$A$5:$A$64,0))="","",INDEX(Batches!$G$5:$G$64,MATCH(B757,Batches!$A$5:$A$64,0))),"")))</f>
        <v/>
      </c>
      <c r="U757" s="23"/>
      <c r="V757" s="24"/>
      <c r="W757" s="28" t="str">
        <f aca="false">IF(OR(X757="",X757="Pending"),"",IF(V757&lt;&gt;"",V757,IFERROR(IF(INDEX(Batches!$H$5:$H$64,MATCH(B757,Batches!$A$5:$A$64,0))="","",INDEX(Batches!$H$5:$H$64,MATCH(B757,Batches!$A$5:$A$64,0))),"")))</f>
        <v/>
      </c>
      <c r="X757" s="23"/>
      <c r="Y757" s="23"/>
      <c r="Z757" s="26"/>
      <c r="AA757" s="27" t="str">
        <f aca="false">IF(R757="","",IF(X757="Not accepted",R757,IF(OR(X757="Accepted",X757="Withdrawn by hospital"),IF(X757="Accepted",0,R757),IF(ISNUMBER(Z757),R757-Z757,""))))</f>
        <v/>
      </c>
      <c r="AB757" s="23"/>
      <c r="AC757" s="25"/>
      <c r="AD757" s="23"/>
      <c r="AE757" s="23"/>
      <c r="AF757" s="24"/>
      <c r="AG757" s="23"/>
      <c r="AH757" s="24"/>
      <c r="AI757" s="29" t="str">
        <f aca="false">IF(X757="Not accepted","Maintained",IF(X757="Partially accepted","Partially maintained",IF(X757="Accepted","Reversed",IF(X757="Withdrawn by hospital","Withdrawn by hospital",""))))</f>
        <v/>
      </c>
      <c r="AJ757" s="28" t="str">
        <f aca="false">IF(AI757="","",W757)</f>
        <v/>
      </c>
      <c r="AK757" s="29" t="str">
        <f aca="false">IF(AND(ISNUMBER(T757),ISNUMBER(W757)),W757-T757,"")</f>
        <v/>
      </c>
      <c r="AL757" s="29" t="str">
        <f aca="false">IF(A757="","",SUMIF(Actions!$C$5:$C$1004,A757,Actions!$F$5:$F$1004))</f>
        <v/>
      </c>
      <c r="AM757" s="25"/>
    </row>
    <row r="758" customFormat="false" ht="15" hidden="false" customHeight="false" outlineLevel="0" collapsed="false">
      <c r="A758" s="23"/>
      <c r="B758" s="23"/>
      <c r="C758" s="23"/>
      <c r="D758" s="23"/>
      <c r="E758" s="23"/>
      <c r="F758" s="23"/>
      <c r="G758" s="23"/>
      <c r="H758" s="23"/>
      <c r="I758" s="23"/>
      <c r="J758" s="23"/>
      <c r="K758" s="24"/>
      <c r="L758" s="23"/>
      <c r="M758" s="25"/>
      <c r="N758" s="25"/>
      <c r="O758" s="23"/>
      <c r="P758" s="26"/>
      <c r="Q758" s="26"/>
      <c r="R758" s="27" t="str">
        <f aca="false">IF(AND(ISNUMBER(P758),ISNUMBER(Q758)),P758-Q758,"")</f>
        <v/>
      </c>
      <c r="S758" s="24"/>
      <c r="T758" s="28" t="str">
        <f aca="false">IF(S758&lt;&gt;"",S758,IF(B758="","",IFERROR(IF(INDEX(Batches!$G$5:$G$64,MATCH(B758,Batches!$A$5:$A$64,0))="","",INDEX(Batches!$G$5:$G$64,MATCH(B758,Batches!$A$5:$A$64,0))),"")))</f>
        <v/>
      </c>
      <c r="U758" s="23"/>
      <c r="V758" s="24"/>
      <c r="W758" s="28" t="str">
        <f aca="false">IF(OR(X758="",X758="Pending"),"",IF(V758&lt;&gt;"",V758,IFERROR(IF(INDEX(Batches!$H$5:$H$64,MATCH(B758,Batches!$A$5:$A$64,0))="","",INDEX(Batches!$H$5:$H$64,MATCH(B758,Batches!$A$5:$A$64,0))),"")))</f>
        <v/>
      </c>
      <c r="X758" s="23"/>
      <c r="Y758" s="23"/>
      <c r="Z758" s="26"/>
      <c r="AA758" s="27" t="str">
        <f aca="false">IF(R758="","",IF(X758="Not accepted",R758,IF(OR(X758="Accepted",X758="Withdrawn by hospital"),IF(X758="Accepted",0,R758),IF(ISNUMBER(Z758),R758-Z758,""))))</f>
        <v/>
      </c>
      <c r="AB758" s="23"/>
      <c r="AC758" s="25"/>
      <c r="AD758" s="23"/>
      <c r="AE758" s="23"/>
      <c r="AF758" s="24"/>
      <c r="AG758" s="23"/>
      <c r="AH758" s="24"/>
      <c r="AI758" s="29" t="str">
        <f aca="false">IF(X758="Not accepted","Maintained",IF(X758="Partially accepted","Partially maintained",IF(X758="Accepted","Reversed",IF(X758="Withdrawn by hospital","Withdrawn by hospital",""))))</f>
        <v/>
      </c>
      <c r="AJ758" s="28" t="str">
        <f aca="false">IF(AI758="","",W758)</f>
        <v/>
      </c>
      <c r="AK758" s="29" t="str">
        <f aca="false">IF(AND(ISNUMBER(T758),ISNUMBER(W758)),W758-T758,"")</f>
        <v/>
      </c>
      <c r="AL758" s="29" t="str">
        <f aca="false">IF(A758="","",SUMIF(Actions!$C$5:$C$1004,A758,Actions!$F$5:$F$1004))</f>
        <v/>
      </c>
      <c r="AM758" s="25"/>
    </row>
    <row r="759" customFormat="false" ht="15" hidden="false" customHeight="false" outlineLevel="0" collapsed="false">
      <c r="A759" s="23"/>
      <c r="B759" s="23"/>
      <c r="C759" s="23"/>
      <c r="D759" s="23"/>
      <c r="E759" s="23"/>
      <c r="F759" s="23"/>
      <c r="G759" s="23"/>
      <c r="H759" s="23"/>
      <c r="I759" s="23"/>
      <c r="J759" s="23"/>
      <c r="K759" s="24"/>
      <c r="L759" s="23"/>
      <c r="M759" s="25"/>
      <c r="N759" s="25"/>
      <c r="O759" s="23"/>
      <c r="P759" s="26"/>
      <c r="Q759" s="26"/>
      <c r="R759" s="27" t="str">
        <f aca="false">IF(AND(ISNUMBER(P759),ISNUMBER(Q759)),P759-Q759,"")</f>
        <v/>
      </c>
      <c r="S759" s="24"/>
      <c r="T759" s="28" t="str">
        <f aca="false">IF(S759&lt;&gt;"",S759,IF(B759="","",IFERROR(IF(INDEX(Batches!$G$5:$G$64,MATCH(B759,Batches!$A$5:$A$64,0))="","",INDEX(Batches!$G$5:$G$64,MATCH(B759,Batches!$A$5:$A$64,0))),"")))</f>
        <v/>
      </c>
      <c r="U759" s="23"/>
      <c r="V759" s="24"/>
      <c r="W759" s="28" t="str">
        <f aca="false">IF(OR(X759="",X759="Pending"),"",IF(V759&lt;&gt;"",V759,IFERROR(IF(INDEX(Batches!$H$5:$H$64,MATCH(B759,Batches!$A$5:$A$64,0))="","",INDEX(Batches!$H$5:$H$64,MATCH(B759,Batches!$A$5:$A$64,0))),"")))</f>
        <v/>
      </c>
      <c r="X759" s="23"/>
      <c r="Y759" s="23"/>
      <c r="Z759" s="26"/>
      <c r="AA759" s="27" t="str">
        <f aca="false">IF(R759="","",IF(X759="Not accepted",R759,IF(OR(X759="Accepted",X759="Withdrawn by hospital"),IF(X759="Accepted",0,R759),IF(ISNUMBER(Z759),R759-Z759,""))))</f>
        <v/>
      </c>
      <c r="AB759" s="23"/>
      <c r="AC759" s="25"/>
      <c r="AD759" s="23"/>
      <c r="AE759" s="23"/>
      <c r="AF759" s="24"/>
      <c r="AG759" s="23"/>
      <c r="AH759" s="24"/>
      <c r="AI759" s="29" t="str">
        <f aca="false">IF(X759="Not accepted","Maintained",IF(X759="Partially accepted","Partially maintained",IF(X759="Accepted","Reversed",IF(X759="Withdrawn by hospital","Withdrawn by hospital",""))))</f>
        <v/>
      </c>
      <c r="AJ759" s="28" t="str">
        <f aca="false">IF(AI759="","",W759)</f>
        <v/>
      </c>
      <c r="AK759" s="29" t="str">
        <f aca="false">IF(AND(ISNUMBER(T759),ISNUMBER(W759)),W759-T759,"")</f>
        <v/>
      </c>
      <c r="AL759" s="29" t="str">
        <f aca="false">IF(A759="","",SUMIF(Actions!$C$5:$C$1004,A759,Actions!$F$5:$F$1004))</f>
        <v/>
      </c>
      <c r="AM759" s="25"/>
    </row>
    <row r="760" customFormat="false" ht="15" hidden="false" customHeight="false" outlineLevel="0" collapsed="false">
      <c r="A760" s="23"/>
      <c r="B760" s="23"/>
      <c r="C760" s="23"/>
      <c r="D760" s="23"/>
      <c r="E760" s="23"/>
      <c r="F760" s="23"/>
      <c r="G760" s="23"/>
      <c r="H760" s="23"/>
      <c r="I760" s="23"/>
      <c r="J760" s="23"/>
      <c r="K760" s="24"/>
      <c r="L760" s="23"/>
      <c r="M760" s="25"/>
      <c r="N760" s="25"/>
      <c r="O760" s="23"/>
      <c r="P760" s="26"/>
      <c r="Q760" s="26"/>
      <c r="R760" s="27" t="str">
        <f aca="false">IF(AND(ISNUMBER(P760),ISNUMBER(Q760)),P760-Q760,"")</f>
        <v/>
      </c>
      <c r="S760" s="24"/>
      <c r="T760" s="28" t="str">
        <f aca="false">IF(S760&lt;&gt;"",S760,IF(B760="","",IFERROR(IF(INDEX(Batches!$G$5:$G$64,MATCH(B760,Batches!$A$5:$A$64,0))="","",INDEX(Batches!$G$5:$G$64,MATCH(B760,Batches!$A$5:$A$64,0))),"")))</f>
        <v/>
      </c>
      <c r="U760" s="23"/>
      <c r="V760" s="24"/>
      <c r="W760" s="28" t="str">
        <f aca="false">IF(OR(X760="",X760="Pending"),"",IF(V760&lt;&gt;"",V760,IFERROR(IF(INDEX(Batches!$H$5:$H$64,MATCH(B760,Batches!$A$5:$A$64,0))="","",INDEX(Batches!$H$5:$H$64,MATCH(B760,Batches!$A$5:$A$64,0))),"")))</f>
        <v/>
      </c>
      <c r="X760" s="23"/>
      <c r="Y760" s="23"/>
      <c r="Z760" s="26"/>
      <c r="AA760" s="27" t="str">
        <f aca="false">IF(R760="","",IF(X760="Not accepted",R760,IF(OR(X760="Accepted",X760="Withdrawn by hospital"),IF(X760="Accepted",0,R760),IF(ISNUMBER(Z760),R760-Z760,""))))</f>
        <v/>
      </c>
      <c r="AB760" s="23"/>
      <c r="AC760" s="25"/>
      <c r="AD760" s="23"/>
      <c r="AE760" s="23"/>
      <c r="AF760" s="24"/>
      <c r="AG760" s="23"/>
      <c r="AH760" s="24"/>
      <c r="AI760" s="29" t="str">
        <f aca="false">IF(X760="Not accepted","Maintained",IF(X760="Partially accepted","Partially maintained",IF(X760="Accepted","Reversed",IF(X760="Withdrawn by hospital","Withdrawn by hospital",""))))</f>
        <v/>
      </c>
      <c r="AJ760" s="28" t="str">
        <f aca="false">IF(AI760="","",W760)</f>
        <v/>
      </c>
      <c r="AK760" s="29" t="str">
        <f aca="false">IF(AND(ISNUMBER(T760),ISNUMBER(W760)),W760-T760,"")</f>
        <v/>
      </c>
      <c r="AL760" s="29" t="str">
        <f aca="false">IF(A760="","",SUMIF(Actions!$C$5:$C$1004,A760,Actions!$F$5:$F$1004))</f>
        <v/>
      </c>
      <c r="AM760" s="25"/>
    </row>
    <row r="761" customFormat="false" ht="15" hidden="false" customHeight="false" outlineLevel="0" collapsed="false">
      <c r="A761" s="23"/>
      <c r="B761" s="23"/>
      <c r="C761" s="23"/>
      <c r="D761" s="23"/>
      <c r="E761" s="23"/>
      <c r="F761" s="23"/>
      <c r="G761" s="23"/>
      <c r="H761" s="23"/>
      <c r="I761" s="23"/>
      <c r="J761" s="23"/>
      <c r="K761" s="24"/>
      <c r="L761" s="23"/>
      <c r="M761" s="25"/>
      <c r="N761" s="25"/>
      <c r="O761" s="23"/>
      <c r="P761" s="26"/>
      <c r="Q761" s="26"/>
      <c r="R761" s="27" t="str">
        <f aca="false">IF(AND(ISNUMBER(P761),ISNUMBER(Q761)),P761-Q761,"")</f>
        <v/>
      </c>
      <c r="S761" s="24"/>
      <c r="T761" s="28" t="str">
        <f aca="false">IF(S761&lt;&gt;"",S761,IF(B761="","",IFERROR(IF(INDEX(Batches!$G$5:$G$64,MATCH(B761,Batches!$A$5:$A$64,0))="","",INDEX(Batches!$G$5:$G$64,MATCH(B761,Batches!$A$5:$A$64,0))),"")))</f>
        <v/>
      </c>
      <c r="U761" s="23"/>
      <c r="V761" s="24"/>
      <c r="W761" s="28" t="str">
        <f aca="false">IF(OR(X761="",X761="Pending"),"",IF(V761&lt;&gt;"",V761,IFERROR(IF(INDEX(Batches!$H$5:$H$64,MATCH(B761,Batches!$A$5:$A$64,0))="","",INDEX(Batches!$H$5:$H$64,MATCH(B761,Batches!$A$5:$A$64,0))),"")))</f>
        <v/>
      </c>
      <c r="X761" s="23"/>
      <c r="Y761" s="23"/>
      <c r="Z761" s="26"/>
      <c r="AA761" s="27" t="str">
        <f aca="false">IF(R761="","",IF(X761="Not accepted",R761,IF(OR(X761="Accepted",X761="Withdrawn by hospital"),IF(X761="Accepted",0,R761),IF(ISNUMBER(Z761),R761-Z761,""))))</f>
        <v/>
      </c>
      <c r="AB761" s="23"/>
      <c r="AC761" s="25"/>
      <c r="AD761" s="23"/>
      <c r="AE761" s="23"/>
      <c r="AF761" s="24"/>
      <c r="AG761" s="23"/>
      <c r="AH761" s="24"/>
      <c r="AI761" s="29" t="str">
        <f aca="false">IF(X761="Not accepted","Maintained",IF(X761="Partially accepted","Partially maintained",IF(X761="Accepted","Reversed",IF(X761="Withdrawn by hospital","Withdrawn by hospital",""))))</f>
        <v/>
      </c>
      <c r="AJ761" s="28" t="str">
        <f aca="false">IF(AI761="","",W761)</f>
        <v/>
      </c>
      <c r="AK761" s="29" t="str">
        <f aca="false">IF(AND(ISNUMBER(T761),ISNUMBER(W761)),W761-T761,"")</f>
        <v/>
      </c>
      <c r="AL761" s="29" t="str">
        <f aca="false">IF(A761="","",SUMIF(Actions!$C$5:$C$1004,A761,Actions!$F$5:$F$1004))</f>
        <v/>
      </c>
      <c r="AM761" s="25"/>
    </row>
    <row r="762" customFormat="false" ht="15" hidden="false" customHeight="false" outlineLevel="0" collapsed="false">
      <c r="A762" s="23"/>
      <c r="B762" s="23"/>
      <c r="C762" s="23"/>
      <c r="D762" s="23"/>
      <c r="E762" s="23"/>
      <c r="F762" s="23"/>
      <c r="G762" s="23"/>
      <c r="H762" s="23"/>
      <c r="I762" s="23"/>
      <c r="J762" s="23"/>
      <c r="K762" s="24"/>
      <c r="L762" s="23"/>
      <c r="M762" s="25"/>
      <c r="N762" s="25"/>
      <c r="O762" s="23"/>
      <c r="P762" s="26"/>
      <c r="Q762" s="26"/>
      <c r="R762" s="27" t="str">
        <f aca="false">IF(AND(ISNUMBER(P762),ISNUMBER(Q762)),P762-Q762,"")</f>
        <v/>
      </c>
      <c r="S762" s="24"/>
      <c r="T762" s="28" t="str">
        <f aca="false">IF(S762&lt;&gt;"",S762,IF(B762="","",IFERROR(IF(INDEX(Batches!$G$5:$G$64,MATCH(B762,Batches!$A$5:$A$64,0))="","",INDEX(Batches!$G$5:$G$64,MATCH(B762,Batches!$A$5:$A$64,0))),"")))</f>
        <v/>
      </c>
      <c r="U762" s="23"/>
      <c r="V762" s="24"/>
      <c r="W762" s="28" t="str">
        <f aca="false">IF(OR(X762="",X762="Pending"),"",IF(V762&lt;&gt;"",V762,IFERROR(IF(INDEX(Batches!$H$5:$H$64,MATCH(B762,Batches!$A$5:$A$64,0))="","",INDEX(Batches!$H$5:$H$64,MATCH(B762,Batches!$A$5:$A$64,0))),"")))</f>
        <v/>
      </c>
      <c r="X762" s="23"/>
      <c r="Y762" s="23"/>
      <c r="Z762" s="26"/>
      <c r="AA762" s="27" t="str">
        <f aca="false">IF(R762="","",IF(X762="Not accepted",R762,IF(OR(X762="Accepted",X762="Withdrawn by hospital"),IF(X762="Accepted",0,R762),IF(ISNUMBER(Z762),R762-Z762,""))))</f>
        <v/>
      </c>
      <c r="AB762" s="23"/>
      <c r="AC762" s="25"/>
      <c r="AD762" s="23"/>
      <c r="AE762" s="23"/>
      <c r="AF762" s="24"/>
      <c r="AG762" s="23"/>
      <c r="AH762" s="24"/>
      <c r="AI762" s="29" t="str">
        <f aca="false">IF(X762="Not accepted","Maintained",IF(X762="Partially accepted","Partially maintained",IF(X762="Accepted","Reversed",IF(X762="Withdrawn by hospital","Withdrawn by hospital",""))))</f>
        <v/>
      </c>
      <c r="AJ762" s="28" t="str">
        <f aca="false">IF(AI762="","",W762)</f>
        <v/>
      </c>
      <c r="AK762" s="29" t="str">
        <f aca="false">IF(AND(ISNUMBER(T762),ISNUMBER(W762)),W762-T762,"")</f>
        <v/>
      </c>
      <c r="AL762" s="29" t="str">
        <f aca="false">IF(A762="","",SUMIF(Actions!$C$5:$C$1004,A762,Actions!$F$5:$F$1004))</f>
        <v/>
      </c>
      <c r="AM762" s="25"/>
    </row>
    <row r="763" customFormat="false" ht="15" hidden="false" customHeight="false" outlineLevel="0" collapsed="false">
      <c r="A763" s="23"/>
      <c r="B763" s="23"/>
      <c r="C763" s="23"/>
      <c r="D763" s="23"/>
      <c r="E763" s="23"/>
      <c r="F763" s="23"/>
      <c r="G763" s="23"/>
      <c r="H763" s="23"/>
      <c r="I763" s="23"/>
      <c r="J763" s="23"/>
      <c r="K763" s="24"/>
      <c r="L763" s="23"/>
      <c r="M763" s="25"/>
      <c r="N763" s="25"/>
      <c r="O763" s="23"/>
      <c r="P763" s="26"/>
      <c r="Q763" s="26"/>
      <c r="R763" s="27" t="str">
        <f aca="false">IF(AND(ISNUMBER(P763),ISNUMBER(Q763)),P763-Q763,"")</f>
        <v/>
      </c>
      <c r="S763" s="24"/>
      <c r="T763" s="28" t="str">
        <f aca="false">IF(S763&lt;&gt;"",S763,IF(B763="","",IFERROR(IF(INDEX(Batches!$G$5:$G$64,MATCH(B763,Batches!$A$5:$A$64,0))="","",INDEX(Batches!$G$5:$G$64,MATCH(B763,Batches!$A$5:$A$64,0))),"")))</f>
        <v/>
      </c>
      <c r="U763" s="23"/>
      <c r="V763" s="24"/>
      <c r="W763" s="28" t="str">
        <f aca="false">IF(OR(X763="",X763="Pending"),"",IF(V763&lt;&gt;"",V763,IFERROR(IF(INDEX(Batches!$H$5:$H$64,MATCH(B763,Batches!$A$5:$A$64,0))="","",INDEX(Batches!$H$5:$H$64,MATCH(B763,Batches!$A$5:$A$64,0))),"")))</f>
        <v/>
      </c>
      <c r="X763" s="23"/>
      <c r="Y763" s="23"/>
      <c r="Z763" s="26"/>
      <c r="AA763" s="27" t="str">
        <f aca="false">IF(R763="","",IF(X763="Not accepted",R763,IF(OR(X763="Accepted",X763="Withdrawn by hospital"),IF(X763="Accepted",0,R763),IF(ISNUMBER(Z763),R763-Z763,""))))</f>
        <v/>
      </c>
      <c r="AB763" s="23"/>
      <c r="AC763" s="25"/>
      <c r="AD763" s="23"/>
      <c r="AE763" s="23"/>
      <c r="AF763" s="24"/>
      <c r="AG763" s="23"/>
      <c r="AH763" s="24"/>
      <c r="AI763" s="29" t="str">
        <f aca="false">IF(X763="Not accepted","Maintained",IF(X763="Partially accepted","Partially maintained",IF(X763="Accepted","Reversed",IF(X763="Withdrawn by hospital","Withdrawn by hospital",""))))</f>
        <v/>
      </c>
      <c r="AJ763" s="28" t="str">
        <f aca="false">IF(AI763="","",W763)</f>
        <v/>
      </c>
      <c r="AK763" s="29" t="str">
        <f aca="false">IF(AND(ISNUMBER(T763),ISNUMBER(W763)),W763-T763,"")</f>
        <v/>
      </c>
      <c r="AL763" s="29" t="str">
        <f aca="false">IF(A763="","",SUMIF(Actions!$C$5:$C$1004,A763,Actions!$F$5:$F$1004))</f>
        <v/>
      </c>
      <c r="AM763" s="25"/>
    </row>
    <row r="764" customFormat="false" ht="15" hidden="false" customHeight="false" outlineLevel="0" collapsed="false">
      <c r="A764" s="23"/>
      <c r="B764" s="23"/>
      <c r="C764" s="23"/>
      <c r="D764" s="23"/>
      <c r="E764" s="23"/>
      <c r="F764" s="23"/>
      <c r="G764" s="23"/>
      <c r="H764" s="23"/>
      <c r="I764" s="23"/>
      <c r="J764" s="23"/>
      <c r="K764" s="24"/>
      <c r="L764" s="23"/>
      <c r="M764" s="25"/>
      <c r="N764" s="25"/>
      <c r="O764" s="23"/>
      <c r="P764" s="26"/>
      <c r="Q764" s="26"/>
      <c r="R764" s="27" t="str">
        <f aca="false">IF(AND(ISNUMBER(P764),ISNUMBER(Q764)),P764-Q764,"")</f>
        <v/>
      </c>
      <c r="S764" s="24"/>
      <c r="T764" s="28" t="str">
        <f aca="false">IF(S764&lt;&gt;"",S764,IF(B764="","",IFERROR(IF(INDEX(Batches!$G$5:$G$64,MATCH(B764,Batches!$A$5:$A$64,0))="","",INDEX(Batches!$G$5:$G$64,MATCH(B764,Batches!$A$5:$A$64,0))),"")))</f>
        <v/>
      </c>
      <c r="U764" s="23"/>
      <c r="V764" s="24"/>
      <c r="W764" s="28" t="str">
        <f aca="false">IF(OR(X764="",X764="Pending"),"",IF(V764&lt;&gt;"",V764,IFERROR(IF(INDEX(Batches!$H$5:$H$64,MATCH(B764,Batches!$A$5:$A$64,0))="","",INDEX(Batches!$H$5:$H$64,MATCH(B764,Batches!$A$5:$A$64,0))),"")))</f>
        <v/>
      </c>
      <c r="X764" s="23"/>
      <c r="Y764" s="23"/>
      <c r="Z764" s="26"/>
      <c r="AA764" s="27" t="str">
        <f aca="false">IF(R764="","",IF(X764="Not accepted",R764,IF(OR(X764="Accepted",X764="Withdrawn by hospital"),IF(X764="Accepted",0,R764),IF(ISNUMBER(Z764),R764-Z764,""))))</f>
        <v/>
      </c>
      <c r="AB764" s="23"/>
      <c r="AC764" s="25"/>
      <c r="AD764" s="23"/>
      <c r="AE764" s="23"/>
      <c r="AF764" s="24"/>
      <c r="AG764" s="23"/>
      <c r="AH764" s="24"/>
      <c r="AI764" s="29" t="str">
        <f aca="false">IF(X764="Not accepted","Maintained",IF(X764="Partially accepted","Partially maintained",IF(X764="Accepted","Reversed",IF(X764="Withdrawn by hospital","Withdrawn by hospital",""))))</f>
        <v/>
      </c>
      <c r="AJ764" s="28" t="str">
        <f aca="false">IF(AI764="","",W764)</f>
        <v/>
      </c>
      <c r="AK764" s="29" t="str">
        <f aca="false">IF(AND(ISNUMBER(T764),ISNUMBER(W764)),W764-T764,"")</f>
        <v/>
      </c>
      <c r="AL764" s="29" t="str">
        <f aca="false">IF(A764="","",SUMIF(Actions!$C$5:$C$1004,A764,Actions!$F$5:$F$1004))</f>
        <v/>
      </c>
      <c r="AM764" s="25"/>
    </row>
    <row r="765" customFormat="false" ht="15" hidden="false" customHeight="false" outlineLevel="0" collapsed="false">
      <c r="A765" s="23"/>
      <c r="B765" s="23"/>
      <c r="C765" s="23"/>
      <c r="D765" s="23"/>
      <c r="E765" s="23"/>
      <c r="F765" s="23"/>
      <c r="G765" s="23"/>
      <c r="H765" s="23"/>
      <c r="I765" s="23"/>
      <c r="J765" s="23"/>
      <c r="K765" s="24"/>
      <c r="L765" s="23"/>
      <c r="M765" s="25"/>
      <c r="N765" s="25"/>
      <c r="O765" s="23"/>
      <c r="P765" s="26"/>
      <c r="Q765" s="26"/>
      <c r="R765" s="27" t="str">
        <f aca="false">IF(AND(ISNUMBER(P765),ISNUMBER(Q765)),P765-Q765,"")</f>
        <v/>
      </c>
      <c r="S765" s="24"/>
      <c r="T765" s="28" t="str">
        <f aca="false">IF(S765&lt;&gt;"",S765,IF(B765="","",IFERROR(IF(INDEX(Batches!$G$5:$G$64,MATCH(B765,Batches!$A$5:$A$64,0))="","",INDEX(Batches!$G$5:$G$64,MATCH(B765,Batches!$A$5:$A$64,0))),"")))</f>
        <v/>
      </c>
      <c r="U765" s="23"/>
      <c r="V765" s="24"/>
      <c r="W765" s="28" t="str">
        <f aca="false">IF(OR(X765="",X765="Pending"),"",IF(V765&lt;&gt;"",V765,IFERROR(IF(INDEX(Batches!$H$5:$H$64,MATCH(B765,Batches!$A$5:$A$64,0))="","",INDEX(Batches!$H$5:$H$64,MATCH(B765,Batches!$A$5:$A$64,0))),"")))</f>
        <v/>
      </c>
      <c r="X765" s="23"/>
      <c r="Y765" s="23"/>
      <c r="Z765" s="26"/>
      <c r="AA765" s="27" t="str">
        <f aca="false">IF(R765="","",IF(X765="Not accepted",R765,IF(OR(X765="Accepted",X765="Withdrawn by hospital"),IF(X765="Accepted",0,R765),IF(ISNUMBER(Z765),R765-Z765,""))))</f>
        <v/>
      </c>
      <c r="AB765" s="23"/>
      <c r="AC765" s="25"/>
      <c r="AD765" s="23"/>
      <c r="AE765" s="23"/>
      <c r="AF765" s="24"/>
      <c r="AG765" s="23"/>
      <c r="AH765" s="24"/>
      <c r="AI765" s="29" t="str">
        <f aca="false">IF(X765="Not accepted","Maintained",IF(X765="Partially accepted","Partially maintained",IF(X765="Accepted","Reversed",IF(X765="Withdrawn by hospital","Withdrawn by hospital",""))))</f>
        <v/>
      </c>
      <c r="AJ765" s="28" t="str">
        <f aca="false">IF(AI765="","",W765)</f>
        <v/>
      </c>
      <c r="AK765" s="29" t="str">
        <f aca="false">IF(AND(ISNUMBER(T765),ISNUMBER(W765)),W765-T765,"")</f>
        <v/>
      </c>
      <c r="AL765" s="29" t="str">
        <f aca="false">IF(A765="","",SUMIF(Actions!$C$5:$C$1004,A765,Actions!$F$5:$F$1004))</f>
        <v/>
      </c>
      <c r="AM765" s="25"/>
    </row>
    <row r="766" customFormat="false" ht="15" hidden="false" customHeight="false" outlineLevel="0" collapsed="false">
      <c r="A766" s="23"/>
      <c r="B766" s="23"/>
      <c r="C766" s="23"/>
      <c r="D766" s="23"/>
      <c r="E766" s="23"/>
      <c r="F766" s="23"/>
      <c r="G766" s="23"/>
      <c r="H766" s="23"/>
      <c r="I766" s="23"/>
      <c r="J766" s="23"/>
      <c r="K766" s="24"/>
      <c r="L766" s="23"/>
      <c r="M766" s="25"/>
      <c r="N766" s="25"/>
      <c r="O766" s="23"/>
      <c r="P766" s="26"/>
      <c r="Q766" s="26"/>
      <c r="R766" s="27" t="str">
        <f aca="false">IF(AND(ISNUMBER(P766),ISNUMBER(Q766)),P766-Q766,"")</f>
        <v/>
      </c>
      <c r="S766" s="24"/>
      <c r="T766" s="28" t="str">
        <f aca="false">IF(S766&lt;&gt;"",S766,IF(B766="","",IFERROR(IF(INDEX(Batches!$G$5:$G$64,MATCH(B766,Batches!$A$5:$A$64,0))="","",INDEX(Batches!$G$5:$G$64,MATCH(B766,Batches!$A$5:$A$64,0))),"")))</f>
        <v/>
      </c>
      <c r="U766" s="23"/>
      <c r="V766" s="24"/>
      <c r="W766" s="28" t="str">
        <f aca="false">IF(OR(X766="",X766="Pending"),"",IF(V766&lt;&gt;"",V766,IFERROR(IF(INDEX(Batches!$H$5:$H$64,MATCH(B766,Batches!$A$5:$A$64,0))="","",INDEX(Batches!$H$5:$H$64,MATCH(B766,Batches!$A$5:$A$64,0))),"")))</f>
        <v/>
      </c>
      <c r="X766" s="23"/>
      <c r="Y766" s="23"/>
      <c r="Z766" s="26"/>
      <c r="AA766" s="27" t="str">
        <f aca="false">IF(R766="","",IF(X766="Not accepted",R766,IF(OR(X766="Accepted",X766="Withdrawn by hospital"),IF(X766="Accepted",0,R766),IF(ISNUMBER(Z766),R766-Z766,""))))</f>
        <v/>
      </c>
      <c r="AB766" s="23"/>
      <c r="AC766" s="25"/>
      <c r="AD766" s="23"/>
      <c r="AE766" s="23"/>
      <c r="AF766" s="24"/>
      <c r="AG766" s="23"/>
      <c r="AH766" s="24"/>
      <c r="AI766" s="29" t="str">
        <f aca="false">IF(X766="Not accepted","Maintained",IF(X766="Partially accepted","Partially maintained",IF(X766="Accepted","Reversed",IF(X766="Withdrawn by hospital","Withdrawn by hospital",""))))</f>
        <v/>
      </c>
      <c r="AJ766" s="28" t="str">
        <f aca="false">IF(AI766="","",W766)</f>
        <v/>
      </c>
      <c r="AK766" s="29" t="str">
        <f aca="false">IF(AND(ISNUMBER(T766),ISNUMBER(W766)),W766-T766,"")</f>
        <v/>
      </c>
      <c r="AL766" s="29" t="str">
        <f aca="false">IF(A766="","",SUMIF(Actions!$C$5:$C$1004,A766,Actions!$F$5:$F$1004))</f>
        <v/>
      </c>
      <c r="AM766" s="25"/>
    </row>
    <row r="767" customFormat="false" ht="15" hidden="false" customHeight="false" outlineLevel="0" collapsed="false">
      <c r="A767" s="23"/>
      <c r="B767" s="23"/>
      <c r="C767" s="23"/>
      <c r="D767" s="23"/>
      <c r="E767" s="23"/>
      <c r="F767" s="23"/>
      <c r="G767" s="23"/>
      <c r="H767" s="23"/>
      <c r="I767" s="23"/>
      <c r="J767" s="23"/>
      <c r="K767" s="24"/>
      <c r="L767" s="23"/>
      <c r="M767" s="25"/>
      <c r="N767" s="25"/>
      <c r="O767" s="23"/>
      <c r="P767" s="26"/>
      <c r="Q767" s="26"/>
      <c r="R767" s="27" t="str">
        <f aca="false">IF(AND(ISNUMBER(P767),ISNUMBER(Q767)),P767-Q767,"")</f>
        <v/>
      </c>
      <c r="S767" s="24"/>
      <c r="T767" s="28" t="str">
        <f aca="false">IF(S767&lt;&gt;"",S767,IF(B767="","",IFERROR(IF(INDEX(Batches!$G$5:$G$64,MATCH(B767,Batches!$A$5:$A$64,0))="","",INDEX(Batches!$G$5:$G$64,MATCH(B767,Batches!$A$5:$A$64,0))),"")))</f>
        <v/>
      </c>
      <c r="U767" s="23"/>
      <c r="V767" s="24"/>
      <c r="W767" s="28" t="str">
        <f aca="false">IF(OR(X767="",X767="Pending"),"",IF(V767&lt;&gt;"",V767,IFERROR(IF(INDEX(Batches!$H$5:$H$64,MATCH(B767,Batches!$A$5:$A$64,0))="","",INDEX(Batches!$H$5:$H$64,MATCH(B767,Batches!$A$5:$A$64,0))),"")))</f>
        <v/>
      </c>
      <c r="X767" s="23"/>
      <c r="Y767" s="23"/>
      <c r="Z767" s="26"/>
      <c r="AA767" s="27" t="str">
        <f aca="false">IF(R767="","",IF(X767="Not accepted",R767,IF(OR(X767="Accepted",X767="Withdrawn by hospital"),IF(X767="Accepted",0,R767),IF(ISNUMBER(Z767),R767-Z767,""))))</f>
        <v/>
      </c>
      <c r="AB767" s="23"/>
      <c r="AC767" s="25"/>
      <c r="AD767" s="23"/>
      <c r="AE767" s="23"/>
      <c r="AF767" s="24"/>
      <c r="AG767" s="23"/>
      <c r="AH767" s="24"/>
      <c r="AI767" s="29" t="str">
        <f aca="false">IF(X767="Not accepted","Maintained",IF(X767="Partially accepted","Partially maintained",IF(X767="Accepted","Reversed",IF(X767="Withdrawn by hospital","Withdrawn by hospital",""))))</f>
        <v/>
      </c>
      <c r="AJ767" s="28" t="str">
        <f aca="false">IF(AI767="","",W767)</f>
        <v/>
      </c>
      <c r="AK767" s="29" t="str">
        <f aca="false">IF(AND(ISNUMBER(T767),ISNUMBER(W767)),W767-T767,"")</f>
        <v/>
      </c>
      <c r="AL767" s="29" t="str">
        <f aca="false">IF(A767="","",SUMIF(Actions!$C$5:$C$1004,A767,Actions!$F$5:$F$1004))</f>
        <v/>
      </c>
      <c r="AM767" s="25"/>
    </row>
    <row r="768" customFormat="false" ht="15" hidden="false" customHeight="false" outlineLevel="0" collapsed="false">
      <c r="A768" s="23"/>
      <c r="B768" s="23"/>
      <c r="C768" s="23"/>
      <c r="D768" s="23"/>
      <c r="E768" s="23"/>
      <c r="F768" s="23"/>
      <c r="G768" s="23"/>
      <c r="H768" s="23"/>
      <c r="I768" s="23"/>
      <c r="J768" s="23"/>
      <c r="K768" s="24"/>
      <c r="L768" s="23"/>
      <c r="M768" s="25"/>
      <c r="N768" s="25"/>
      <c r="O768" s="23"/>
      <c r="P768" s="26"/>
      <c r="Q768" s="26"/>
      <c r="R768" s="27" t="str">
        <f aca="false">IF(AND(ISNUMBER(P768),ISNUMBER(Q768)),P768-Q768,"")</f>
        <v/>
      </c>
      <c r="S768" s="24"/>
      <c r="T768" s="28" t="str">
        <f aca="false">IF(S768&lt;&gt;"",S768,IF(B768="","",IFERROR(IF(INDEX(Batches!$G$5:$G$64,MATCH(B768,Batches!$A$5:$A$64,0))="","",INDEX(Batches!$G$5:$G$64,MATCH(B768,Batches!$A$5:$A$64,0))),"")))</f>
        <v/>
      </c>
      <c r="U768" s="23"/>
      <c r="V768" s="24"/>
      <c r="W768" s="28" t="str">
        <f aca="false">IF(OR(X768="",X768="Pending"),"",IF(V768&lt;&gt;"",V768,IFERROR(IF(INDEX(Batches!$H$5:$H$64,MATCH(B768,Batches!$A$5:$A$64,0))="","",INDEX(Batches!$H$5:$H$64,MATCH(B768,Batches!$A$5:$A$64,0))),"")))</f>
        <v/>
      </c>
      <c r="X768" s="23"/>
      <c r="Y768" s="23"/>
      <c r="Z768" s="26"/>
      <c r="AA768" s="27" t="str">
        <f aca="false">IF(R768="","",IF(X768="Not accepted",R768,IF(OR(X768="Accepted",X768="Withdrawn by hospital"),IF(X768="Accepted",0,R768),IF(ISNUMBER(Z768),R768-Z768,""))))</f>
        <v/>
      </c>
      <c r="AB768" s="23"/>
      <c r="AC768" s="25"/>
      <c r="AD768" s="23"/>
      <c r="AE768" s="23"/>
      <c r="AF768" s="24"/>
      <c r="AG768" s="23"/>
      <c r="AH768" s="24"/>
      <c r="AI768" s="29" t="str">
        <f aca="false">IF(X768="Not accepted","Maintained",IF(X768="Partially accepted","Partially maintained",IF(X768="Accepted","Reversed",IF(X768="Withdrawn by hospital","Withdrawn by hospital",""))))</f>
        <v/>
      </c>
      <c r="AJ768" s="28" t="str">
        <f aca="false">IF(AI768="","",W768)</f>
        <v/>
      </c>
      <c r="AK768" s="29" t="str">
        <f aca="false">IF(AND(ISNUMBER(T768),ISNUMBER(W768)),W768-T768,"")</f>
        <v/>
      </c>
      <c r="AL768" s="29" t="str">
        <f aca="false">IF(A768="","",SUMIF(Actions!$C$5:$C$1004,A768,Actions!$F$5:$F$1004))</f>
        <v/>
      </c>
      <c r="AM768" s="25"/>
    </row>
    <row r="769" customFormat="false" ht="15" hidden="false" customHeight="false" outlineLevel="0" collapsed="false">
      <c r="A769" s="23"/>
      <c r="B769" s="23"/>
      <c r="C769" s="23"/>
      <c r="D769" s="23"/>
      <c r="E769" s="23"/>
      <c r="F769" s="23"/>
      <c r="G769" s="23"/>
      <c r="H769" s="23"/>
      <c r="I769" s="23"/>
      <c r="J769" s="23"/>
      <c r="K769" s="24"/>
      <c r="L769" s="23"/>
      <c r="M769" s="25"/>
      <c r="N769" s="25"/>
      <c r="O769" s="23"/>
      <c r="P769" s="26"/>
      <c r="Q769" s="26"/>
      <c r="R769" s="27" t="str">
        <f aca="false">IF(AND(ISNUMBER(P769),ISNUMBER(Q769)),P769-Q769,"")</f>
        <v/>
      </c>
      <c r="S769" s="24"/>
      <c r="T769" s="28" t="str">
        <f aca="false">IF(S769&lt;&gt;"",S769,IF(B769="","",IFERROR(IF(INDEX(Batches!$G$5:$G$64,MATCH(B769,Batches!$A$5:$A$64,0))="","",INDEX(Batches!$G$5:$G$64,MATCH(B769,Batches!$A$5:$A$64,0))),"")))</f>
        <v/>
      </c>
      <c r="U769" s="23"/>
      <c r="V769" s="24"/>
      <c r="W769" s="28" t="str">
        <f aca="false">IF(OR(X769="",X769="Pending"),"",IF(V769&lt;&gt;"",V769,IFERROR(IF(INDEX(Batches!$H$5:$H$64,MATCH(B769,Batches!$A$5:$A$64,0))="","",INDEX(Batches!$H$5:$H$64,MATCH(B769,Batches!$A$5:$A$64,0))),"")))</f>
        <v/>
      </c>
      <c r="X769" s="23"/>
      <c r="Y769" s="23"/>
      <c r="Z769" s="26"/>
      <c r="AA769" s="27" t="str">
        <f aca="false">IF(R769="","",IF(X769="Not accepted",R769,IF(OR(X769="Accepted",X769="Withdrawn by hospital"),IF(X769="Accepted",0,R769),IF(ISNUMBER(Z769),R769-Z769,""))))</f>
        <v/>
      </c>
      <c r="AB769" s="23"/>
      <c r="AC769" s="25"/>
      <c r="AD769" s="23"/>
      <c r="AE769" s="23"/>
      <c r="AF769" s="24"/>
      <c r="AG769" s="23"/>
      <c r="AH769" s="24"/>
      <c r="AI769" s="29" t="str">
        <f aca="false">IF(X769="Not accepted","Maintained",IF(X769="Partially accepted","Partially maintained",IF(X769="Accepted","Reversed",IF(X769="Withdrawn by hospital","Withdrawn by hospital",""))))</f>
        <v/>
      </c>
      <c r="AJ769" s="28" t="str">
        <f aca="false">IF(AI769="","",W769)</f>
        <v/>
      </c>
      <c r="AK769" s="29" t="str">
        <f aca="false">IF(AND(ISNUMBER(T769),ISNUMBER(W769)),W769-T769,"")</f>
        <v/>
      </c>
      <c r="AL769" s="29" t="str">
        <f aca="false">IF(A769="","",SUMIF(Actions!$C$5:$C$1004,A769,Actions!$F$5:$F$1004))</f>
        <v/>
      </c>
      <c r="AM769" s="25"/>
    </row>
    <row r="770" customFormat="false" ht="15" hidden="false" customHeight="false" outlineLevel="0" collapsed="false">
      <c r="A770" s="23"/>
      <c r="B770" s="23"/>
      <c r="C770" s="23"/>
      <c r="D770" s="23"/>
      <c r="E770" s="23"/>
      <c r="F770" s="23"/>
      <c r="G770" s="23"/>
      <c r="H770" s="23"/>
      <c r="I770" s="23"/>
      <c r="J770" s="23"/>
      <c r="K770" s="24"/>
      <c r="L770" s="23"/>
      <c r="M770" s="25"/>
      <c r="N770" s="25"/>
      <c r="O770" s="23"/>
      <c r="P770" s="26"/>
      <c r="Q770" s="26"/>
      <c r="R770" s="27" t="str">
        <f aca="false">IF(AND(ISNUMBER(P770),ISNUMBER(Q770)),P770-Q770,"")</f>
        <v/>
      </c>
      <c r="S770" s="24"/>
      <c r="T770" s="28" t="str">
        <f aca="false">IF(S770&lt;&gt;"",S770,IF(B770="","",IFERROR(IF(INDEX(Batches!$G$5:$G$64,MATCH(B770,Batches!$A$5:$A$64,0))="","",INDEX(Batches!$G$5:$G$64,MATCH(B770,Batches!$A$5:$A$64,0))),"")))</f>
        <v/>
      </c>
      <c r="U770" s="23"/>
      <c r="V770" s="24"/>
      <c r="W770" s="28" t="str">
        <f aca="false">IF(OR(X770="",X770="Pending"),"",IF(V770&lt;&gt;"",V770,IFERROR(IF(INDEX(Batches!$H$5:$H$64,MATCH(B770,Batches!$A$5:$A$64,0))="","",INDEX(Batches!$H$5:$H$64,MATCH(B770,Batches!$A$5:$A$64,0))),"")))</f>
        <v/>
      </c>
      <c r="X770" s="23"/>
      <c r="Y770" s="23"/>
      <c r="Z770" s="26"/>
      <c r="AA770" s="27" t="str">
        <f aca="false">IF(R770="","",IF(X770="Not accepted",R770,IF(OR(X770="Accepted",X770="Withdrawn by hospital"),IF(X770="Accepted",0,R770),IF(ISNUMBER(Z770),R770-Z770,""))))</f>
        <v/>
      </c>
      <c r="AB770" s="23"/>
      <c r="AC770" s="25"/>
      <c r="AD770" s="23"/>
      <c r="AE770" s="23"/>
      <c r="AF770" s="24"/>
      <c r="AG770" s="23"/>
      <c r="AH770" s="24"/>
      <c r="AI770" s="29" t="str">
        <f aca="false">IF(X770="Not accepted","Maintained",IF(X770="Partially accepted","Partially maintained",IF(X770="Accepted","Reversed",IF(X770="Withdrawn by hospital","Withdrawn by hospital",""))))</f>
        <v/>
      </c>
      <c r="AJ770" s="28" t="str">
        <f aca="false">IF(AI770="","",W770)</f>
        <v/>
      </c>
      <c r="AK770" s="29" t="str">
        <f aca="false">IF(AND(ISNUMBER(T770),ISNUMBER(W770)),W770-T770,"")</f>
        <v/>
      </c>
      <c r="AL770" s="29" t="str">
        <f aca="false">IF(A770="","",SUMIF(Actions!$C$5:$C$1004,A770,Actions!$F$5:$F$1004))</f>
        <v/>
      </c>
      <c r="AM770" s="25"/>
    </row>
    <row r="771" customFormat="false" ht="15" hidden="false" customHeight="false" outlineLevel="0" collapsed="false">
      <c r="A771" s="23"/>
      <c r="B771" s="23"/>
      <c r="C771" s="23"/>
      <c r="D771" s="23"/>
      <c r="E771" s="23"/>
      <c r="F771" s="23"/>
      <c r="G771" s="23"/>
      <c r="H771" s="23"/>
      <c r="I771" s="23"/>
      <c r="J771" s="23"/>
      <c r="K771" s="24"/>
      <c r="L771" s="23"/>
      <c r="M771" s="25"/>
      <c r="N771" s="25"/>
      <c r="O771" s="23"/>
      <c r="P771" s="26"/>
      <c r="Q771" s="26"/>
      <c r="R771" s="27" t="str">
        <f aca="false">IF(AND(ISNUMBER(P771),ISNUMBER(Q771)),P771-Q771,"")</f>
        <v/>
      </c>
      <c r="S771" s="24"/>
      <c r="T771" s="28" t="str">
        <f aca="false">IF(S771&lt;&gt;"",S771,IF(B771="","",IFERROR(IF(INDEX(Batches!$G$5:$G$64,MATCH(B771,Batches!$A$5:$A$64,0))="","",INDEX(Batches!$G$5:$G$64,MATCH(B771,Batches!$A$5:$A$64,0))),"")))</f>
        <v/>
      </c>
      <c r="U771" s="23"/>
      <c r="V771" s="24"/>
      <c r="W771" s="28" t="str">
        <f aca="false">IF(OR(X771="",X771="Pending"),"",IF(V771&lt;&gt;"",V771,IFERROR(IF(INDEX(Batches!$H$5:$H$64,MATCH(B771,Batches!$A$5:$A$64,0))="","",INDEX(Batches!$H$5:$H$64,MATCH(B771,Batches!$A$5:$A$64,0))),"")))</f>
        <v/>
      </c>
      <c r="X771" s="23"/>
      <c r="Y771" s="23"/>
      <c r="Z771" s="26"/>
      <c r="AA771" s="27" t="str">
        <f aca="false">IF(R771="","",IF(X771="Not accepted",R771,IF(OR(X771="Accepted",X771="Withdrawn by hospital"),IF(X771="Accepted",0,R771),IF(ISNUMBER(Z771),R771-Z771,""))))</f>
        <v/>
      </c>
      <c r="AB771" s="23"/>
      <c r="AC771" s="25"/>
      <c r="AD771" s="23"/>
      <c r="AE771" s="23"/>
      <c r="AF771" s="24"/>
      <c r="AG771" s="23"/>
      <c r="AH771" s="24"/>
      <c r="AI771" s="29" t="str">
        <f aca="false">IF(X771="Not accepted","Maintained",IF(X771="Partially accepted","Partially maintained",IF(X771="Accepted","Reversed",IF(X771="Withdrawn by hospital","Withdrawn by hospital",""))))</f>
        <v/>
      </c>
      <c r="AJ771" s="28" t="str">
        <f aca="false">IF(AI771="","",W771)</f>
        <v/>
      </c>
      <c r="AK771" s="29" t="str">
        <f aca="false">IF(AND(ISNUMBER(T771),ISNUMBER(W771)),W771-T771,"")</f>
        <v/>
      </c>
      <c r="AL771" s="29" t="str">
        <f aca="false">IF(A771="","",SUMIF(Actions!$C$5:$C$1004,A771,Actions!$F$5:$F$1004))</f>
        <v/>
      </c>
      <c r="AM771" s="25"/>
    </row>
    <row r="772" customFormat="false" ht="15" hidden="false" customHeight="false" outlineLevel="0" collapsed="false">
      <c r="A772" s="23"/>
      <c r="B772" s="23"/>
      <c r="C772" s="23"/>
      <c r="D772" s="23"/>
      <c r="E772" s="23"/>
      <c r="F772" s="23"/>
      <c r="G772" s="23"/>
      <c r="H772" s="23"/>
      <c r="I772" s="23"/>
      <c r="J772" s="23"/>
      <c r="K772" s="24"/>
      <c r="L772" s="23"/>
      <c r="M772" s="25"/>
      <c r="N772" s="25"/>
      <c r="O772" s="23"/>
      <c r="P772" s="26"/>
      <c r="Q772" s="26"/>
      <c r="R772" s="27" t="str">
        <f aca="false">IF(AND(ISNUMBER(P772),ISNUMBER(Q772)),P772-Q772,"")</f>
        <v/>
      </c>
      <c r="S772" s="24"/>
      <c r="T772" s="28" t="str">
        <f aca="false">IF(S772&lt;&gt;"",S772,IF(B772="","",IFERROR(IF(INDEX(Batches!$G$5:$G$64,MATCH(B772,Batches!$A$5:$A$64,0))="","",INDEX(Batches!$G$5:$G$64,MATCH(B772,Batches!$A$5:$A$64,0))),"")))</f>
        <v/>
      </c>
      <c r="U772" s="23"/>
      <c r="V772" s="24"/>
      <c r="W772" s="28" t="str">
        <f aca="false">IF(OR(X772="",X772="Pending"),"",IF(V772&lt;&gt;"",V772,IFERROR(IF(INDEX(Batches!$H$5:$H$64,MATCH(B772,Batches!$A$5:$A$64,0))="","",INDEX(Batches!$H$5:$H$64,MATCH(B772,Batches!$A$5:$A$64,0))),"")))</f>
        <v/>
      </c>
      <c r="X772" s="23"/>
      <c r="Y772" s="23"/>
      <c r="Z772" s="26"/>
      <c r="AA772" s="27" t="str">
        <f aca="false">IF(R772="","",IF(X772="Not accepted",R772,IF(OR(X772="Accepted",X772="Withdrawn by hospital"),IF(X772="Accepted",0,R772),IF(ISNUMBER(Z772),R772-Z772,""))))</f>
        <v/>
      </c>
      <c r="AB772" s="23"/>
      <c r="AC772" s="25"/>
      <c r="AD772" s="23"/>
      <c r="AE772" s="23"/>
      <c r="AF772" s="24"/>
      <c r="AG772" s="23"/>
      <c r="AH772" s="24"/>
      <c r="AI772" s="29" t="str">
        <f aca="false">IF(X772="Not accepted","Maintained",IF(X772="Partially accepted","Partially maintained",IF(X772="Accepted","Reversed",IF(X772="Withdrawn by hospital","Withdrawn by hospital",""))))</f>
        <v/>
      </c>
      <c r="AJ772" s="28" t="str">
        <f aca="false">IF(AI772="","",W772)</f>
        <v/>
      </c>
      <c r="AK772" s="29" t="str">
        <f aca="false">IF(AND(ISNUMBER(T772),ISNUMBER(W772)),W772-T772,"")</f>
        <v/>
      </c>
      <c r="AL772" s="29" t="str">
        <f aca="false">IF(A772="","",SUMIF(Actions!$C$5:$C$1004,A772,Actions!$F$5:$F$1004))</f>
        <v/>
      </c>
      <c r="AM772" s="25"/>
    </row>
    <row r="773" customFormat="false" ht="15" hidden="false" customHeight="false" outlineLevel="0" collapsed="false">
      <c r="A773" s="23"/>
      <c r="B773" s="23"/>
      <c r="C773" s="23"/>
      <c r="D773" s="23"/>
      <c r="E773" s="23"/>
      <c r="F773" s="23"/>
      <c r="G773" s="23"/>
      <c r="H773" s="23"/>
      <c r="I773" s="23"/>
      <c r="J773" s="23"/>
      <c r="K773" s="24"/>
      <c r="L773" s="23"/>
      <c r="M773" s="25"/>
      <c r="N773" s="25"/>
      <c r="O773" s="23"/>
      <c r="P773" s="26"/>
      <c r="Q773" s="26"/>
      <c r="R773" s="27" t="str">
        <f aca="false">IF(AND(ISNUMBER(P773),ISNUMBER(Q773)),P773-Q773,"")</f>
        <v/>
      </c>
      <c r="S773" s="24"/>
      <c r="T773" s="28" t="str">
        <f aca="false">IF(S773&lt;&gt;"",S773,IF(B773="","",IFERROR(IF(INDEX(Batches!$G$5:$G$64,MATCH(B773,Batches!$A$5:$A$64,0))="","",INDEX(Batches!$G$5:$G$64,MATCH(B773,Batches!$A$5:$A$64,0))),"")))</f>
        <v/>
      </c>
      <c r="U773" s="23"/>
      <c r="V773" s="24"/>
      <c r="W773" s="28" t="str">
        <f aca="false">IF(OR(X773="",X773="Pending"),"",IF(V773&lt;&gt;"",V773,IFERROR(IF(INDEX(Batches!$H$5:$H$64,MATCH(B773,Batches!$A$5:$A$64,0))="","",INDEX(Batches!$H$5:$H$64,MATCH(B773,Batches!$A$5:$A$64,0))),"")))</f>
        <v/>
      </c>
      <c r="X773" s="23"/>
      <c r="Y773" s="23"/>
      <c r="Z773" s="26"/>
      <c r="AA773" s="27" t="str">
        <f aca="false">IF(R773="","",IF(X773="Not accepted",R773,IF(OR(X773="Accepted",X773="Withdrawn by hospital"),IF(X773="Accepted",0,R773),IF(ISNUMBER(Z773),R773-Z773,""))))</f>
        <v/>
      </c>
      <c r="AB773" s="23"/>
      <c r="AC773" s="25"/>
      <c r="AD773" s="23"/>
      <c r="AE773" s="23"/>
      <c r="AF773" s="24"/>
      <c r="AG773" s="23"/>
      <c r="AH773" s="24"/>
      <c r="AI773" s="29" t="str">
        <f aca="false">IF(X773="Not accepted","Maintained",IF(X773="Partially accepted","Partially maintained",IF(X773="Accepted","Reversed",IF(X773="Withdrawn by hospital","Withdrawn by hospital",""))))</f>
        <v/>
      </c>
      <c r="AJ773" s="28" t="str">
        <f aca="false">IF(AI773="","",W773)</f>
        <v/>
      </c>
      <c r="AK773" s="29" t="str">
        <f aca="false">IF(AND(ISNUMBER(T773),ISNUMBER(W773)),W773-T773,"")</f>
        <v/>
      </c>
      <c r="AL773" s="29" t="str">
        <f aca="false">IF(A773="","",SUMIF(Actions!$C$5:$C$1004,A773,Actions!$F$5:$F$1004))</f>
        <v/>
      </c>
      <c r="AM773" s="25"/>
    </row>
    <row r="774" customFormat="false" ht="15" hidden="false" customHeight="false" outlineLevel="0" collapsed="false">
      <c r="A774" s="23"/>
      <c r="B774" s="23"/>
      <c r="C774" s="23"/>
      <c r="D774" s="23"/>
      <c r="E774" s="23"/>
      <c r="F774" s="23"/>
      <c r="G774" s="23"/>
      <c r="H774" s="23"/>
      <c r="I774" s="23"/>
      <c r="J774" s="23"/>
      <c r="K774" s="24"/>
      <c r="L774" s="23"/>
      <c r="M774" s="25"/>
      <c r="N774" s="25"/>
      <c r="O774" s="23"/>
      <c r="P774" s="26"/>
      <c r="Q774" s="26"/>
      <c r="R774" s="27" t="str">
        <f aca="false">IF(AND(ISNUMBER(P774),ISNUMBER(Q774)),P774-Q774,"")</f>
        <v/>
      </c>
      <c r="S774" s="24"/>
      <c r="T774" s="28" t="str">
        <f aca="false">IF(S774&lt;&gt;"",S774,IF(B774="","",IFERROR(IF(INDEX(Batches!$G$5:$G$64,MATCH(B774,Batches!$A$5:$A$64,0))="","",INDEX(Batches!$G$5:$G$64,MATCH(B774,Batches!$A$5:$A$64,0))),"")))</f>
        <v/>
      </c>
      <c r="U774" s="23"/>
      <c r="V774" s="24"/>
      <c r="W774" s="28" t="str">
        <f aca="false">IF(OR(X774="",X774="Pending"),"",IF(V774&lt;&gt;"",V774,IFERROR(IF(INDEX(Batches!$H$5:$H$64,MATCH(B774,Batches!$A$5:$A$64,0))="","",INDEX(Batches!$H$5:$H$64,MATCH(B774,Batches!$A$5:$A$64,0))),"")))</f>
        <v/>
      </c>
      <c r="X774" s="23"/>
      <c r="Y774" s="23"/>
      <c r="Z774" s="26"/>
      <c r="AA774" s="27" t="str">
        <f aca="false">IF(R774="","",IF(X774="Not accepted",R774,IF(OR(X774="Accepted",X774="Withdrawn by hospital"),IF(X774="Accepted",0,R774),IF(ISNUMBER(Z774),R774-Z774,""))))</f>
        <v/>
      </c>
      <c r="AB774" s="23"/>
      <c r="AC774" s="25"/>
      <c r="AD774" s="23"/>
      <c r="AE774" s="23"/>
      <c r="AF774" s="24"/>
      <c r="AG774" s="23"/>
      <c r="AH774" s="24"/>
      <c r="AI774" s="29" t="str">
        <f aca="false">IF(X774="Not accepted","Maintained",IF(X774="Partially accepted","Partially maintained",IF(X774="Accepted","Reversed",IF(X774="Withdrawn by hospital","Withdrawn by hospital",""))))</f>
        <v/>
      </c>
      <c r="AJ774" s="28" t="str">
        <f aca="false">IF(AI774="","",W774)</f>
        <v/>
      </c>
      <c r="AK774" s="29" t="str">
        <f aca="false">IF(AND(ISNUMBER(T774),ISNUMBER(W774)),W774-T774,"")</f>
        <v/>
      </c>
      <c r="AL774" s="29" t="str">
        <f aca="false">IF(A774="","",SUMIF(Actions!$C$5:$C$1004,A774,Actions!$F$5:$F$1004))</f>
        <v/>
      </c>
      <c r="AM774" s="25"/>
    </row>
    <row r="775" customFormat="false" ht="15" hidden="false" customHeight="false" outlineLevel="0" collapsed="false">
      <c r="A775" s="23"/>
      <c r="B775" s="23"/>
      <c r="C775" s="23"/>
      <c r="D775" s="23"/>
      <c r="E775" s="23"/>
      <c r="F775" s="23"/>
      <c r="G775" s="23"/>
      <c r="H775" s="23"/>
      <c r="I775" s="23"/>
      <c r="J775" s="23"/>
      <c r="K775" s="24"/>
      <c r="L775" s="23"/>
      <c r="M775" s="25"/>
      <c r="N775" s="25"/>
      <c r="O775" s="23"/>
      <c r="P775" s="26"/>
      <c r="Q775" s="26"/>
      <c r="R775" s="27" t="str">
        <f aca="false">IF(AND(ISNUMBER(P775),ISNUMBER(Q775)),P775-Q775,"")</f>
        <v/>
      </c>
      <c r="S775" s="24"/>
      <c r="T775" s="28" t="str">
        <f aca="false">IF(S775&lt;&gt;"",S775,IF(B775="","",IFERROR(IF(INDEX(Batches!$G$5:$G$64,MATCH(B775,Batches!$A$5:$A$64,0))="","",INDEX(Batches!$G$5:$G$64,MATCH(B775,Batches!$A$5:$A$64,0))),"")))</f>
        <v/>
      </c>
      <c r="U775" s="23"/>
      <c r="V775" s="24"/>
      <c r="W775" s="28" t="str">
        <f aca="false">IF(OR(X775="",X775="Pending"),"",IF(V775&lt;&gt;"",V775,IFERROR(IF(INDEX(Batches!$H$5:$H$64,MATCH(B775,Batches!$A$5:$A$64,0))="","",INDEX(Batches!$H$5:$H$64,MATCH(B775,Batches!$A$5:$A$64,0))),"")))</f>
        <v/>
      </c>
      <c r="X775" s="23"/>
      <c r="Y775" s="23"/>
      <c r="Z775" s="26"/>
      <c r="AA775" s="27" t="str">
        <f aca="false">IF(R775="","",IF(X775="Not accepted",R775,IF(OR(X775="Accepted",X775="Withdrawn by hospital"),IF(X775="Accepted",0,R775),IF(ISNUMBER(Z775),R775-Z775,""))))</f>
        <v/>
      </c>
      <c r="AB775" s="23"/>
      <c r="AC775" s="25"/>
      <c r="AD775" s="23"/>
      <c r="AE775" s="23"/>
      <c r="AF775" s="24"/>
      <c r="AG775" s="23"/>
      <c r="AH775" s="24"/>
      <c r="AI775" s="29" t="str">
        <f aca="false">IF(X775="Not accepted","Maintained",IF(X775="Partially accepted","Partially maintained",IF(X775="Accepted","Reversed",IF(X775="Withdrawn by hospital","Withdrawn by hospital",""))))</f>
        <v/>
      </c>
      <c r="AJ775" s="28" t="str">
        <f aca="false">IF(AI775="","",W775)</f>
        <v/>
      </c>
      <c r="AK775" s="29" t="str">
        <f aca="false">IF(AND(ISNUMBER(T775),ISNUMBER(W775)),W775-T775,"")</f>
        <v/>
      </c>
      <c r="AL775" s="29" t="str">
        <f aca="false">IF(A775="","",SUMIF(Actions!$C$5:$C$1004,A775,Actions!$F$5:$F$1004))</f>
        <v/>
      </c>
      <c r="AM775" s="25"/>
    </row>
    <row r="776" customFormat="false" ht="15" hidden="false" customHeight="false" outlineLevel="0" collapsed="false">
      <c r="A776" s="23"/>
      <c r="B776" s="23"/>
      <c r="C776" s="23"/>
      <c r="D776" s="23"/>
      <c r="E776" s="23"/>
      <c r="F776" s="23"/>
      <c r="G776" s="23"/>
      <c r="H776" s="23"/>
      <c r="I776" s="23"/>
      <c r="J776" s="23"/>
      <c r="K776" s="24"/>
      <c r="L776" s="23"/>
      <c r="M776" s="25"/>
      <c r="N776" s="25"/>
      <c r="O776" s="23"/>
      <c r="P776" s="26"/>
      <c r="Q776" s="26"/>
      <c r="R776" s="27" t="str">
        <f aca="false">IF(AND(ISNUMBER(P776),ISNUMBER(Q776)),P776-Q776,"")</f>
        <v/>
      </c>
      <c r="S776" s="24"/>
      <c r="T776" s="28" t="str">
        <f aca="false">IF(S776&lt;&gt;"",S776,IF(B776="","",IFERROR(IF(INDEX(Batches!$G$5:$G$64,MATCH(B776,Batches!$A$5:$A$64,0))="","",INDEX(Batches!$G$5:$G$64,MATCH(B776,Batches!$A$5:$A$64,0))),"")))</f>
        <v/>
      </c>
      <c r="U776" s="23"/>
      <c r="V776" s="24"/>
      <c r="W776" s="28" t="str">
        <f aca="false">IF(OR(X776="",X776="Pending"),"",IF(V776&lt;&gt;"",V776,IFERROR(IF(INDEX(Batches!$H$5:$H$64,MATCH(B776,Batches!$A$5:$A$64,0))="","",INDEX(Batches!$H$5:$H$64,MATCH(B776,Batches!$A$5:$A$64,0))),"")))</f>
        <v/>
      </c>
      <c r="X776" s="23"/>
      <c r="Y776" s="23"/>
      <c r="Z776" s="26"/>
      <c r="AA776" s="27" t="str">
        <f aca="false">IF(R776="","",IF(X776="Not accepted",R776,IF(OR(X776="Accepted",X776="Withdrawn by hospital"),IF(X776="Accepted",0,R776),IF(ISNUMBER(Z776),R776-Z776,""))))</f>
        <v/>
      </c>
      <c r="AB776" s="23"/>
      <c r="AC776" s="25"/>
      <c r="AD776" s="23"/>
      <c r="AE776" s="23"/>
      <c r="AF776" s="24"/>
      <c r="AG776" s="23"/>
      <c r="AH776" s="24"/>
      <c r="AI776" s="29" t="str">
        <f aca="false">IF(X776="Not accepted","Maintained",IF(X776="Partially accepted","Partially maintained",IF(X776="Accepted","Reversed",IF(X776="Withdrawn by hospital","Withdrawn by hospital",""))))</f>
        <v/>
      </c>
      <c r="AJ776" s="28" t="str">
        <f aca="false">IF(AI776="","",W776)</f>
        <v/>
      </c>
      <c r="AK776" s="29" t="str">
        <f aca="false">IF(AND(ISNUMBER(T776),ISNUMBER(W776)),W776-T776,"")</f>
        <v/>
      </c>
      <c r="AL776" s="29" t="str">
        <f aca="false">IF(A776="","",SUMIF(Actions!$C$5:$C$1004,A776,Actions!$F$5:$F$1004))</f>
        <v/>
      </c>
      <c r="AM776" s="25"/>
    </row>
    <row r="777" customFormat="false" ht="15" hidden="false" customHeight="false" outlineLevel="0" collapsed="false">
      <c r="A777" s="23"/>
      <c r="B777" s="23"/>
      <c r="C777" s="23"/>
      <c r="D777" s="23"/>
      <c r="E777" s="23"/>
      <c r="F777" s="23"/>
      <c r="G777" s="23"/>
      <c r="H777" s="23"/>
      <c r="I777" s="23"/>
      <c r="J777" s="23"/>
      <c r="K777" s="24"/>
      <c r="L777" s="23"/>
      <c r="M777" s="25"/>
      <c r="N777" s="25"/>
      <c r="O777" s="23"/>
      <c r="P777" s="26"/>
      <c r="Q777" s="26"/>
      <c r="R777" s="27" t="str">
        <f aca="false">IF(AND(ISNUMBER(P777),ISNUMBER(Q777)),P777-Q777,"")</f>
        <v/>
      </c>
      <c r="S777" s="24"/>
      <c r="T777" s="28" t="str">
        <f aca="false">IF(S777&lt;&gt;"",S777,IF(B777="","",IFERROR(IF(INDEX(Batches!$G$5:$G$64,MATCH(B777,Batches!$A$5:$A$64,0))="","",INDEX(Batches!$G$5:$G$64,MATCH(B777,Batches!$A$5:$A$64,0))),"")))</f>
        <v/>
      </c>
      <c r="U777" s="23"/>
      <c r="V777" s="24"/>
      <c r="W777" s="28" t="str">
        <f aca="false">IF(OR(X777="",X777="Pending"),"",IF(V777&lt;&gt;"",V777,IFERROR(IF(INDEX(Batches!$H$5:$H$64,MATCH(B777,Batches!$A$5:$A$64,0))="","",INDEX(Batches!$H$5:$H$64,MATCH(B777,Batches!$A$5:$A$64,0))),"")))</f>
        <v/>
      </c>
      <c r="X777" s="23"/>
      <c r="Y777" s="23"/>
      <c r="Z777" s="26"/>
      <c r="AA777" s="27" t="str">
        <f aca="false">IF(R777="","",IF(X777="Not accepted",R777,IF(OR(X777="Accepted",X777="Withdrawn by hospital"),IF(X777="Accepted",0,R777),IF(ISNUMBER(Z777),R777-Z777,""))))</f>
        <v/>
      </c>
      <c r="AB777" s="23"/>
      <c r="AC777" s="25"/>
      <c r="AD777" s="23"/>
      <c r="AE777" s="23"/>
      <c r="AF777" s="24"/>
      <c r="AG777" s="23"/>
      <c r="AH777" s="24"/>
      <c r="AI777" s="29" t="str">
        <f aca="false">IF(X777="Not accepted","Maintained",IF(X777="Partially accepted","Partially maintained",IF(X777="Accepted","Reversed",IF(X777="Withdrawn by hospital","Withdrawn by hospital",""))))</f>
        <v/>
      </c>
      <c r="AJ777" s="28" t="str">
        <f aca="false">IF(AI777="","",W777)</f>
        <v/>
      </c>
      <c r="AK777" s="29" t="str">
        <f aca="false">IF(AND(ISNUMBER(T777),ISNUMBER(W777)),W777-T777,"")</f>
        <v/>
      </c>
      <c r="AL777" s="29" t="str">
        <f aca="false">IF(A777="","",SUMIF(Actions!$C$5:$C$1004,A777,Actions!$F$5:$F$1004))</f>
        <v/>
      </c>
      <c r="AM777" s="25"/>
    </row>
    <row r="778" customFormat="false" ht="15" hidden="false" customHeight="false" outlineLevel="0" collapsed="false">
      <c r="A778" s="23"/>
      <c r="B778" s="23"/>
      <c r="C778" s="23"/>
      <c r="D778" s="23"/>
      <c r="E778" s="23"/>
      <c r="F778" s="23"/>
      <c r="G778" s="23"/>
      <c r="H778" s="23"/>
      <c r="I778" s="23"/>
      <c r="J778" s="23"/>
      <c r="K778" s="24"/>
      <c r="L778" s="23"/>
      <c r="M778" s="25"/>
      <c r="N778" s="25"/>
      <c r="O778" s="23"/>
      <c r="P778" s="26"/>
      <c r="Q778" s="26"/>
      <c r="R778" s="27" t="str">
        <f aca="false">IF(AND(ISNUMBER(P778),ISNUMBER(Q778)),P778-Q778,"")</f>
        <v/>
      </c>
      <c r="S778" s="24"/>
      <c r="T778" s="28" t="str">
        <f aca="false">IF(S778&lt;&gt;"",S778,IF(B778="","",IFERROR(IF(INDEX(Batches!$G$5:$G$64,MATCH(B778,Batches!$A$5:$A$64,0))="","",INDEX(Batches!$G$5:$G$64,MATCH(B778,Batches!$A$5:$A$64,0))),"")))</f>
        <v/>
      </c>
      <c r="U778" s="23"/>
      <c r="V778" s="24"/>
      <c r="W778" s="28" t="str">
        <f aca="false">IF(OR(X778="",X778="Pending"),"",IF(V778&lt;&gt;"",V778,IFERROR(IF(INDEX(Batches!$H$5:$H$64,MATCH(B778,Batches!$A$5:$A$64,0))="","",INDEX(Batches!$H$5:$H$64,MATCH(B778,Batches!$A$5:$A$64,0))),"")))</f>
        <v/>
      </c>
      <c r="X778" s="23"/>
      <c r="Y778" s="23"/>
      <c r="Z778" s="26"/>
      <c r="AA778" s="27" t="str">
        <f aca="false">IF(R778="","",IF(X778="Not accepted",R778,IF(OR(X778="Accepted",X778="Withdrawn by hospital"),IF(X778="Accepted",0,R778),IF(ISNUMBER(Z778),R778-Z778,""))))</f>
        <v/>
      </c>
      <c r="AB778" s="23"/>
      <c r="AC778" s="25"/>
      <c r="AD778" s="23"/>
      <c r="AE778" s="23"/>
      <c r="AF778" s="24"/>
      <c r="AG778" s="23"/>
      <c r="AH778" s="24"/>
      <c r="AI778" s="29" t="str">
        <f aca="false">IF(X778="Not accepted","Maintained",IF(X778="Partially accepted","Partially maintained",IF(X778="Accepted","Reversed",IF(X778="Withdrawn by hospital","Withdrawn by hospital",""))))</f>
        <v/>
      </c>
      <c r="AJ778" s="28" t="str">
        <f aca="false">IF(AI778="","",W778)</f>
        <v/>
      </c>
      <c r="AK778" s="29" t="str">
        <f aca="false">IF(AND(ISNUMBER(T778),ISNUMBER(W778)),W778-T778,"")</f>
        <v/>
      </c>
      <c r="AL778" s="29" t="str">
        <f aca="false">IF(A778="","",SUMIF(Actions!$C$5:$C$1004,A778,Actions!$F$5:$F$1004))</f>
        <v/>
      </c>
      <c r="AM778" s="25"/>
    </row>
    <row r="779" customFormat="false" ht="15" hidden="false" customHeight="false" outlineLevel="0" collapsed="false">
      <c r="A779" s="23"/>
      <c r="B779" s="23"/>
      <c r="C779" s="23"/>
      <c r="D779" s="23"/>
      <c r="E779" s="23"/>
      <c r="F779" s="23"/>
      <c r="G779" s="23"/>
      <c r="H779" s="23"/>
      <c r="I779" s="23"/>
      <c r="J779" s="23"/>
      <c r="K779" s="24"/>
      <c r="L779" s="23"/>
      <c r="M779" s="25"/>
      <c r="N779" s="25"/>
      <c r="O779" s="23"/>
      <c r="P779" s="26"/>
      <c r="Q779" s="26"/>
      <c r="R779" s="27" t="str">
        <f aca="false">IF(AND(ISNUMBER(P779),ISNUMBER(Q779)),P779-Q779,"")</f>
        <v/>
      </c>
      <c r="S779" s="24"/>
      <c r="T779" s="28" t="str">
        <f aca="false">IF(S779&lt;&gt;"",S779,IF(B779="","",IFERROR(IF(INDEX(Batches!$G$5:$G$64,MATCH(B779,Batches!$A$5:$A$64,0))="","",INDEX(Batches!$G$5:$G$64,MATCH(B779,Batches!$A$5:$A$64,0))),"")))</f>
        <v/>
      </c>
      <c r="U779" s="23"/>
      <c r="V779" s="24"/>
      <c r="W779" s="28" t="str">
        <f aca="false">IF(OR(X779="",X779="Pending"),"",IF(V779&lt;&gt;"",V779,IFERROR(IF(INDEX(Batches!$H$5:$H$64,MATCH(B779,Batches!$A$5:$A$64,0))="","",INDEX(Batches!$H$5:$H$64,MATCH(B779,Batches!$A$5:$A$64,0))),"")))</f>
        <v/>
      </c>
      <c r="X779" s="23"/>
      <c r="Y779" s="23"/>
      <c r="Z779" s="26"/>
      <c r="AA779" s="27" t="str">
        <f aca="false">IF(R779="","",IF(X779="Not accepted",R779,IF(OR(X779="Accepted",X779="Withdrawn by hospital"),IF(X779="Accepted",0,R779),IF(ISNUMBER(Z779),R779-Z779,""))))</f>
        <v/>
      </c>
      <c r="AB779" s="23"/>
      <c r="AC779" s="25"/>
      <c r="AD779" s="23"/>
      <c r="AE779" s="23"/>
      <c r="AF779" s="24"/>
      <c r="AG779" s="23"/>
      <c r="AH779" s="24"/>
      <c r="AI779" s="29" t="str">
        <f aca="false">IF(X779="Not accepted","Maintained",IF(X779="Partially accepted","Partially maintained",IF(X779="Accepted","Reversed",IF(X779="Withdrawn by hospital","Withdrawn by hospital",""))))</f>
        <v/>
      </c>
      <c r="AJ779" s="28" t="str">
        <f aca="false">IF(AI779="","",W779)</f>
        <v/>
      </c>
      <c r="AK779" s="29" t="str">
        <f aca="false">IF(AND(ISNUMBER(T779),ISNUMBER(W779)),W779-T779,"")</f>
        <v/>
      </c>
      <c r="AL779" s="29" t="str">
        <f aca="false">IF(A779="","",SUMIF(Actions!$C$5:$C$1004,A779,Actions!$F$5:$F$1004))</f>
        <v/>
      </c>
      <c r="AM779" s="25"/>
    </row>
    <row r="780" customFormat="false" ht="15" hidden="false" customHeight="false" outlineLevel="0" collapsed="false">
      <c r="A780" s="23"/>
      <c r="B780" s="23"/>
      <c r="C780" s="23"/>
      <c r="D780" s="23"/>
      <c r="E780" s="23"/>
      <c r="F780" s="23"/>
      <c r="G780" s="23"/>
      <c r="H780" s="23"/>
      <c r="I780" s="23"/>
      <c r="J780" s="23"/>
      <c r="K780" s="24"/>
      <c r="L780" s="23"/>
      <c r="M780" s="25"/>
      <c r="N780" s="25"/>
      <c r="O780" s="23"/>
      <c r="P780" s="26"/>
      <c r="Q780" s="26"/>
      <c r="R780" s="27" t="str">
        <f aca="false">IF(AND(ISNUMBER(P780),ISNUMBER(Q780)),P780-Q780,"")</f>
        <v/>
      </c>
      <c r="S780" s="24"/>
      <c r="T780" s="28" t="str">
        <f aca="false">IF(S780&lt;&gt;"",S780,IF(B780="","",IFERROR(IF(INDEX(Batches!$G$5:$G$64,MATCH(B780,Batches!$A$5:$A$64,0))="","",INDEX(Batches!$G$5:$G$64,MATCH(B780,Batches!$A$5:$A$64,0))),"")))</f>
        <v/>
      </c>
      <c r="U780" s="23"/>
      <c r="V780" s="24"/>
      <c r="W780" s="28" t="str">
        <f aca="false">IF(OR(X780="",X780="Pending"),"",IF(V780&lt;&gt;"",V780,IFERROR(IF(INDEX(Batches!$H$5:$H$64,MATCH(B780,Batches!$A$5:$A$64,0))="","",INDEX(Batches!$H$5:$H$64,MATCH(B780,Batches!$A$5:$A$64,0))),"")))</f>
        <v/>
      </c>
      <c r="X780" s="23"/>
      <c r="Y780" s="23"/>
      <c r="Z780" s="26"/>
      <c r="AA780" s="27" t="str">
        <f aca="false">IF(R780="","",IF(X780="Not accepted",R780,IF(OR(X780="Accepted",X780="Withdrawn by hospital"),IF(X780="Accepted",0,R780),IF(ISNUMBER(Z780),R780-Z780,""))))</f>
        <v/>
      </c>
      <c r="AB780" s="23"/>
      <c r="AC780" s="25"/>
      <c r="AD780" s="23"/>
      <c r="AE780" s="23"/>
      <c r="AF780" s="24"/>
      <c r="AG780" s="23"/>
      <c r="AH780" s="24"/>
      <c r="AI780" s="29" t="str">
        <f aca="false">IF(X780="Not accepted","Maintained",IF(X780="Partially accepted","Partially maintained",IF(X780="Accepted","Reversed",IF(X780="Withdrawn by hospital","Withdrawn by hospital",""))))</f>
        <v/>
      </c>
      <c r="AJ780" s="28" t="str">
        <f aca="false">IF(AI780="","",W780)</f>
        <v/>
      </c>
      <c r="AK780" s="29" t="str">
        <f aca="false">IF(AND(ISNUMBER(T780),ISNUMBER(W780)),W780-T780,"")</f>
        <v/>
      </c>
      <c r="AL780" s="29" t="str">
        <f aca="false">IF(A780="","",SUMIF(Actions!$C$5:$C$1004,A780,Actions!$F$5:$F$1004))</f>
        <v/>
      </c>
      <c r="AM780" s="25"/>
    </row>
    <row r="781" customFormat="false" ht="15" hidden="false" customHeight="false" outlineLevel="0" collapsed="false">
      <c r="A781" s="23"/>
      <c r="B781" s="23"/>
      <c r="C781" s="23"/>
      <c r="D781" s="23"/>
      <c r="E781" s="23"/>
      <c r="F781" s="23"/>
      <c r="G781" s="23"/>
      <c r="H781" s="23"/>
      <c r="I781" s="23"/>
      <c r="J781" s="23"/>
      <c r="K781" s="24"/>
      <c r="L781" s="23"/>
      <c r="M781" s="25"/>
      <c r="N781" s="25"/>
      <c r="O781" s="23"/>
      <c r="P781" s="26"/>
      <c r="Q781" s="26"/>
      <c r="R781" s="27" t="str">
        <f aca="false">IF(AND(ISNUMBER(P781),ISNUMBER(Q781)),P781-Q781,"")</f>
        <v/>
      </c>
      <c r="S781" s="24"/>
      <c r="T781" s="28" t="str">
        <f aca="false">IF(S781&lt;&gt;"",S781,IF(B781="","",IFERROR(IF(INDEX(Batches!$G$5:$G$64,MATCH(B781,Batches!$A$5:$A$64,0))="","",INDEX(Batches!$G$5:$G$64,MATCH(B781,Batches!$A$5:$A$64,0))),"")))</f>
        <v/>
      </c>
      <c r="U781" s="23"/>
      <c r="V781" s="24"/>
      <c r="W781" s="28" t="str">
        <f aca="false">IF(OR(X781="",X781="Pending"),"",IF(V781&lt;&gt;"",V781,IFERROR(IF(INDEX(Batches!$H$5:$H$64,MATCH(B781,Batches!$A$5:$A$64,0))="","",INDEX(Batches!$H$5:$H$64,MATCH(B781,Batches!$A$5:$A$64,0))),"")))</f>
        <v/>
      </c>
      <c r="X781" s="23"/>
      <c r="Y781" s="23"/>
      <c r="Z781" s="26"/>
      <c r="AA781" s="27" t="str">
        <f aca="false">IF(R781="","",IF(X781="Not accepted",R781,IF(OR(X781="Accepted",X781="Withdrawn by hospital"),IF(X781="Accepted",0,R781),IF(ISNUMBER(Z781),R781-Z781,""))))</f>
        <v/>
      </c>
      <c r="AB781" s="23"/>
      <c r="AC781" s="25"/>
      <c r="AD781" s="23"/>
      <c r="AE781" s="23"/>
      <c r="AF781" s="24"/>
      <c r="AG781" s="23"/>
      <c r="AH781" s="24"/>
      <c r="AI781" s="29" t="str">
        <f aca="false">IF(X781="Not accepted","Maintained",IF(X781="Partially accepted","Partially maintained",IF(X781="Accepted","Reversed",IF(X781="Withdrawn by hospital","Withdrawn by hospital",""))))</f>
        <v/>
      </c>
      <c r="AJ781" s="28" t="str">
        <f aca="false">IF(AI781="","",W781)</f>
        <v/>
      </c>
      <c r="AK781" s="29" t="str">
        <f aca="false">IF(AND(ISNUMBER(T781),ISNUMBER(W781)),W781-T781,"")</f>
        <v/>
      </c>
      <c r="AL781" s="29" t="str">
        <f aca="false">IF(A781="","",SUMIF(Actions!$C$5:$C$1004,A781,Actions!$F$5:$F$1004))</f>
        <v/>
      </c>
      <c r="AM781" s="25"/>
    </row>
    <row r="782" customFormat="false" ht="15" hidden="false" customHeight="false" outlineLevel="0" collapsed="false">
      <c r="A782" s="23"/>
      <c r="B782" s="23"/>
      <c r="C782" s="23"/>
      <c r="D782" s="23"/>
      <c r="E782" s="23"/>
      <c r="F782" s="23"/>
      <c r="G782" s="23"/>
      <c r="H782" s="23"/>
      <c r="I782" s="23"/>
      <c r="J782" s="23"/>
      <c r="K782" s="24"/>
      <c r="L782" s="23"/>
      <c r="M782" s="25"/>
      <c r="N782" s="25"/>
      <c r="O782" s="23"/>
      <c r="P782" s="26"/>
      <c r="Q782" s="26"/>
      <c r="R782" s="27" t="str">
        <f aca="false">IF(AND(ISNUMBER(P782),ISNUMBER(Q782)),P782-Q782,"")</f>
        <v/>
      </c>
      <c r="S782" s="24"/>
      <c r="T782" s="28" t="str">
        <f aca="false">IF(S782&lt;&gt;"",S782,IF(B782="","",IFERROR(IF(INDEX(Batches!$G$5:$G$64,MATCH(B782,Batches!$A$5:$A$64,0))="","",INDEX(Batches!$G$5:$G$64,MATCH(B782,Batches!$A$5:$A$64,0))),"")))</f>
        <v/>
      </c>
      <c r="U782" s="23"/>
      <c r="V782" s="24"/>
      <c r="W782" s="28" t="str">
        <f aca="false">IF(OR(X782="",X782="Pending"),"",IF(V782&lt;&gt;"",V782,IFERROR(IF(INDEX(Batches!$H$5:$H$64,MATCH(B782,Batches!$A$5:$A$64,0))="","",INDEX(Batches!$H$5:$H$64,MATCH(B782,Batches!$A$5:$A$64,0))),"")))</f>
        <v/>
      </c>
      <c r="X782" s="23"/>
      <c r="Y782" s="23"/>
      <c r="Z782" s="26"/>
      <c r="AA782" s="27" t="str">
        <f aca="false">IF(R782="","",IF(X782="Not accepted",R782,IF(OR(X782="Accepted",X782="Withdrawn by hospital"),IF(X782="Accepted",0,R782),IF(ISNUMBER(Z782),R782-Z782,""))))</f>
        <v/>
      </c>
      <c r="AB782" s="23"/>
      <c r="AC782" s="25"/>
      <c r="AD782" s="23"/>
      <c r="AE782" s="23"/>
      <c r="AF782" s="24"/>
      <c r="AG782" s="23"/>
      <c r="AH782" s="24"/>
      <c r="AI782" s="29" t="str">
        <f aca="false">IF(X782="Not accepted","Maintained",IF(X782="Partially accepted","Partially maintained",IF(X782="Accepted","Reversed",IF(X782="Withdrawn by hospital","Withdrawn by hospital",""))))</f>
        <v/>
      </c>
      <c r="AJ782" s="28" t="str">
        <f aca="false">IF(AI782="","",W782)</f>
        <v/>
      </c>
      <c r="AK782" s="29" t="str">
        <f aca="false">IF(AND(ISNUMBER(T782),ISNUMBER(W782)),W782-T782,"")</f>
        <v/>
      </c>
      <c r="AL782" s="29" t="str">
        <f aca="false">IF(A782="","",SUMIF(Actions!$C$5:$C$1004,A782,Actions!$F$5:$F$1004))</f>
        <v/>
      </c>
      <c r="AM782" s="25"/>
    </row>
    <row r="783" customFormat="false" ht="15" hidden="false" customHeight="false" outlineLevel="0" collapsed="false">
      <c r="A783" s="23"/>
      <c r="B783" s="23"/>
      <c r="C783" s="23"/>
      <c r="D783" s="23"/>
      <c r="E783" s="23"/>
      <c r="F783" s="23"/>
      <c r="G783" s="23"/>
      <c r="H783" s="23"/>
      <c r="I783" s="23"/>
      <c r="J783" s="23"/>
      <c r="K783" s="24"/>
      <c r="L783" s="23"/>
      <c r="M783" s="25"/>
      <c r="N783" s="25"/>
      <c r="O783" s="23"/>
      <c r="P783" s="26"/>
      <c r="Q783" s="26"/>
      <c r="R783" s="27" t="str">
        <f aca="false">IF(AND(ISNUMBER(P783),ISNUMBER(Q783)),P783-Q783,"")</f>
        <v/>
      </c>
      <c r="S783" s="24"/>
      <c r="T783" s="28" t="str">
        <f aca="false">IF(S783&lt;&gt;"",S783,IF(B783="","",IFERROR(IF(INDEX(Batches!$G$5:$G$64,MATCH(B783,Batches!$A$5:$A$64,0))="","",INDEX(Batches!$G$5:$G$64,MATCH(B783,Batches!$A$5:$A$64,0))),"")))</f>
        <v/>
      </c>
      <c r="U783" s="23"/>
      <c r="V783" s="24"/>
      <c r="W783" s="28" t="str">
        <f aca="false">IF(OR(X783="",X783="Pending"),"",IF(V783&lt;&gt;"",V783,IFERROR(IF(INDEX(Batches!$H$5:$H$64,MATCH(B783,Batches!$A$5:$A$64,0))="","",INDEX(Batches!$H$5:$H$64,MATCH(B783,Batches!$A$5:$A$64,0))),"")))</f>
        <v/>
      </c>
      <c r="X783" s="23"/>
      <c r="Y783" s="23"/>
      <c r="Z783" s="26"/>
      <c r="AA783" s="27" t="str">
        <f aca="false">IF(R783="","",IF(X783="Not accepted",R783,IF(OR(X783="Accepted",X783="Withdrawn by hospital"),IF(X783="Accepted",0,R783),IF(ISNUMBER(Z783),R783-Z783,""))))</f>
        <v/>
      </c>
      <c r="AB783" s="23"/>
      <c r="AC783" s="25"/>
      <c r="AD783" s="23"/>
      <c r="AE783" s="23"/>
      <c r="AF783" s="24"/>
      <c r="AG783" s="23"/>
      <c r="AH783" s="24"/>
      <c r="AI783" s="29" t="str">
        <f aca="false">IF(X783="Not accepted","Maintained",IF(X783="Partially accepted","Partially maintained",IF(X783="Accepted","Reversed",IF(X783="Withdrawn by hospital","Withdrawn by hospital",""))))</f>
        <v/>
      </c>
      <c r="AJ783" s="28" t="str">
        <f aca="false">IF(AI783="","",W783)</f>
        <v/>
      </c>
      <c r="AK783" s="29" t="str">
        <f aca="false">IF(AND(ISNUMBER(T783),ISNUMBER(W783)),W783-T783,"")</f>
        <v/>
      </c>
      <c r="AL783" s="29" t="str">
        <f aca="false">IF(A783="","",SUMIF(Actions!$C$5:$C$1004,A783,Actions!$F$5:$F$1004))</f>
        <v/>
      </c>
      <c r="AM783" s="25"/>
    </row>
    <row r="784" customFormat="false" ht="15" hidden="false" customHeight="false" outlineLevel="0" collapsed="false">
      <c r="A784" s="23"/>
      <c r="B784" s="23"/>
      <c r="C784" s="23"/>
      <c r="D784" s="23"/>
      <c r="E784" s="23"/>
      <c r="F784" s="23"/>
      <c r="G784" s="23"/>
      <c r="H784" s="23"/>
      <c r="I784" s="23"/>
      <c r="J784" s="23"/>
      <c r="K784" s="24"/>
      <c r="L784" s="23"/>
      <c r="M784" s="25"/>
      <c r="N784" s="25"/>
      <c r="O784" s="23"/>
      <c r="P784" s="26"/>
      <c r="Q784" s="26"/>
      <c r="R784" s="27" t="str">
        <f aca="false">IF(AND(ISNUMBER(P784),ISNUMBER(Q784)),P784-Q784,"")</f>
        <v/>
      </c>
      <c r="S784" s="24"/>
      <c r="T784" s="28" t="str">
        <f aca="false">IF(S784&lt;&gt;"",S784,IF(B784="","",IFERROR(IF(INDEX(Batches!$G$5:$G$64,MATCH(B784,Batches!$A$5:$A$64,0))="","",INDEX(Batches!$G$5:$G$64,MATCH(B784,Batches!$A$5:$A$64,0))),"")))</f>
        <v/>
      </c>
      <c r="U784" s="23"/>
      <c r="V784" s="24"/>
      <c r="W784" s="28" t="str">
        <f aca="false">IF(OR(X784="",X784="Pending"),"",IF(V784&lt;&gt;"",V784,IFERROR(IF(INDEX(Batches!$H$5:$H$64,MATCH(B784,Batches!$A$5:$A$64,0))="","",INDEX(Batches!$H$5:$H$64,MATCH(B784,Batches!$A$5:$A$64,0))),"")))</f>
        <v/>
      </c>
      <c r="X784" s="23"/>
      <c r="Y784" s="23"/>
      <c r="Z784" s="26"/>
      <c r="AA784" s="27" t="str">
        <f aca="false">IF(R784="","",IF(X784="Not accepted",R784,IF(OR(X784="Accepted",X784="Withdrawn by hospital"),IF(X784="Accepted",0,R784),IF(ISNUMBER(Z784),R784-Z784,""))))</f>
        <v/>
      </c>
      <c r="AB784" s="23"/>
      <c r="AC784" s="25"/>
      <c r="AD784" s="23"/>
      <c r="AE784" s="23"/>
      <c r="AF784" s="24"/>
      <c r="AG784" s="23"/>
      <c r="AH784" s="24"/>
      <c r="AI784" s="29" t="str">
        <f aca="false">IF(X784="Not accepted","Maintained",IF(X784="Partially accepted","Partially maintained",IF(X784="Accepted","Reversed",IF(X784="Withdrawn by hospital","Withdrawn by hospital",""))))</f>
        <v/>
      </c>
      <c r="AJ784" s="28" t="str">
        <f aca="false">IF(AI784="","",W784)</f>
        <v/>
      </c>
      <c r="AK784" s="29" t="str">
        <f aca="false">IF(AND(ISNUMBER(T784),ISNUMBER(W784)),W784-T784,"")</f>
        <v/>
      </c>
      <c r="AL784" s="29" t="str">
        <f aca="false">IF(A784="","",SUMIF(Actions!$C$5:$C$1004,A784,Actions!$F$5:$F$1004))</f>
        <v/>
      </c>
      <c r="AM784" s="25"/>
    </row>
    <row r="785" customFormat="false" ht="15" hidden="false" customHeight="false" outlineLevel="0" collapsed="false">
      <c r="A785" s="23"/>
      <c r="B785" s="23"/>
      <c r="C785" s="23"/>
      <c r="D785" s="23"/>
      <c r="E785" s="23"/>
      <c r="F785" s="23"/>
      <c r="G785" s="23"/>
      <c r="H785" s="23"/>
      <c r="I785" s="23"/>
      <c r="J785" s="23"/>
      <c r="K785" s="24"/>
      <c r="L785" s="23"/>
      <c r="M785" s="25"/>
      <c r="N785" s="25"/>
      <c r="O785" s="23"/>
      <c r="P785" s="26"/>
      <c r="Q785" s="26"/>
      <c r="R785" s="27" t="str">
        <f aca="false">IF(AND(ISNUMBER(P785),ISNUMBER(Q785)),P785-Q785,"")</f>
        <v/>
      </c>
      <c r="S785" s="24"/>
      <c r="T785" s="28" t="str">
        <f aca="false">IF(S785&lt;&gt;"",S785,IF(B785="","",IFERROR(IF(INDEX(Batches!$G$5:$G$64,MATCH(B785,Batches!$A$5:$A$64,0))="","",INDEX(Batches!$G$5:$G$64,MATCH(B785,Batches!$A$5:$A$64,0))),"")))</f>
        <v/>
      </c>
      <c r="U785" s="23"/>
      <c r="V785" s="24"/>
      <c r="W785" s="28" t="str">
        <f aca="false">IF(OR(X785="",X785="Pending"),"",IF(V785&lt;&gt;"",V785,IFERROR(IF(INDEX(Batches!$H$5:$H$64,MATCH(B785,Batches!$A$5:$A$64,0))="","",INDEX(Batches!$H$5:$H$64,MATCH(B785,Batches!$A$5:$A$64,0))),"")))</f>
        <v/>
      </c>
      <c r="X785" s="23"/>
      <c r="Y785" s="23"/>
      <c r="Z785" s="26"/>
      <c r="AA785" s="27" t="str">
        <f aca="false">IF(R785="","",IF(X785="Not accepted",R785,IF(OR(X785="Accepted",X785="Withdrawn by hospital"),IF(X785="Accepted",0,R785),IF(ISNUMBER(Z785),R785-Z785,""))))</f>
        <v/>
      </c>
      <c r="AB785" s="23"/>
      <c r="AC785" s="25"/>
      <c r="AD785" s="23"/>
      <c r="AE785" s="23"/>
      <c r="AF785" s="24"/>
      <c r="AG785" s="23"/>
      <c r="AH785" s="24"/>
      <c r="AI785" s="29" t="str">
        <f aca="false">IF(X785="Not accepted","Maintained",IF(X785="Partially accepted","Partially maintained",IF(X785="Accepted","Reversed",IF(X785="Withdrawn by hospital","Withdrawn by hospital",""))))</f>
        <v/>
      </c>
      <c r="AJ785" s="28" t="str">
        <f aca="false">IF(AI785="","",W785)</f>
        <v/>
      </c>
      <c r="AK785" s="29" t="str">
        <f aca="false">IF(AND(ISNUMBER(T785),ISNUMBER(W785)),W785-T785,"")</f>
        <v/>
      </c>
      <c r="AL785" s="29" t="str">
        <f aca="false">IF(A785="","",SUMIF(Actions!$C$5:$C$1004,A785,Actions!$F$5:$F$1004))</f>
        <v/>
      </c>
      <c r="AM785" s="25"/>
    </row>
    <row r="786" customFormat="false" ht="15" hidden="false" customHeight="false" outlineLevel="0" collapsed="false">
      <c r="A786" s="23"/>
      <c r="B786" s="23"/>
      <c r="C786" s="23"/>
      <c r="D786" s="23"/>
      <c r="E786" s="23"/>
      <c r="F786" s="23"/>
      <c r="G786" s="23"/>
      <c r="H786" s="23"/>
      <c r="I786" s="23"/>
      <c r="J786" s="23"/>
      <c r="K786" s="24"/>
      <c r="L786" s="23"/>
      <c r="M786" s="25"/>
      <c r="N786" s="25"/>
      <c r="O786" s="23"/>
      <c r="P786" s="26"/>
      <c r="Q786" s="26"/>
      <c r="R786" s="27" t="str">
        <f aca="false">IF(AND(ISNUMBER(P786),ISNUMBER(Q786)),P786-Q786,"")</f>
        <v/>
      </c>
      <c r="S786" s="24"/>
      <c r="T786" s="28" t="str">
        <f aca="false">IF(S786&lt;&gt;"",S786,IF(B786="","",IFERROR(IF(INDEX(Batches!$G$5:$G$64,MATCH(B786,Batches!$A$5:$A$64,0))="","",INDEX(Batches!$G$5:$G$64,MATCH(B786,Batches!$A$5:$A$64,0))),"")))</f>
        <v/>
      </c>
      <c r="U786" s="23"/>
      <c r="V786" s="24"/>
      <c r="W786" s="28" t="str">
        <f aca="false">IF(OR(X786="",X786="Pending"),"",IF(V786&lt;&gt;"",V786,IFERROR(IF(INDEX(Batches!$H$5:$H$64,MATCH(B786,Batches!$A$5:$A$64,0))="","",INDEX(Batches!$H$5:$H$64,MATCH(B786,Batches!$A$5:$A$64,0))),"")))</f>
        <v/>
      </c>
      <c r="X786" s="23"/>
      <c r="Y786" s="23"/>
      <c r="Z786" s="26"/>
      <c r="AA786" s="27" t="str">
        <f aca="false">IF(R786="","",IF(X786="Not accepted",R786,IF(OR(X786="Accepted",X786="Withdrawn by hospital"),IF(X786="Accepted",0,R786),IF(ISNUMBER(Z786),R786-Z786,""))))</f>
        <v/>
      </c>
      <c r="AB786" s="23"/>
      <c r="AC786" s="25"/>
      <c r="AD786" s="23"/>
      <c r="AE786" s="23"/>
      <c r="AF786" s="24"/>
      <c r="AG786" s="23"/>
      <c r="AH786" s="24"/>
      <c r="AI786" s="29" t="str">
        <f aca="false">IF(X786="Not accepted","Maintained",IF(X786="Partially accepted","Partially maintained",IF(X786="Accepted","Reversed",IF(X786="Withdrawn by hospital","Withdrawn by hospital",""))))</f>
        <v/>
      </c>
      <c r="AJ786" s="28" t="str">
        <f aca="false">IF(AI786="","",W786)</f>
        <v/>
      </c>
      <c r="AK786" s="29" t="str">
        <f aca="false">IF(AND(ISNUMBER(T786),ISNUMBER(W786)),W786-T786,"")</f>
        <v/>
      </c>
      <c r="AL786" s="29" t="str">
        <f aca="false">IF(A786="","",SUMIF(Actions!$C$5:$C$1004,A786,Actions!$F$5:$F$1004))</f>
        <v/>
      </c>
      <c r="AM786" s="25"/>
    </row>
    <row r="787" customFormat="false" ht="15" hidden="false" customHeight="false" outlineLevel="0" collapsed="false">
      <c r="A787" s="23"/>
      <c r="B787" s="23"/>
      <c r="C787" s="23"/>
      <c r="D787" s="23"/>
      <c r="E787" s="23"/>
      <c r="F787" s="23"/>
      <c r="G787" s="23"/>
      <c r="H787" s="23"/>
      <c r="I787" s="23"/>
      <c r="J787" s="23"/>
      <c r="K787" s="24"/>
      <c r="L787" s="23"/>
      <c r="M787" s="25"/>
      <c r="N787" s="25"/>
      <c r="O787" s="23"/>
      <c r="P787" s="26"/>
      <c r="Q787" s="26"/>
      <c r="R787" s="27" t="str">
        <f aca="false">IF(AND(ISNUMBER(P787),ISNUMBER(Q787)),P787-Q787,"")</f>
        <v/>
      </c>
      <c r="S787" s="24"/>
      <c r="T787" s="28" t="str">
        <f aca="false">IF(S787&lt;&gt;"",S787,IF(B787="","",IFERROR(IF(INDEX(Batches!$G$5:$G$64,MATCH(B787,Batches!$A$5:$A$64,0))="","",INDEX(Batches!$G$5:$G$64,MATCH(B787,Batches!$A$5:$A$64,0))),"")))</f>
        <v/>
      </c>
      <c r="U787" s="23"/>
      <c r="V787" s="24"/>
      <c r="W787" s="28" t="str">
        <f aca="false">IF(OR(X787="",X787="Pending"),"",IF(V787&lt;&gt;"",V787,IFERROR(IF(INDEX(Batches!$H$5:$H$64,MATCH(B787,Batches!$A$5:$A$64,0))="","",INDEX(Batches!$H$5:$H$64,MATCH(B787,Batches!$A$5:$A$64,0))),"")))</f>
        <v/>
      </c>
      <c r="X787" s="23"/>
      <c r="Y787" s="23"/>
      <c r="Z787" s="26"/>
      <c r="AA787" s="27" t="str">
        <f aca="false">IF(R787="","",IF(X787="Not accepted",R787,IF(OR(X787="Accepted",X787="Withdrawn by hospital"),IF(X787="Accepted",0,R787),IF(ISNUMBER(Z787),R787-Z787,""))))</f>
        <v/>
      </c>
      <c r="AB787" s="23"/>
      <c r="AC787" s="25"/>
      <c r="AD787" s="23"/>
      <c r="AE787" s="23"/>
      <c r="AF787" s="24"/>
      <c r="AG787" s="23"/>
      <c r="AH787" s="24"/>
      <c r="AI787" s="29" t="str">
        <f aca="false">IF(X787="Not accepted","Maintained",IF(X787="Partially accepted","Partially maintained",IF(X787="Accepted","Reversed",IF(X787="Withdrawn by hospital","Withdrawn by hospital",""))))</f>
        <v/>
      </c>
      <c r="AJ787" s="28" t="str">
        <f aca="false">IF(AI787="","",W787)</f>
        <v/>
      </c>
      <c r="AK787" s="29" t="str">
        <f aca="false">IF(AND(ISNUMBER(T787),ISNUMBER(W787)),W787-T787,"")</f>
        <v/>
      </c>
      <c r="AL787" s="29" t="str">
        <f aca="false">IF(A787="","",SUMIF(Actions!$C$5:$C$1004,A787,Actions!$F$5:$F$1004))</f>
        <v/>
      </c>
      <c r="AM787" s="25"/>
    </row>
    <row r="788" customFormat="false" ht="15" hidden="false" customHeight="false" outlineLevel="0" collapsed="false">
      <c r="A788" s="23"/>
      <c r="B788" s="23"/>
      <c r="C788" s="23"/>
      <c r="D788" s="23"/>
      <c r="E788" s="23"/>
      <c r="F788" s="23"/>
      <c r="G788" s="23"/>
      <c r="H788" s="23"/>
      <c r="I788" s="23"/>
      <c r="J788" s="23"/>
      <c r="K788" s="24"/>
      <c r="L788" s="23"/>
      <c r="M788" s="25"/>
      <c r="N788" s="25"/>
      <c r="O788" s="23"/>
      <c r="P788" s="26"/>
      <c r="Q788" s="26"/>
      <c r="R788" s="27" t="str">
        <f aca="false">IF(AND(ISNUMBER(P788),ISNUMBER(Q788)),P788-Q788,"")</f>
        <v/>
      </c>
      <c r="S788" s="24"/>
      <c r="T788" s="28" t="str">
        <f aca="false">IF(S788&lt;&gt;"",S788,IF(B788="","",IFERROR(IF(INDEX(Batches!$G$5:$G$64,MATCH(B788,Batches!$A$5:$A$64,0))="","",INDEX(Batches!$G$5:$G$64,MATCH(B788,Batches!$A$5:$A$64,0))),"")))</f>
        <v/>
      </c>
      <c r="U788" s="23"/>
      <c r="V788" s="24"/>
      <c r="W788" s="28" t="str">
        <f aca="false">IF(OR(X788="",X788="Pending"),"",IF(V788&lt;&gt;"",V788,IFERROR(IF(INDEX(Batches!$H$5:$H$64,MATCH(B788,Batches!$A$5:$A$64,0))="","",INDEX(Batches!$H$5:$H$64,MATCH(B788,Batches!$A$5:$A$64,0))),"")))</f>
        <v/>
      </c>
      <c r="X788" s="23"/>
      <c r="Y788" s="23"/>
      <c r="Z788" s="26"/>
      <c r="AA788" s="27" t="str">
        <f aca="false">IF(R788="","",IF(X788="Not accepted",R788,IF(OR(X788="Accepted",X788="Withdrawn by hospital"),IF(X788="Accepted",0,R788),IF(ISNUMBER(Z788),R788-Z788,""))))</f>
        <v/>
      </c>
      <c r="AB788" s="23"/>
      <c r="AC788" s="25"/>
      <c r="AD788" s="23"/>
      <c r="AE788" s="23"/>
      <c r="AF788" s="24"/>
      <c r="AG788" s="23"/>
      <c r="AH788" s="24"/>
      <c r="AI788" s="29" t="str">
        <f aca="false">IF(X788="Not accepted","Maintained",IF(X788="Partially accepted","Partially maintained",IF(X788="Accepted","Reversed",IF(X788="Withdrawn by hospital","Withdrawn by hospital",""))))</f>
        <v/>
      </c>
      <c r="AJ788" s="28" t="str">
        <f aca="false">IF(AI788="","",W788)</f>
        <v/>
      </c>
      <c r="AK788" s="29" t="str">
        <f aca="false">IF(AND(ISNUMBER(T788),ISNUMBER(W788)),W788-T788,"")</f>
        <v/>
      </c>
      <c r="AL788" s="29" t="str">
        <f aca="false">IF(A788="","",SUMIF(Actions!$C$5:$C$1004,A788,Actions!$F$5:$F$1004))</f>
        <v/>
      </c>
      <c r="AM788" s="25"/>
    </row>
    <row r="789" customFormat="false" ht="15" hidden="false" customHeight="false" outlineLevel="0" collapsed="false">
      <c r="A789" s="23"/>
      <c r="B789" s="23"/>
      <c r="C789" s="23"/>
      <c r="D789" s="23"/>
      <c r="E789" s="23"/>
      <c r="F789" s="23"/>
      <c r="G789" s="23"/>
      <c r="H789" s="23"/>
      <c r="I789" s="23"/>
      <c r="J789" s="23"/>
      <c r="K789" s="24"/>
      <c r="L789" s="23"/>
      <c r="M789" s="25"/>
      <c r="N789" s="25"/>
      <c r="O789" s="23"/>
      <c r="P789" s="26"/>
      <c r="Q789" s="26"/>
      <c r="R789" s="27" t="str">
        <f aca="false">IF(AND(ISNUMBER(P789),ISNUMBER(Q789)),P789-Q789,"")</f>
        <v/>
      </c>
      <c r="S789" s="24"/>
      <c r="T789" s="28" t="str">
        <f aca="false">IF(S789&lt;&gt;"",S789,IF(B789="","",IFERROR(IF(INDEX(Batches!$G$5:$G$64,MATCH(B789,Batches!$A$5:$A$64,0))="","",INDEX(Batches!$G$5:$G$64,MATCH(B789,Batches!$A$5:$A$64,0))),"")))</f>
        <v/>
      </c>
      <c r="U789" s="23"/>
      <c r="V789" s="24"/>
      <c r="W789" s="28" t="str">
        <f aca="false">IF(OR(X789="",X789="Pending"),"",IF(V789&lt;&gt;"",V789,IFERROR(IF(INDEX(Batches!$H$5:$H$64,MATCH(B789,Batches!$A$5:$A$64,0))="","",INDEX(Batches!$H$5:$H$64,MATCH(B789,Batches!$A$5:$A$64,0))),"")))</f>
        <v/>
      </c>
      <c r="X789" s="23"/>
      <c r="Y789" s="23"/>
      <c r="Z789" s="26"/>
      <c r="AA789" s="27" t="str">
        <f aca="false">IF(R789="","",IF(X789="Not accepted",R789,IF(OR(X789="Accepted",X789="Withdrawn by hospital"),IF(X789="Accepted",0,R789),IF(ISNUMBER(Z789),R789-Z789,""))))</f>
        <v/>
      </c>
      <c r="AB789" s="23"/>
      <c r="AC789" s="25"/>
      <c r="AD789" s="23"/>
      <c r="AE789" s="23"/>
      <c r="AF789" s="24"/>
      <c r="AG789" s="23"/>
      <c r="AH789" s="24"/>
      <c r="AI789" s="29" t="str">
        <f aca="false">IF(X789="Not accepted","Maintained",IF(X789="Partially accepted","Partially maintained",IF(X789="Accepted","Reversed",IF(X789="Withdrawn by hospital","Withdrawn by hospital",""))))</f>
        <v/>
      </c>
      <c r="AJ789" s="28" t="str">
        <f aca="false">IF(AI789="","",W789)</f>
        <v/>
      </c>
      <c r="AK789" s="29" t="str">
        <f aca="false">IF(AND(ISNUMBER(T789),ISNUMBER(W789)),W789-T789,"")</f>
        <v/>
      </c>
      <c r="AL789" s="29" t="str">
        <f aca="false">IF(A789="","",SUMIF(Actions!$C$5:$C$1004,A789,Actions!$F$5:$F$1004))</f>
        <v/>
      </c>
      <c r="AM789" s="25"/>
    </row>
    <row r="790" customFormat="false" ht="15" hidden="false" customHeight="false" outlineLevel="0" collapsed="false">
      <c r="A790" s="23"/>
      <c r="B790" s="23"/>
      <c r="C790" s="23"/>
      <c r="D790" s="23"/>
      <c r="E790" s="23"/>
      <c r="F790" s="23"/>
      <c r="G790" s="23"/>
      <c r="H790" s="23"/>
      <c r="I790" s="23"/>
      <c r="J790" s="23"/>
      <c r="K790" s="24"/>
      <c r="L790" s="23"/>
      <c r="M790" s="25"/>
      <c r="N790" s="25"/>
      <c r="O790" s="23"/>
      <c r="P790" s="26"/>
      <c r="Q790" s="26"/>
      <c r="R790" s="27" t="str">
        <f aca="false">IF(AND(ISNUMBER(P790),ISNUMBER(Q790)),P790-Q790,"")</f>
        <v/>
      </c>
      <c r="S790" s="24"/>
      <c r="T790" s="28" t="str">
        <f aca="false">IF(S790&lt;&gt;"",S790,IF(B790="","",IFERROR(IF(INDEX(Batches!$G$5:$G$64,MATCH(B790,Batches!$A$5:$A$64,0))="","",INDEX(Batches!$G$5:$G$64,MATCH(B790,Batches!$A$5:$A$64,0))),"")))</f>
        <v/>
      </c>
      <c r="U790" s="23"/>
      <c r="V790" s="24"/>
      <c r="W790" s="28" t="str">
        <f aca="false">IF(OR(X790="",X790="Pending"),"",IF(V790&lt;&gt;"",V790,IFERROR(IF(INDEX(Batches!$H$5:$H$64,MATCH(B790,Batches!$A$5:$A$64,0))="","",INDEX(Batches!$H$5:$H$64,MATCH(B790,Batches!$A$5:$A$64,0))),"")))</f>
        <v/>
      </c>
      <c r="X790" s="23"/>
      <c r="Y790" s="23"/>
      <c r="Z790" s="26"/>
      <c r="AA790" s="27" t="str">
        <f aca="false">IF(R790="","",IF(X790="Not accepted",R790,IF(OR(X790="Accepted",X790="Withdrawn by hospital"),IF(X790="Accepted",0,R790),IF(ISNUMBER(Z790),R790-Z790,""))))</f>
        <v/>
      </c>
      <c r="AB790" s="23"/>
      <c r="AC790" s="25"/>
      <c r="AD790" s="23"/>
      <c r="AE790" s="23"/>
      <c r="AF790" s="24"/>
      <c r="AG790" s="23"/>
      <c r="AH790" s="24"/>
      <c r="AI790" s="29" t="str">
        <f aca="false">IF(X790="Not accepted","Maintained",IF(X790="Partially accepted","Partially maintained",IF(X790="Accepted","Reversed",IF(X790="Withdrawn by hospital","Withdrawn by hospital",""))))</f>
        <v/>
      </c>
      <c r="AJ790" s="28" t="str">
        <f aca="false">IF(AI790="","",W790)</f>
        <v/>
      </c>
      <c r="AK790" s="29" t="str">
        <f aca="false">IF(AND(ISNUMBER(T790),ISNUMBER(W790)),W790-T790,"")</f>
        <v/>
      </c>
      <c r="AL790" s="29" t="str">
        <f aca="false">IF(A790="","",SUMIF(Actions!$C$5:$C$1004,A790,Actions!$F$5:$F$1004))</f>
        <v/>
      </c>
      <c r="AM790" s="25"/>
    </row>
    <row r="791" customFormat="false" ht="15" hidden="false" customHeight="false" outlineLevel="0" collapsed="false">
      <c r="A791" s="23"/>
      <c r="B791" s="23"/>
      <c r="C791" s="23"/>
      <c r="D791" s="23"/>
      <c r="E791" s="23"/>
      <c r="F791" s="23"/>
      <c r="G791" s="23"/>
      <c r="H791" s="23"/>
      <c r="I791" s="23"/>
      <c r="J791" s="23"/>
      <c r="K791" s="24"/>
      <c r="L791" s="23"/>
      <c r="M791" s="25"/>
      <c r="N791" s="25"/>
      <c r="O791" s="23"/>
      <c r="P791" s="26"/>
      <c r="Q791" s="26"/>
      <c r="R791" s="27" t="str">
        <f aca="false">IF(AND(ISNUMBER(P791),ISNUMBER(Q791)),P791-Q791,"")</f>
        <v/>
      </c>
      <c r="S791" s="24"/>
      <c r="T791" s="28" t="str">
        <f aca="false">IF(S791&lt;&gt;"",S791,IF(B791="","",IFERROR(IF(INDEX(Batches!$G$5:$G$64,MATCH(B791,Batches!$A$5:$A$64,0))="","",INDEX(Batches!$G$5:$G$64,MATCH(B791,Batches!$A$5:$A$64,0))),"")))</f>
        <v/>
      </c>
      <c r="U791" s="23"/>
      <c r="V791" s="24"/>
      <c r="W791" s="28" t="str">
        <f aca="false">IF(OR(X791="",X791="Pending"),"",IF(V791&lt;&gt;"",V791,IFERROR(IF(INDEX(Batches!$H$5:$H$64,MATCH(B791,Batches!$A$5:$A$64,0))="","",INDEX(Batches!$H$5:$H$64,MATCH(B791,Batches!$A$5:$A$64,0))),"")))</f>
        <v/>
      </c>
      <c r="X791" s="23"/>
      <c r="Y791" s="23"/>
      <c r="Z791" s="26"/>
      <c r="AA791" s="27" t="str">
        <f aca="false">IF(R791="","",IF(X791="Not accepted",R791,IF(OR(X791="Accepted",X791="Withdrawn by hospital"),IF(X791="Accepted",0,R791),IF(ISNUMBER(Z791),R791-Z791,""))))</f>
        <v/>
      </c>
      <c r="AB791" s="23"/>
      <c r="AC791" s="25"/>
      <c r="AD791" s="23"/>
      <c r="AE791" s="23"/>
      <c r="AF791" s="24"/>
      <c r="AG791" s="23"/>
      <c r="AH791" s="24"/>
      <c r="AI791" s="29" t="str">
        <f aca="false">IF(X791="Not accepted","Maintained",IF(X791="Partially accepted","Partially maintained",IF(X791="Accepted","Reversed",IF(X791="Withdrawn by hospital","Withdrawn by hospital",""))))</f>
        <v/>
      </c>
      <c r="AJ791" s="28" t="str">
        <f aca="false">IF(AI791="","",W791)</f>
        <v/>
      </c>
      <c r="AK791" s="29" t="str">
        <f aca="false">IF(AND(ISNUMBER(T791),ISNUMBER(W791)),W791-T791,"")</f>
        <v/>
      </c>
      <c r="AL791" s="29" t="str">
        <f aca="false">IF(A791="","",SUMIF(Actions!$C$5:$C$1004,A791,Actions!$F$5:$F$1004))</f>
        <v/>
      </c>
      <c r="AM791" s="25"/>
    </row>
    <row r="792" customFormat="false" ht="15" hidden="false" customHeight="false" outlineLevel="0" collapsed="false">
      <c r="A792" s="23"/>
      <c r="B792" s="23"/>
      <c r="C792" s="23"/>
      <c r="D792" s="23"/>
      <c r="E792" s="23"/>
      <c r="F792" s="23"/>
      <c r="G792" s="23"/>
      <c r="H792" s="23"/>
      <c r="I792" s="23"/>
      <c r="J792" s="23"/>
      <c r="K792" s="24"/>
      <c r="L792" s="23"/>
      <c r="M792" s="25"/>
      <c r="N792" s="25"/>
      <c r="O792" s="23"/>
      <c r="P792" s="26"/>
      <c r="Q792" s="26"/>
      <c r="R792" s="27" t="str">
        <f aca="false">IF(AND(ISNUMBER(P792),ISNUMBER(Q792)),P792-Q792,"")</f>
        <v/>
      </c>
      <c r="S792" s="24"/>
      <c r="T792" s="28" t="str">
        <f aca="false">IF(S792&lt;&gt;"",S792,IF(B792="","",IFERROR(IF(INDEX(Batches!$G$5:$G$64,MATCH(B792,Batches!$A$5:$A$64,0))="","",INDEX(Batches!$G$5:$G$64,MATCH(B792,Batches!$A$5:$A$64,0))),"")))</f>
        <v/>
      </c>
      <c r="U792" s="23"/>
      <c r="V792" s="24"/>
      <c r="W792" s="28" t="str">
        <f aca="false">IF(OR(X792="",X792="Pending"),"",IF(V792&lt;&gt;"",V792,IFERROR(IF(INDEX(Batches!$H$5:$H$64,MATCH(B792,Batches!$A$5:$A$64,0))="","",INDEX(Batches!$H$5:$H$64,MATCH(B792,Batches!$A$5:$A$64,0))),"")))</f>
        <v/>
      </c>
      <c r="X792" s="23"/>
      <c r="Y792" s="23"/>
      <c r="Z792" s="26"/>
      <c r="AA792" s="27" t="str">
        <f aca="false">IF(R792="","",IF(X792="Not accepted",R792,IF(OR(X792="Accepted",X792="Withdrawn by hospital"),IF(X792="Accepted",0,R792),IF(ISNUMBER(Z792),R792-Z792,""))))</f>
        <v/>
      </c>
      <c r="AB792" s="23"/>
      <c r="AC792" s="25"/>
      <c r="AD792" s="23"/>
      <c r="AE792" s="23"/>
      <c r="AF792" s="24"/>
      <c r="AG792" s="23"/>
      <c r="AH792" s="24"/>
      <c r="AI792" s="29" t="str">
        <f aca="false">IF(X792="Not accepted","Maintained",IF(X792="Partially accepted","Partially maintained",IF(X792="Accepted","Reversed",IF(X792="Withdrawn by hospital","Withdrawn by hospital",""))))</f>
        <v/>
      </c>
      <c r="AJ792" s="28" t="str">
        <f aca="false">IF(AI792="","",W792)</f>
        <v/>
      </c>
      <c r="AK792" s="29" t="str">
        <f aca="false">IF(AND(ISNUMBER(T792),ISNUMBER(W792)),W792-T792,"")</f>
        <v/>
      </c>
      <c r="AL792" s="29" t="str">
        <f aca="false">IF(A792="","",SUMIF(Actions!$C$5:$C$1004,A792,Actions!$F$5:$F$1004))</f>
        <v/>
      </c>
      <c r="AM792" s="25"/>
    </row>
    <row r="793" customFormat="false" ht="15" hidden="false" customHeight="false" outlineLevel="0" collapsed="false">
      <c r="A793" s="23"/>
      <c r="B793" s="23"/>
      <c r="C793" s="23"/>
      <c r="D793" s="23"/>
      <c r="E793" s="23"/>
      <c r="F793" s="23"/>
      <c r="G793" s="23"/>
      <c r="H793" s="23"/>
      <c r="I793" s="23"/>
      <c r="J793" s="23"/>
      <c r="K793" s="24"/>
      <c r="L793" s="23"/>
      <c r="M793" s="25"/>
      <c r="N793" s="25"/>
      <c r="O793" s="23"/>
      <c r="P793" s="26"/>
      <c r="Q793" s="26"/>
      <c r="R793" s="27" t="str">
        <f aca="false">IF(AND(ISNUMBER(P793),ISNUMBER(Q793)),P793-Q793,"")</f>
        <v/>
      </c>
      <c r="S793" s="24"/>
      <c r="T793" s="28" t="str">
        <f aca="false">IF(S793&lt;&gt;"",S793,IF(B793="","",IFERROR(IF(INDEX(Batches!$G$5:$G$64,MATCH(B793,Batches!$A$5:$A$64,0))="","",INDEX(Batches!$G$5:$G$64,MATCH(B793,Batches!$A$5:$A$64,0))),"")))</f>
        <v/>
      </c>
      <c r="U793" s="23"/>
      <c r="V793" s="24"/>
      <c r="W793" s="28" t="str">
        <f aca="false">IF(OR(X793="",X793="Pending"),"",IF(V793&lt;&gt;"",V793,IFERROR(IF(INDEX(Batches!$H$5:$H$64,MATCH(B793,Batches!$A$5:$A$64,0))="","",INDEX(Batches!$H$5:$H$64,MATCH(B793,Batches!$A$5:$A$64,0))),"")))</f>
        <v/>
      </c>
      <c r="X793" s="23"/>
      <c r="Y793" s="23"/>
      <c r="Z793" s="26"/>
      <c r="AA793" s="27" t="str">
        <f aca="false">IF(R793="","",IF(X793="Not accepted",R793,IF(OR(X793="Accepted",X793="Withdrawn by hospital"),IF(X793="Accepted",0,R793),IF(ISNUMBER(Z793),R793-Z793,""))))</f>
        <v/>
      </c>
      <c r="AB793" s="23"/>
      <c r="AC793" s="25"/>
      <c r="AD793" s="23"/>
      <c r="AE793" s="23"/>
      <c r="AF793" s="24"/>
      <c r="AG793" s="23"/>
      <c r="AH793" s="24"/>
      <c r="AI793" s="29" t="str">
        <f aca="false">IF(X793="Not accepted","Maintained",IF(X793="Partially accepted","Partially maintained",IF(X793="Accepted","Reversed",IF(X793="Withdrawn by hospital","Withdrawn by hospital",""))))</f>
        <v/>
      </c>
      <c r="AJ793" s="28" t="str">
        <f aca="false">IF(AI793="","",W793)</f>
        <v/>
      </c>
      <c r="AK793" s="29" t="str">
        <f aca="false">IF(AND(ISNUMBER(T793),ISNUMBER(W793)),W793-T793,"")</f>
        <v/>
      </c>
      <c r="AL793" s="29" t="str">
        <f aca="false">IF(A793="","",SUMIF(Actions!$C$5:$C$1004,A793,Actions!$F$5:$F$1004))</f>
        <v/>
      </c>
      <c r="AM793" s="25"/>
    </row>
    <row r="794" customFormat="false" ht="15" hidden="false" customHeight="false" outlineLevel="0" collapsed="false">
      <c r="A794" s="23"/>
      <c r="B794" s="23"/>
      <c r="C794" s="23"/>
      <c r="D794" s="23"/>
      <c r="E794" s="23"/>
      <c r="F794" s="23"/>
      <c r="G794" s="23"/>
      <c r="H794" s="23"/>
      <c r="I794" s="23"/>
      <c r="J794" s="23"/>
      <c r="K794" s="24"/>
      <c r="L794" s="23"/>
      <c r="M794" s="25"/>
      <c r="N794" s="25"/>
      <c r="O794" s="23"/>
      <c r="P794" s="26"/>
      <c r="Q794" s="26"/>
      <c r="R794" s="27" t="str">
        <f aca="false">IF(AND(ISNUMBER(P794),ISNUMBER(Q794)),P794-Q794,"")</f>
        <v/>
      </c>
      <c r="S794" s="24"/>
      <c r="T794" s="28" t="str">
        <f aca="false">IF(S794&lt;&gt;"",S794,IF(B794="","",IFERROR(IF(INDEX(Batches!$G$5:$G$64,MATCH(B794,Batches!$A$5:$A$64,0))="","",INDEX(Batches!$G$5:$G$64,MATCH(B794,Batches!$A$5:$A$64,0))),"")))</f>
        <v/>
      </c>
      <c r="U794" s="23"/>
      <c r="V794" s="24"/>
      <c r="W794" s="28" t="str">
        <f aca="false">IF(OR(X794="",X794="Pending"),"",IF(V794&lt;&gt;"",V794,IFERROR(IF(INDEX(Batches!$H$5:$H$64,MATCH(B794,Batches!$A$5:$A$64,0))="","",INDEX(Batches!$H$5:$H$64,MATCH(B794,Batches!$A$5:$A$64,0))),"")))</f>
        <v/>
      </c>
      <c r="X794" s="23"/>
      <c r="Y794" s="23"/>
      <c r="Z794" s="26"/>
      <c r="AA794" s="27" t="str">
        <f aca="false">IF(R794="","",IF(X794="Not accepted",R794,IF(OR(X794="Accepted",X794="Withdrawn by hospital"),IF(X794="Accepted",0,R794),IF(ISNUMBER(Z794),R794-Z794,""))))</f>
        <v/>
      </c>
      <c r="AB794" s="23"/>
      <c r="AC794" s="25"/>
      <c r="AD794" s="23"/>
      <c r="AE794" s="23"/>
      <c r="AF794" s="24"/>
      <c r="AG794" s="23"/>
      <c r="AH794" s="24"/>
      <c r="AI794" s="29" t="str">
        <f aca="false">IF(X794="Not accepted","Maintained",IF(X794="Partially accepted","Partially maintained",IF(X794="Accepted","Reversed",IF(X794="Withdrawn by hospital","Withdrawn by hospital",""))))</f>
        <v/>
      </c>
      <c r="AJ794" s="28" t="str">
        <f aca="false">IF(AI794="","",W794)</f>
        <v/>
      </c>
      <c r="AK794" s="29" t="str">
        <f aca="false">IF(AND(ISNUMBER(T794),ISNUMBER(W794)),W794-T794,"")</f>
        <v/>
      </c>
      <c r="AL794" s="29" t="str">
        <f aca="false">IF(A794="","",SUMIF(Actions!$C$5:$C$1004,A794,Actions!$F$5:$F$1004))</f>
        <v/>
      </c>
      <c r="AM794" s="25"/>
    </row>
    <row r="795" customFormat="false" ht="15" hidden="false" customHeight="false" outlineLevel="0" collapsed="false">
      <c r="A795" s="23"/>
      <c r="B795" s="23"/>
      <c r="C795" s="23"/>
      <c r="D795" s="23"/>
      <c r="E795" s="23"/>
      <c r="F795" s="23"/>
      <c r="G795" s="23"/>
      <c r="H795" s="23"/>
      <c r="I795" s="23"/>
      <c r="J795" s="23"/>
      <c r="K795" s="24"/>
      <c r="L795" s="23"/>
      <c r="M795" s="25"/>
      <c r="N795" s="25"/>
      <c r="O795" s="23"/>
      <c r="P795" s="26"/>
      <c r="Q795" s="26"/>
      <c r="R795" s="27" t="str">
        <f aca="false">IF(AND(ISNUMBER(P795),ISNUMBER(Q795)),P795-Q795,"")</f>
        <v/>
      </c>
      <c r="S795" s="24"/>
      <c r="T795" s="28" t="str">
        <f aca="false">IF(S795&lt;&gt;"",S795,IF(B795="","",IFERROR(IF(INDEX(Batches!$G$5:$G$64,MATCH(B795,Batches!$A$5:$A$64,0))="","",INDEX(Batches!$G$5:$G$64,MATCH(B795,Batches!$A$5:$A$64,0))),"")))</f>
        <v/>
      </c>
      <c r="U795" s="23"/>
      <c r="V795" s="24"/>
      <c r="W795" s="28" t="str">
        <f aca="false">IF(OR(X795="",X795="Pending"),"",IF(V795&lt;&gt;"",V795,IFERROR(IF(INDEX(Batches!$H$5:$H$64,MATCH(B795,Batches!$A$5:$A$64,0))="","",INDEX(Batches!$H$5:$H$64,MATCH(B795,Batches!$A$5:$A$64,0))),"")))</f>
        <v/>
      </c>
      <c r="X795" s="23"/>
      <c r="Y795" s="23"/>
      <c r="Z795" s="26"/>
      <c r="AA795" s="27" t="str">
        <f aca="false">IF(R795="","",IF(X795="Not accepted",R795,IF(OR(X795="Accepted",X795="Withdrawn by hospital"),IF(X795="Accepted",0,R795),IF(ISNUMBER(Z795),R795-Z795,""))))</f>
        <v/>
      </c>
      <c r="AB795" s="23"/>
      <c r="AC795" s="25"/>
      <c r="AD795" s="23"/>
      <c r="AE795" s="23"/>
      <c r="AF795" s="24"/>
      <c r="AG795" s="23"/>
      <c r="AH795" s="24"/>
      <c r="AI795" s="29" t="str">
        <f aca="false">IF(X795="Not accepted","Maintained",IF(X795="Partially accepted","Partially maintained",IF(X795="Accepted","Reversed",IF(X795="Withdrawn by hospital","Withdrawn by hospital",""))))</f>
        <v/>
      </c>
      <c r="AJ795" s="28" t="str">
        <f aca="false">IF(AI795="","",W795)</f>
        <v/>
      </c>
      <c r="AK795" s="29" t="str">
        <f aca="false">IF(AND(ISNUMBER(T795),ISNUMBER(W795)),W795-T795,"")</f>
        <v/>
      </c>
      <c r="AL795" s="29" t="str">
        <f aca="false">IF(A795="","",SUMIF(Actions!$C$5:$C$1004,A795,Actions!$F$5:$F$1004))</f>
        <v/>
      </c>
      <c r="AM795" s="25"/>
    </row>
    <row r="796" customFormat="false" ht="15" hidden="false" customHeight="false" outlineLevel="0" collapsed="false">
      <c r="A796" s="23"/>
      <c r="B796" s="23"/>
      <c r="C796" s="23"/>
      <c r="D796" s="23"/>
      <c r="E796" s="23"/>
      <c r="F796" s="23"/>
      <c r="G796" s="23"/>
      <c r="H796" s="23"/>
      <c r="I796" s="23"/>
      <c r="J796" s="23"/>
      <c r="K796" s="24"/>
      <c r="L796" s="23"/>
      <c r="M796" s="25"/>
      <c r="N796" s="25"/>
      <c r="O796" s="23"/>
      <c r="P796" s="26"/>
      <c r="Q796" s="26"/>
      <c r="R796" s="27" t="str">
        <f aca="false">IF(AND(ISNUMBER(P796),ISNUMBER(Q796)),P796-Q796,"")</f>
        <v/>
      </c>
      <c r="S796" s="24"/>
      <c r="T796" s="28" t="str">
        <f aca="false">IF(S796&lt;&gt;"",S796,IF(B796="","",IFERROR(IF(INDEX(Batches!$G$5:$G$64,MATCH(B796,Batches!$A$5:$A$64,0))="","",INDEX(Batches!$G$5:$G$64,MATCH(B796,Batches!$A$5:$A$64,0))),"")))</f>
        <v/>
      </c>
      <c r="U796" s="23"/>
      <c r="V796" s="24"/>
      <c r="W796" s="28" t="str">
        <f aca="false">IF(OR(X796="",X796="Pending"),"",IF(V796&lt;&gt;"",V796,IFERROR(IF(INDEX(Batches!$H$5:$H$64,MATCH(B796,Batches!$A$5:$A$64,0))="","",INDEX(Batches!$H$5:$H$64,MATCH(B796,Batches!$A$5:$A$64,0))),"")))</f>
        <v/>
      </c>
      <c r="X796" s="23"/>
      <c r="Y796" s="23"/>
      <c r="Z796" s="26"/>
      <c r="AA796" s="27" t="str">
        <f aca="false">IF(R796="","",IF(X796="Not accepted",R796,IF(OR(X796="Accepted",X796="Withdrawn by hospital"),IF(X796="Accepted",0,R796),IF(ISNUMBER(Z796),R796-Z796,""))))</f>
        <v/>
      </c>
      <c r="AB796" s="23"/>
      <c r="AC796" s="25"/>
      <c r="AD796" s="23"/>
      <c r="AE796" s="23"/>
      <c r="AF796" s="24"/>
      <c r="AG796" s="23"/>
      <c r="AH796" s="24"/>
      <c r="AI796" s="29" t="str">
        <f aca="false">IF(X796="Not accepted","Maintained",IF(X796="Partially accepted","Partially maintained",IF(X796="Accepted","Reversed",IF(X796="Withdrawn by hospital","Withdrawn by hospital",""))))</f>
        <v/>
      </c>
      <c r="AJ796" s="28" t="str">
        <f aca="false">IF(AI796="","",W796)</f>
        <v/>
      </c>
      <c r="AK796" s="29" t="str">
        <f aca="false">IF(AND(ISNUMBER(T796),ISNUMBER(W796)),W796-T796,"")</f>
        <v/>
      </c>
      <c r="AL796" s="29" t="str">
        <f aca="false">IF(A796="","",SUMIF(Actions!$C$5:$C$1004,A796,Actions!$F$5:$F$1004))</f>
        <v/>
      </c>
      <c r="AM796" s="25"/>
    </row>
    <row r="797" customFormat="false" ht="15" hidden="false" customHeight="false" outlineLevel="0" collapsed="false">
      <c r="A797" s="23"/>
      <c r="B797" s="23"/>
      <c r="C797" s="23"/>
      <c r="D797" s="23"/>
      <c r="E797" s="23"/>
      <c r="F797" s="23"/>
      <c r="G797" s="23"/>
      <c r="H797" s="23"/>
      <c r="I797" s="23"/>
      <c r="J797" s="23"/>
      <c r="K797" s="24"/>
      <c r="L797" s="23"/>
      <c r="M797" s="25"/>
      <c r="N797" s="25"/>
      <c r="O797" s="23"/>
      <c r="P797" s="26"/>
      <c r="Q797" s="26"/>
      <c r="R797" s="27" t="str">
        <f aca="false">IF(AND(ISNUMBER(P797),ISNUMBER(Q797)),P797-Q797,"")</f>
        <v/>
      </c>
      <c r="S797" s="24"/>
      <c r="T797" s="28" t="str">
        <f aca="false">IF(S797&lt;&gt;"",S797,IF(B797="","",IFERROR(IF(INDEX(Batches!$G$5:$G$64,MATCH(B797,Batches!$A$5:$A$64,0))="","",INDEX(Batches!$G$5:$G$64,MATCH(B797,Batches!$A$5:$A$64,0))),"")))</f>
        <v/>
      </c>
      <c r="U797" s="23"/>
      <c r="V797" s="24"/>
      <c r="W797" s="28" t="str">
        <f aca="false">IF(OR(X797="",X797="Pending"),"",IF(V797&lt;&gt;"",V797,IFERROR(IF(INDEX(Batches!$H$5:$H$64,MATCH(B797,Batches!$A$5:$A$64,0))="","",INDEX(Batches!$H$5:$H$64,MATCH(B797,Batches!$A$5:$A$64,0))),"")))</f>
        <v/>
      </c>
      <c r="X797" s="23"/>
      <c r="Y797" s="23"/>
      <c r="Z797" s="26"/>
      <c r="AA797" s="27" t="str">
        <f aca="false">IF(R797="","",IF(X797="Not accepted",R797,IF(OR(X797="Accepted",X797="Withdrawn by hospital"),IF(X797="Accepted",0,R797),IF(ISNUMBER(Z797),R797-Z797,""))))</f>
        <v/>
      </c>
      <c r="AB797" s="23"/>
      <c r="AC797" s="25"/>
      <c r="AD797" s="23"/>
      <c r="AE797" s="23"/>
      <c r="AF797" s="24"/>
      <c r="AG797" s="23"/>
      <c r="AH797" s="24"/>
      <c r="AI797" s="29" t="str">
        <f aca="false">IF(X797="Not accepted","Maintained",IF(X797="Partially accepted","Partially maintained",IF(X797="Accepted","Reversed",IF(X797="Withdrawn by hospital","Withdrawn by hospital",""))))</f>
        <v/>
      </c>
      <c r="AJ797" s="28" t="str">
        <f aca="false">IF(AI797="","",W797)</f>
        <v/>
      </c>
      <c r="AK797" s="29" t="str">
        <f aca="false">IF(AND(ISNUMBER(T797),ISNUMBER(W797)),W797-T797,"")</f>
        <v/>
      </c>
      <c r="AL797" s="29" t="str">
        <f aca="false">IF(A797="","",SUMIF(Actions!$C$5:$C$1004,A797,Actions!$F$5:$F$1004))</f>
        <v/>
      </c>
      <c r="AM797" s="25"/>
    </row>
    <row r="798" customFormat="false" ht="15" hidden="false" customHeight="false" outlineLevel="0" collapsed="false">
      <c r="A798" s="23"/>
      <c r="B798" s="23"/>
      <c r="C798" s="23"/>
      <c r="D798" s="23"/>
      <c r="E798" s="23"/>
      <c r="F798" s="23"/>
      <c r="G798" s="23"/>
      <c r="H798" s="23"/>
      <c r="I798" s="23"/>
      <c r="J798" s="23"/>
      <c r="K798" s="24"/>
      <c r="L798" s="23"/>
      <c r="M798" s="25"/>
      <c r="N798" s="25"/>
      <c r="O798" s="23"/>
      <c r="P798" s="26"/>
      <c r="Q798" s="26"/>
      <c r="R798" s="27" t="str">
        <f aca="false">IF(AND(ISNUMBER(P798),ISNUMBER(Q798)),P798-Q798,"")</f>
        <v/>
      </c>
      <c r="S798" s="24"/>
      <c r="T798" s="28" t="str">
        <f aca="false">IF(S798&lt;&gt;"",S798,IF(B798="","",IFERROR(IF(INDEX(Batches!$G$5:$G$64,MATCH(B798,Batches!$A$5:$A$64,0))="","",INDEX(Batches!$G$5:$G$64,MATCH(B798,Batches!$A$5:$A$64,0))),"")))</f>
        <v/>
      </c>
      <c r="U798" s="23"/>
      <c r="V798" s="24"/>
      <c r="W798" s="28" t="str">
        <f aca="false">IF(OR(X798="",X798="Pending"),"",IF(V798&lt;&gt;"",V798,IFERROR(IF(INDEX(Batches!$H$5:$H$64,MATCH(B798,Batches!$A$5:$A$64,0))="","",INDEX(Batches!$H$5:$H$64,MATCH(B798,Batches!$A$5:$A$64,0))),"")))</f>
        <v/>
      </c>
      <c r="X798" s="23"/>
      <c r="Y798" s="23"/>
      <c r="Z798" s="26"/>
      <c r="AA798" s="27" t="str">
        <f aca="false">IF(R798="","",IF(X798="Not accepted",R798,IF(OR(X798="Accepted",X798="Withdrawn by hospital"),IF(X798="Accepted",0,R798),IF(ISNUMBER(Z798),R798-Z798,""))))</f>
        <v/>
      </c>
      <c r="AB798" s="23"/>
      <c r="AC798" s="25"/>
      <c r="AD798" s="23"/>
      <c r="AE798" s="23"/>
      <c r="AF798" s="24"/>
      <c r="AG798" s="23"/>
      <c r="AH798" s="24"/>
      <c r="AI798" s="29" t="str">
        <f aca="false">IF(X798="Not accepted","Maintained",IF(X798="Partially accepted","Partially maintained",IF(X798="Accepted","Reversed",IF(X798="Withdrawn by hospital","Withdrawn by hospital",""))))</f>
        <v/>
      </c>
      <c r="AJ798" s="28" t="str">
        <f aca="false">IF(AI798="","",W798)</f>
        <v/>
      </c>
      <c r="AK798" s="29" t="str">
        <f aca="false">IF(AND(ISNUMBER(T798),ISNUMBER(W798)),W798-T798,"")</f>
        <v/>
      </c>
      <c r="AL798" s="29" t="str">
        <f aca="false">IF(A798="","",SUMIF(Actions!$C$5:$C$1004,A798,Actions!$F$5:$F$1004))</f>
        <v/>
      </c>
      <c r="AM798" s="25"/>
    </row>
    <row r="799" customFormat="false" ht="15" hidden="false" customHeight="false" outlineLevel="0" collapsed="false">
      <c r="A799" s="23"/>
      <c r="B799" s="23"/>
      <c r="C799" s="23"/>
      <c r="D799" s="23"/>
      <c r="E799" s="23"/>
      <c r="F799" s="23"/>
      <c r="G799" s="23"/>
      <c r="H799" s="23"/>
      <c r="I799" s="23"/>
      <c r="J799" s="23"/>
      <c r="K799" s="24"/>
      <c r="L799" s="23"/>
      <c r="M799" s="25"/>
      <c r="N799" s="25"/>
      <c r="O799" s="23"/>
      <c r="P799" s="26"/>
      <c r="Q799" s="26"/>
      <c r="R799" s="27" t="str">
        <f aca="false">IF(AND(ISNUMBER(P799),ISNUMBER(Q799)),P799-Q799,"")</f>
        <v/>
      </c>
      <c r="S799" s="24"/>
      <c r="T799" s="28" t="str">
        <f aca="false">IF(S799&lt;&gt;"",S799,IF(B799="","",IFERROR(IF(INDEX(Batches!$G$5:$G$64,MATCH(B799,Batches!$A$5:$A$64,0))="","",INDEX(Batches!$G$5:$G$64,MATCH(B799,Batches!$A$5:$A$64,0))),"")))</f>
        <v/>
      </c>
      <c r="U799" s="23"/>
      <c r="V799" s="24"/>
      <c r="W799" s="28" t="str">
        <f aca="false">IF(OR(X799="",X799="Pending"),"",IF(V799&lt;&gt;"",V799,IFERROR(IF(INDEX(Batches!$H$5:$H$64,MATCH(B799,Batches!$A$5:$A$64,0))="","",INDEX(Batches!$H$5:$H$64,MATCH(B799,Batches!$A$5:$A$64,0))),"")))</f>
        <v/>
      </c>
      <c r="X799" s="23"/>
      <c r="Y799" s="23"/>
      <c r="Z799" s="26"/>
      <c r="AA799" s="27" t="str">
        <f aca="false">IF(R799="","",IF(X799="Not accepted",R799,IF(OR(X799="Accepted",X799="Withdrawn by hospital"),IF(X799="Accepted",0,R799),IF(ISNUMBER(Z799),R799-Z799,""))))</f>
        <v/>
      </c>
      <c r="AB799" s="23"/>
      <c r="AC799" s="25"/>
      <c r="AD799" s="23"/>
      <c r="AE799" s="23"/>
      <c r="AF799" s="24"/>
      <c r="AG799" s="23"/>
      <c r="AH799" s="24"/>
      <c r="AI799" s="29" t="str">
        <f aca="false">IF(X799="Not accepted","Maintained",IF(X799="Partially accepted","Partially maintained",IF(X799="Accepted","Reversed",IF(X799="Withdrawn by hospital","Withdrawn by hospital",""))))</f>
        <v/>
      </c>
      <c r="AJ799" s="28" t="str">
        <f aca="false">IF(AI799="","",W799)</f>
        <v/>
      </c>
      <c r="AK799" s="29" t="str">
        <f aca="false">IF(AND(ISNUMBER(T799),ISNUMBER(W799)),W799-T799,"")</f>
        <v/>
      </c>
      <c r="AL799" s="29" t="str">
        <f aca="false">IF(A799="","",SUMIF(Actions!$C$5:$C$1004,A799,Actions!$F$5:$F$1004))</f>
        <v/>
      </c>
      <c r="AM799" s="25"/>
    </row>
    <row r="800" customFormat="false" ht="15" hidden="false" customHeight="false" outlineLevel="0" collapsed="false">
      <c r="A800" s="23"/>
      <c r="B800" s="23"/>
      <c r="C800" s="23"/>
      <c r="D800" s="23"/>
      <c r="E800" s="23"/>
      <c r="F800" s="23"/>
      <c r="G800" s="23"/>
      <c r="H800" s="23"/>
      <c r="I800" s="23"/>
      <c r="J800" s="23"/>
      <c r="K800" s="24"/>
      <c r="L800" s="23"/>
      <c r="M800" s="25"/>
      <c r="N800" s="25"/>
      <c r="O800" s="23"/>
      <c r="P800" s="26"/>
      <c r="Q800" s="26"/>
      <c r="R800" s="27" t="str">
        <f aca="false">IF(AND(ISNUMBER(P800),ISNUMBER(Q800)),P800-Q800,"")</f>
        <v/>
      </c>
      <c r="S800" s="24"/>
      <c r="T800" s="28" t="str">
        <f aca="false">IF(S800&lt;&gt;"",S800,IF(B800="","",IFERROR(IF(INDEX(Batches!$G$5:$G$64,MATCH(B800,Batches!$A$5:$A$64,0))="","",INDEX(Batches!$G$5:$G$64,MATCH(B800,Batches!$A$5:$A$64,0))),"")))</f>
        <v/>
      </c>
      <c r="U800" s="23"/>
      <c r="V800" s="24"/>
      <c r="W800" s="28" t="str">
        <f aca="false">IF(OR(X800="",X800="Pending"),"",IF(V800&lt;&gt;"",V800,IFERROR(IF(INDEX(Batches!$H$5:$H$64,MATCH(B800,Batches!$A$5:$A$64,0))="","",INDEX(Batches!$H$5:$H$64,MATCH(B800,Batches!$A$5:$A$64,0))),"")))</f>
        <v/>
      </c>
      <c r="X800" s="23"/>
      <c r="Y800" s="23"/>
      <c r="Z800" s="26"/>
      <c r="AA800" s="27" t="str">
        <f aca="false">IF(R800="","",IF(X800="Not accepted",R800,IF(OR(X800="Accepted",X800="Withdrawn by hospital"),IF(X800="Accepted",0,R800),IF(ISNUMBER(Z800),R800-Z800,""))))</f>
        <v/>
      </c>
      <c r="AB800" s="23"/>
      <c r="AC800" s="25"/>
      <c r="AD800" s="23"/>
      <c r="AE800" s="23"/>
      <c r="AF800" s="24"/>
      <c r="AG800" s="23"/>
      <c r="AH800" s="24"/>
      <c r="AI800" s="29" t="str">
        <f aca="false">IF(X800="Not accepted","Maintained",IF(X800="Partially accepted","Partially maintained",IF(X800="Accepted","Reversed",IF(X800="Withdrawn by hospital","Withdrawn by hospital",""))))</f>
        <v/>
      </c>
      <c r="AJ800" s="28" t="str">
        <f aca="false">IF(AI800="","",W800)</f>
        <v/>
      </c>
      <c r="AK800" s="29" t="str">
        <f aca="false">IF(AND(ISNUMBER(T800),ISNUMBER(W800)),W800-T800,"")</f>
        <v/>
      </c>
      <c r="AL800" s="29" t="str">
        <f aca="false">IF(A800="","",SUMIF(Actions!$C$5:$C$1004,A800,Actions!$F$5:$F$1004))</f>
        <v/>
      </c>
      <c r="AM800" s="25"/>
    </row>
    <row r="801" customFormat="false" ht="15" hidden="false" customHeight="false" outlineLevel="0" collapsed="false">
      <c r="A801" s="23"/>
      <c r="B801" s="23"/>
      <c r="C801" s="23"/>
      <c r="D801" s="23"/>
      <c r="E801" s="23"/>
      <c r="F801" s="23"/>
      <c r="G801" s="23"/>
      <c r="H801" s="23"/>
      <c r="I801" s="23"/>
      <c r="J801" s="23"/>
      <c r="K801" s="24"/>
      <c r="L801" s="23"/>
      <c r="M801" s="25"/>
      <c r="N801" s="25"/>
      <c r="O801" s="23"/>
      <c r="P801" s="26"/>
      <c r="Q801" s="26"/>
      <c r="R801" s="27" t="str">
        <f aca="false">IF(AND(ISNUMBER(P801),ISNUMBER(Q801)),P801-Q801,"")</f>
        <v/>
      </c>
      <c r="S801" s="24"/>
      <c r="T801" s="28" t="str">
        <f aca="false">IF(S801&lt;&gt;"",S801,IF(B801="","",IFERROR(IF(INDEX(Batches!$G$5:$G$64,MATCH(B801,Batches!$A$5:$A$64,0))="","",INDEX(Batches!$G$5:$G$64,MATCH(B801,Batches!$A$5:$A$64,0))),"")))</f>
        <v/>
      </c>
      <c r="U801" s="23"/>
      <c r="V801" s="24"/>
      <c r="W801" s="28" t="str">
        <f aca="false">IF(OR(X801="",X801="Pending"),"",IF(V801&lt;&gt;"",V801,IFERROR(IF(INDEX(Batches!$H$5:$H$64,MATCH(B801,Batches!$A$5:$A$64,0))="","",INDEX(Batches!$H$5:$H$64,MATCH(B801,Batches!$A$5:$A$64,0))),"")))</f>
        <v/>
      </c>
      <c r="X801" s="23"/>
      <c r="Y801" s="23"/>
      <c r="Z801" s="26"/>
      <c r="AA801" s="27" t="str">
        <f aca="false">IF(R801="","",IF(X801="Not accepted",R801,IF(OR(X801="Accepted",X801="Withdrawn by hospital"),IF(X801="Accepted",0,R801),IF(ISNUMBER(Z801),R801-Z801,""))))</f>
        <v/>
      </c>
      <c r="AB801" s="23"/>
      <c r="AC801" s="25"/>
      <c r="AD801" s="23"/>
      <c r="AE801" s="23"/>
      <c r="AF801" s="24"/>
      <c r="AG801" s="23"/>
      <c r="AH801" s="24"/>
      <c r="AI801" s="29" t="str">
        <f aca="false">IF(X801="Not accepted","Maintained",IF(X801="Partially accepted","Partially maintained",IF(X801="Accepted","Reversed",IF(X801="Withdrawn by hospital","Withdrawn by hospital",""))))</f>
        <v/>
      </c>
      <c r="AJ801" s="28" t="str">
        <f aca="false">IF(AI801="","",W801)</f>
        <v/>
      </c>
      <c r="AK801" s="29" t="str">
        <f aca="false">IF(AND(ISNUMBER(T801),ISNUMBER(W801)),W801-T801,"")</f>
        <v/>
      </c>
      <c r="AL801" s="29" t="str">
        <f aca="false">IF(A801="","",SUMIF(Actions!$C$5:$C$1004,A801,Actions!$F$5:$F$1004))</f>
        <v/>
      </c>
      <c r="AM801" s="25"/>
    </row>
    <row r="802" customFormat="false" ht="15" hidden="false" customHeight="false" outlineLevel="0" collapsed="false">
      <c r="A802" s="23"/>
      <c r="B802" s="23"/>
      <c r="C802" s="23"/>
      <c r="D802" s="23"/>
      <c r="E802" s="23"/>
      <c r="F802" s="23"/>
      <c r="G802" s="23"/>
      <c r="H802" s="23"/>
      <c r="I802" s="23"/>
      <c r="J802" s="23"/>
      <c r="K802" s="24"/>
      <c r="L802" s="23"/>
      <c r="M802" s="25"/>
      <c r="N802" s="25"/>
      <c r="O802" s="23"/>
      <c r="P802" s="26"/>
      <c r="Q802" s="26"/>
      <c r="R802" s="27" t="str">
        <f aca="false">IF(AND(ISNUMBER(P802),ISNUMBER(Q802)),P802-Q802,"")</f>
        <v/>
      </c>
      <c r="S802" s="24"/>
      <c r="T802" s="28" t="str">
        <f aca="false">IF(S802&lt;&gt;"",S802,IF(B802="","",IFERROR(IF(INDEX(Batches!$G$5:$G$64,MATCH(B802,Batches!$A$5:$A$64,0))="","",INDEX(Batches!$G$5:$G$64,MATCH(B802,Batches!$A$5:$A$64,0))),"")))</f>
        <v/>
      </c>
      <c r="U802" s="23"/>
      <c r="V802" s="24"/>
      <c r="W802" s="28" t="str">
        <f aca="false">IF(OR(X802="",X802="Pending"),"",IF(V802&lt;&gt;"",V802,IFERROR(IF(INDEX(Batches!$H$5:$H$64,MATCH(B802,Batches!$A$5:$A$64,0))="","",INDEX(Batches!$H$5:$H$64,MATCH(B802,Batches!$A$5:$A$64,0))),"")))</f>
        <v/>
      </c>
      <c r="X802" s="23"/>
      <c r="Y802" s="23"/>
      <c r="Z802" s="26"/>
      <c r="AA802" s="27" t="str">
        <f aca="false">IF(R802="","",IF(X802="Not accepted",R802,IF(OR(X802="Accepted",X802="Withdrawn by hospital"),IF(X802="Accepted",0,R802),IF(ISNUMBER(Z802),R802-Z802,""))))</f>
        <v/>
      </c>
      <c r="AB802" s="23"/>
      <c r="AC802" s="25"/>
      <c r="AD802" s="23"/>
      <c r="AE802" s="23"/>
      <c r="AF802" s="24"/>
      <c r="AG802" s="23"/>
      <c r="AH802" s="24"/>
      <c r="AI802" s="29" t="str">
        <f aca="false">IF(X802="Not accepted","Maintained",IF(X802="Partially accepted","Partially maintained",IF(X802="Accepted","Reversed",IF(X802="Withdrawn by hospital","Withdrawn by hospital",""))))</f>
        <v/>
      </c>
      <c r="AJ802" s="28" t="str">
        <f aca="false">IF(AI802="","",W802)</f>
        <v/>
      </c>
      <c r="AK802" s="29" t="str">
        <f aca="false">IF(AND(ISNUMBER(T802),ISNUMBER(W802)),W802-T802,"")</f>
        <v/>
      </c>
      <c r="AL802" s="29" t="str">
        <f aca="false">IF(A802="","",SUMIF(Actions!$C$5:$C$1004,A802,Actions!$F$5:$F$1004))</f>
        <v/>
      </c>
      <c r="AM802" s="25"/>
    </row>
    <row r="803" customFormat="false" ht="15" hidden="false" customHeight="false" outlineLevel="0" collapsed="false">
      <c r="A803" s="23"/>
      <c r="B803" s="23"/>
      <c r="C803" s="23"/>
      <c r="D803" s="23"/>
      <c r="E803" s="23"/>
      <c r="F803" s="23"/>
      <c r="G803" s="23"/>
      <c r="H803" s="23"/>
      <c r="I803" s="23"/>
      <c r="J803" s="23"/>
      <c r="K803" s="24"/>
      <c r="L803" s="23"/>
      <c r="M803" s="25"/>
      <c r="N803" s="25"/>
      <c r="O803" s="23"/>
      <c r="P803" s="26"/>
      <c r="Q803" s="26"/>
      <c r="R803" s="27" t="str">
        <f aca="false">IF(AND(ISNUMBER(P803),ISNUMBER(Q803)),P803-Q803,"")</f>
        <v/>
      </c>
      <c r="S803" s="24"/>
      <c r="T803" s="28" t="str">
        <f aca="false">IF(S803&lt;&gt;"",S803,IF(B803="","",IFERROR(IF(INDEX(Batches!$G$5:$G$64,MATCH(B803,Batches!$A$5:$A$64,0))="","",INDEX(Batches!$G$5:$G$64,MATCH(B803,Batches!$A$5:$A$64,0))),"")))</f>
        <v/>
      </c>
      <c r="U803" s="23"/>
      <c r="V803" s="24"/>
      <c r="W803" s="28" t="str">
        <f aca="false">IF(OR(X803="",X803="Pending"),"",IF(V803&lt;&gt;"",V803,IFERROR(IF(INDEX(Batches!$H$5:$H$64,MATCH(B803,Batches!$A$5:$A$64,0))="","",INDEX(Batches!$H$5:$H$64,MATCH(B803,Batches!$A$5:$A$64,0))),"")))</f>
        <v/>
      </c>
      <c r="X803" s="23"/>
      <c r="Y803" s="23"/>
      <c r="Z803" s="26"/>
      <c r="AA803" s="27" t="str">
        <f aca="false">IF(R803="","",IF(X803="Not accepted",R803,IF(OR(X803="Accepted",X803="Withdrawn by hospital"),IF(X803="Accepted",0,R803),IF(ISNUMBER(Z803),R803-Z803,""))))</f>
        <v/>
      </c>
      <c r="AB803" s="23"/>
      <c r="AC803" s="25"/>
      <c r="AD803" s="23"/>
      <c r="AE803" s="23"/>
      <c r="AF803" s="24"/>
      <c r="AG803" s="23"/>
      <c r="AH803" s="24"/>
      <c r="AI803" s="29" t="str">
        <f aca="false">IF(X803="Not accepted","Maintained",IF(X803="Partially accepted","Partially maintained",IF(X803="Accepted","Reversed",IF(X803="Withdrawn by hospital","Withdrawn by hospital",""))))</f>
        <v/>
      </c>
      <c r="AJ803" s="28" t="str">
        <f aca="false">IF(AI803="","",W803)</f>
        <v/>
      </c>
      <c r="AK803" s="29" t="str">
        <f aca="false">IF(AND(ISNUMBER(T803),ISNUMBER(W803)),W803-T803,"")</f>
        <v/>
      </c>
      <c r="AL803" s="29" t="str">
        <f aca="false">IF(A803="","",SUMIF(Actions!$C$5:$C$1004,A803,Actions!$F$5:$F$1004))</f>
        <v/>
      </c>
      <c r="AM803" s="25"/>
    </row>
    <row r="804" customFormat="false" ht="15" hidden="false" customHeight="false" outlineLevel="0" collapsed="false">
      <c r="A804" s="23"/>
      <c r="B804" s="23"/>
      <c r="C804" s="23"/>
      <c r="D804" s="23"/>
      <c r="E804" s="23"/>
      <c r="F804" s="23"/>
      <c r="G804" s="23"/>
      <c r="H804" s="23"/>
      <c r="I804" s="23"/>
      <c r="J804" s="23"/>
      <c r="K804" s="24"/>
      <c r="L804" s="23"/>
      <c r="M804" s="25"/>
      <c r="N804" s="25"/>
      <c r="O804" s="23"/>
      <c r="P804" s="26"/>
      <c r="Q804" s="26"/>
      <c r="R804" s="27" t="str">
        <f aca="false">IF(AND(ISNUMBER(P804),ISNUMBER(Q804)),P804-Q804,"")</f>
        <v/>
      </c>
      <c r="S804" s="24"/>
      <c r="T804" s="28" t="str">
        <f aca="false">IF(S804&lt;&gt;"",S804,IF(B804="","",IFERROR(IF(INDEX(Batches!$G$5:$G$64,MATCH(B804,Batches!$A$5:$A$64,0))="","",INDEX(Batches!$G$5:$G$64,MATCH(B804,Batches!$A$5:$A$64,0))),"")))</f>
        <v/>
      </c>
      <c r="U804" s="23"/>
      <c r="V804" s="24"/>
      <c r="W804" s="28" t="str">
        <f aca="false">IF(OR(X804="",X804="Pending"),"",IF(V804&lt;&gt;"",V804,IFERROR(IF(INDEX(Batches!$H$5:$H$64,MATCH(B804,Batches!$A$5:$A$64,0))="","",INDEX(Batches!$H$5:$H$64,MATCH(B804,Batches!$A$5:$A$64,0))),"")))</f>
        <v/>
      </c>
      <c r="X804" s="23"/>
      <c r="Y804" s="23"/>
      <c r="Z804" s="26"/>
      <c r="AA804" s="27" t="str">
        <f aca="false">IF(R804="","",IF(X804="Not accepted",R804,IF(OR(X804="Accepted",X804="Withdrawn by hospital"),IF(X804="Accepted",0,R804),IF(ISNUMBER(Z804),R804-Z804,""))))</f>
        <v/>
      </c>
      <c r="AB804" s="23"/>
      <c r="AC804" s="25"/>
      <c r="AD804" s="23"/>
      <c r="AE804" s="23"/>
      <c r="AF804" s="24"/>
      <c r="AG804" s="23"/>
      <c r="AH804" s="24"/>
      <c r="AI804" s="29" t="str">
        <f aca="false">IF(X804="Not accepted","Maintained",IF(X804="Partially accepted","Partially maintained",IF(X804="Accepted","Reversed",IF(X804="Withdrawn by hospital","Withdrawn by hospital",""))))</f>
        <v/>
      </c>
      <c r="AJ804" s="28" t="str">
        <f aca="false">IF(AI804="","",W804)</f>
        <v/>
      </c>
      <c r="AK804" s="29" t="str">
        <f aca="false">IF(AND(ISNUMBER(T804),ISNUMBER(W804)),W804-T804,"")</f>
        <v/>
      </c>
      <c r="AL804" s="29" t="str">
        <f aca="false">IF(A804="","",SUMIF(Actions!$C$5:$C$1004,A804,Actions!$F$5:$F$1004))</f>
        <v/>
      </c>
      <c r="AM804" s="25"/>
    </row>
    <row r="805" customFormat="false" ht="15" hidden="false" customHeight="false" outlineLevel="0" collapsed="false">
      <c r="A805" s="23"/>
      <c r="B805" s="23"/>
      <c r="C805" s="23"/>
      <c r="D805" s="23"/>
      <c r="E805" s="23"/>
      <c r="F805" s="23"/>
      <c r="G805" s="23"/>
      <c r="H805" s="23"/>
      <c r="I805" s="23"/>
      <c r="J805" s="23"/>
      <c r="K805" s="24"/>
      <c r="L805" s="23"/>
      <c r="M805" s="25"/>
      <c r="N805" s="25"/>
      <c r="O805" s="23"/>
      <c r="P805" s="26"/>
      <c r="Q805" s="26"/>
      <c r="R805" s="27" t="str">
        <f aca="false">IF(AND(ISNUMBER(P805),ISNUMBER(Q805)),P805-Q805,"")</f>
        <v/>
      </c>
      <c r="S805" s="24"/>
      <c r="T805" s="28" t="str">
        <f aca="false">IF(S805&lt;&gt;"",S805,IF(B805="","",IFERROR(IF(INDEX(Batches!$G$5:$G$64,MATCH(B805,Batches!$A$5:$A$64,0))="","",INDEX(Batches!$G$5:$G$64,MATCH(B805,Batches!$A$5:$A$64,0))),"")))</f>
        <v/>
      </c>
      <c r="U805" s="23"/>
      <c r="V805" s="24"/>
      <c r="W805" s="28" t="str">
        <f aca="false">IF(OR(X805="",X805="Pending"),"",IF(V805&lt;&gt;"",V805,IFERROR(IF(INDEX(Batches!$H$5:$H$64,MATCH(B805,Batches!$A$5:$A$64,0))="","",INDEX(Batches!$H$5:$H$64,MATCH(B805,Batches!$A$5:$A$64,0))),"")))</f>
        <v/>
      </c>
      <c r="X805" s="23"/>
      <c r="Y805" s="23"/>
      <c r="Z805" s="26"/>
      <c r="AA805" s="27" t="str">
        <f aca="false">IF(R805="","",IF(X805="Not accepted",R805,IF(OR(X805="Accepted",X805="Withdrawn by hospital"),IF(X805="Accepted",0,R805),IF(ISNUMBER(Z805),R805-Z805,""))))</f>
        <v/>
      </c>
      <c r="AB805" s="23"/>
      <c r="AC805" s="25"/>
      <c r="AD805" s="23"/>
      <c r="AE805" s="23"/>
      <c r="AF805" s="24"/>
      <c r="AG805" s="23"/>
      <c r="AH805" s="24"/>
      <c r="AI805" s="29" t="str">
        <f aca="false">IF(X805="Not accepted","Maintained",IF(X805="Partially accepted","Partially maintained",IF(X805="Accepted","Reversed",IF(X805="Withdrawn by hospital","Withdrawn by hospital",""))))</f>
        <v/>
      </c>
      <c r="AJ805" s="28" t="str">
        <f aca="false">IF(AI805="","",W805)</f>
        <v/>
      </c>
      <c r="AK805" s="29" t="str">
        <f aca="false">IF(AND(ISNUMBER(T805),ISNUMBER(W805)),W805-T805,"")</f>
        <v/>
      </c>
      <c r="AL805" s="29" t="str">
        <f aca="false">IF(A805="","",SUMIF(Actions!$C$5:$C$1004,A805,Actions!$F$5:$F$1004))</f>
        <v/>
      </c>
      <c r="AM805" s="25"/>
    </row>
    <row r="806" customFormat="false" ht="15" hidden="false" customHeight="false" outlineLevel="0" collapsed="false">
      <c r="A806" s="23"/>
      <c r="B806" s="23"/>
      <c r="C806" s="23"/>
      <c r="D806" s="23"/>
      <c r="E806" s="23"/>
      <c r="F806" s="23"/>
      <c r="G806" s="23"/>
      <c r="H806" s="23"/>
      <c r="I806" s="23"/>
      <c r="J806" s="23"/>
      <c r="K806" s="24"/>
      <c r="L806" s="23"/>
      <c r="M806" s="25"/>
      <c r="N806" s="25"/>
      <c r="O806" s="23"/>
      <c r="P806" s="26"/>
      <c r="Q806" s="26"/>
      <c r="R806" s="27" t="str">
        <f aca="false">IF(AND(ISNUMBER(P806),ISNUMBER(Q806)),P806-Q806,"")</f>
        <v/>
      </c>
      <c r="S806" s="24"/>
      <c r="T806" s="28" t="str">
        <f aca="false">IF(S806&lt;&gt;"",S806,IF(B806="","",IFERROR(IF(INDEX(Batches!$G$5:$G$64,MATCH(B806,Batches!$A$5:$A$64,0))="","",INDEX(Batches!$G$5:$G$64,MATCH(B806,Batches!$A$5:$A$64,0))),"")))</f>
        <v/>
      </c>
      <c r="U806" s="23"/>
      <c r="V806" s="24"/>
      <c r="W806" s="28" t="str">
        <f aca="false">IF(OR(X806="",X806="Pending"),"",IF(V806&lt;&gt;"",V806,IFERROR(IF(INDEX(Batches!$H$5:$H$64,MATCH(B806,Batches!$A$5:$A$64,0))="","",INDEX(Batches!$H$5:$H$64,MATCH(B806,Batches!$A$5:$A$64,0))),"")))</f>
        <v/>
      </c>
      <c r="X806" s="23"/>
      <c r="Y806" s="23"/>
      <c r="Z806" s="26"/>
      <c r="AA806" s="27" t="str">
        <f aca="false">IF(R806="","",IF(X806="Not accepted",R806,IF(OR(X806="Accepted",X806="Withdrawn by hospital"),IF(X806="Accepted",0,R806),IF(ISNUMBER(Z806),R806-Z806,""))))</f>
        <v/>
      </c>
      <c r="AB806" s="23"/>
      <c r="AC806" s="25"/>
      <c r="AD806" s="23"/>
      <c r="AE806" s="23"/>
      <c r="AF806" s="24"/>
      <c r="AG806" s="23"/>
      <c r="AH806" s="24"/>
      <c r="AI806" s="29" t="str">
        <f aca="false">IF(X806="Not accepted","Maintained",IF(X806="Partially accepted","Partially maintained",IF(X806="Accepted","Reversed",IF(X806="Withdrawn by hospital","Withdrawn by hospital",""))))</f>
        <v/>
      </c>
      <c r="AJ806" s="28" t="str">
        <f aca="false">IF(AI806="","",W806)</f>
        <v/>
      </c>
      <c r="AK806" s="29" t="str">
        <f aca="false">IF(AND(ISNUMBER(T806),ISNUMBER(W806)),W806-T806,"")</f>
        <v/>
      </c>
      <c r="AL806" s="29" t="str">
        <f aca="false">IF(A806="","",SUMIF(Actions!$C$5:$C$1004,A806,Actions!$F$5:$F$1004))</f>
        <v/>
      </c>
      <c r="AM806" s="25"/>
    </row>
    <row r="807" customFormat="false" ht="15" hidden="false" customHeight="false" outlineLevel="0" collapsed="false">
      <c r="A807" s="23"/>
      <c r="B807" s="23"/>
      <c r="C807" s="23"/>
      <c r="D807" s="23"/>
      <c r="E807" s="23"/>
      <c r="F807" s="23"/>
      <c r="G807" s="23"/>
      <c r="H807" s="23"/>
      <c r="I807" s="23"/>
      <c r="J807" s="23"/>
      <c r="K807" s="24"/>
      <c r="L807" s="23"/>
      <c r="M807" s="25"/>
      <c r="N807" s="25"/>
      <c r="O807" s="23"/>
      <c r="P807" s="26"/>
      <c r="Q807" s="26"/>
      <c r="R807" s="27" t="str">
        <f aca="false">IF(AND(ISNUMBER(P807),ISNUMBER(Q807)),P807-Q807,"")</f>
        <v/>
      </c>
      <c r="S807" s="24"/>
      <c r="T807" s="28" t="str">
        <f aca="false">IF(S807&lt;&gt;"",S807,IF(B807="","",IFERROR(IF(INDEX(Batches!$G$5:$G$64,MATCH(B807,Batches!$A$5:$A$64,0))="","",INDEX(Batches!$G$5:$G$64,MATCH(B807,Batches!$A$5:$A$64,0))),"")))</f>
        <v/>
      </c>
      <c r="U807" s="23"/>
      <c r="V807" s="24"/>
      <c r="W807" s="28" t="str">
        <f aca="false">IF(OR(X807="",X807="Pending"),"",IF(V807&lt;&gt;"",V807,IFERROR(IF(INDEX(Batches!$H$5:$H$64,MATCH(B807,Batches!$A$5:$A$64,0))="","",INDEX(Batches!$H$5:$H$64,MATCH(B807,Batches!$A$5:$A$64,0))),"")))</f>
        <v/>
      </c>
      <c r="X807" s="23"/>
      <c r="Y807" s="23"/>
      <c r="Z807" s="26"/>
      <c r="AA807" s="27" t="str">
        <f aca="false">IF(R807="","",IF(X807="Not accepted",R807,IF(OR(X807="Accepted",X807="Withdrawn by hospital"),IF(X807="Accepted",0,R807),IF(ISNUMBER(Z807),R807-Z807,""))))</f>
        <v/>
      </c>
      <c r="AB807" s="23"/>
      <c r="AC807" s="25"/>
      <c r="AD807" s="23"/>
      <c r="AE807" s="23"/>
      <c r="AF807" s="24"/>
      <c r="AG807" s="23"/>
      <c r="AH807" s="24"/>
      <c r="AI807" s="29" t="str">
        <f aca="false">IF(X807="Not accepted","Maintained",IF(X807="Partially accepted","Partially maintained",IF(X807="Accepted","Reversed",IF(X807="Withdrawn by hospital","Withdrawn by hospital",""))))</f>
        <v/>
      </c>
      <c r="AJ807" s="28" t="str">
        <f aca="false">IF(AI807="","",W807)</f>
        <v/>
      </c>
      <c r="AK807" s="29" t="str">
        <f aca="false">IF(AND(ISNUMBER(T807),ISNUMBER(W807)),W807-T807,"")</f>
        <v/>
      </c>
      <c r="AL807" s="29" t="str">
        <f aca="false">IF(A807="","",SUMIF(Actions!$C$5:$C$1004,A807,Actions!$F$5:$F$1004))</f>
        <v/>
      </c>
      <c r="AM807" s="25"/>
    </row>
    <row r="808" customFormat="false" ht="15" hidden="false" customHeight="false" outlineLevel="0" collapsed="false">
      <c r="A808" s="23"/>
      <c r="B808" s="23"/>
      <c r="C808" s="23"/>
      <c r="D808" s="23"/>
      <c r="E808" s="23"/>
      <c r="F808" s="23"/>
      <c r="G808" s="23"/>
      <c r="H808" s="23"/>
      <c r="I808" s="23"/>
      <c r="J808" s="23"/>
      <c r="K808" s="24"/>
      <c r="L808" s="23"/>
      <c r="M808" s="25"/>
      <c r="N808" s="25"/>
      <c r="O808" s="23"/>
      <c r="P808" s="26"/>
      <c r="Q808" s="26"/>
      <c r="R808" s="27" t="str">
        <f aca="false">IF(AND(ISNUMBER(P808),ISNUMBER(Q808)),P808-Q808,"")</f>
        <v/>
      </c>
      <c r="S808" s="24"/>
      <c r="T808" s="28" t="str">
        <f aca="false">IF(S808&lt;&gt;"",S808,IF(B808="","",IFERROR(IF(INDEX(Batches!$G$5:$G$64,MATCH(B808,Batches!$A$5:$A$64,0))="","",INDEX(Batches!$G$5:$G$64,MATCH(B808,Batches!$A$5:$A$64,0))),"")))</f>
        <v/>
      </c>
      <c r="U808" s="23"/>
      <c r="V808" s="24"/>
      <c r="W808" s="28" t="str">
        <f aca="false">IF(OR(X808="",X808="Pending"),"",IF(V808&lt;&gt;"",V808,IFERROR(IF(INDEX(Batches!$H$5:$H$64,MATCH(B808,Batches!$A$5:$A$64,0))="","",INDEX(Batches!$H$5:$H$64,MATCH(B808,Batches!$A$5:$A$64,0))),"")))</f>
        <v/>
      </c>
      <c r="X808" s="23"/>
      <c r="Y808" s="23"/>
      <c r="Z808" s="26"/>
      <c r="AA808" s="27" t="str">
        <f aca="false">IF(R808="","",IF(X808="Not accepted",R808,IF(OR(X808="Accepted",X808="Withdrawn by hospital"),IF(X808="Accepted",0,R808),IF(ISNUMBER(Z808),R808-Z808,""))))</f>
        <v/>
      </c>
      <c r="AB808" s="23"/>
      <c r="AC808" s="25"/>
      <c r="AD808" s="23"/>
      <c r="AE808" s="23"/>
      <c r="AF808" s="24"/>
      <c r="AG808" s="23"/>
      <c r="AH808" s="24"/>
      <c r="AI808" s="29" t="str">
        <f aca="false">IF(X808="Not accepted","Maintained",IF(X808="Partially accepted","Partially maintained",IF(X808="Accepted","Reversed",IF(X808="Withdrawn by hospital","Withdrawn by hospital",""))))</f>
        <v/>
      </c>
      <c r="AJ808" s="28" t="str">
        <f aca="false">IF(AI808="","",W808)</f>
        <v/>
      </c>
      <c r="AK808" s="29" t="str">
        <f aca="false">IF(AND(ISNUMBER(T808),ISNUMBER(W808)),W808-T808,"")</f>
        <v/>
      </c>
      <c r="AL808" s="29" t="str">
        <f aca="false">IF(A808="","",SUMIF(Actions!$C$5:$C$1004,A808,Actions!$F$5:$F$1004))</f>
        <v/>
      </c>
      <c r="AM808" s="25"/>
    </row>
    <row r="809" customFormat="false" ht="15" hidden="false" customHeight="false" outlineLevel="0" collapsed="false">
      <c r="A809" s="23"/>
      <c r="B809" s="23"/>
      <c r="C809" s="23"/>
      <c r="D809" s="23"/>
      <c r="E809" s="23"/>
      <c r="F809" s="23"/>
      <c r="G809" s="23"/>
      <c r="H809" s="23"/>
      <c r="I809" s="23"/>
      <c r="J809" s="23"/>
      <c r="K809" s="24"/>
      <c r="L809" s="23"/>
      <c r="M809" s="25"/>
      <c r="N809" s="25"/>
      <c r="O809" s="23"/>
      <c r="P809" s="26"/>
      <c r="Q809" s="26"/>
      <c r="R809" s="27" t="str">
        <f aca="false">IF(AND(ISNUMBER(P809),ISNUMBER(Q809)),P809-Q809,"")</f>
        <v/>
      </c>
      <c r="S809" s="24"/>
      <c r="T809" s="28" t="str">
        <f aca="false">IF(S809&lt;&gt;"",S809,IF(B809="","",IFERROR(IF(INDEX(Batches!$G$5:$G$64,MATCH(B809,Batches!$A$5:$A$64,0))="","",INDEX(Batches!$G$5:$G$64,MATCH(B809,Batches!$A$5:$A$64,0))),"")))</f>
        <v/>
      </c>
      <c r="U809" s="23"/>
      <c r="V809" s="24"/>
      <c r="W809" s="28" t="str">
        <f aca="false">IF(OR(X809="",X809="Pending"),"",IF(V809&lt;&gt;"",V809,IFERROR(IF(INDEX(Batches!$H$5:$H$64,MATCH(B809,Batches!$A$5:$A$64,0))="","",INDEX(Batches!$H$5:$H$64,MATCH(B809,Batches!$A$5:$A$64,0))),"")))</f>
        <v/>
      </c>
      <c r="X809" s="23"/>
      <c r="Y809" s="23"/>
      <c r="Z809" s="26"/>
      <c r="AA809" s="27" t="str">
        <f aca="false">IF(R809="","",IF(X809="Not accepted",R809,IF(OR(X809="Accepted",X809="Withdrawn by hospital"),IF(X809="Accepted",0,R809),IF(ISNUMBER(Z809),R809-Z809,""))))</f>
        <v/>
      </c>
      <c r="AB809" s="23"/>
      <c r="AC809" s="25"/>
      <c r="AD809" s="23"/>
      <c r="AE809" s="23"/>
      <c r="AF809" s="24"/>
      <c r="AG809" s="23"/>
      <c r="AH809" s="24"/>
      <c r="AI809" s="29" t="str">
        <f aca="false">IF(X809="Not accepted","Maintained",IF(X809="Partially accepted","Partially maintained",IF(X809="Accepted","Reversed",IF(X809="Withdrawn by hospital","Withdrawn by hospital",""))))</f>
        <v/>
      </c>
      <c r="AJ809" s="28" t="str">
        <f aca="false">IF(AI809="","",W809)</f>
        <v/>
      </c>
      <c r="AK809" s="29" t="str">
        <f aca="false">IF(AND(ISNUMBER(T809),ISNUMBER(W809)),W809-T809,"")</f>
        <v/>
      </c>
      <c r="AL809" s="29" t="str">
        <f aca="false">IF(A809="","",SUMIF(Actions!$C$5:$C$1004,A809,Actions!$F$5:$F$1004))</f>
        <v/>
      </c>
      <c r="AM809" s="25"/>
    </row>
    <row r="810" customFormat="false" ht="15" hidden="false" customHeight="false" outlineLevel="0" collapsed="false">
      <c r="A810" s="23"/>
      <c r="B810" s="23"/>
      <c r="C810" s="23"/>
      <c r="D810" s="23"/>
      <c r="E810" s="23"/>
      <c r="F810" s="23"/>
      <c r="G810" s="23"/>
      <c r="H810" s="23"/>
      <c r="I810" s="23"/>
      <c r="J810" s="23"/>
      <c r="K810" s="24"/>
      <c r="L810" s="23"/>
      <c r="M810" s="25"/>
      <c r="N810" s="25"/>
      <c r="O810" s="23"/>
      <c r="P810" s="26"/>
      <c r="Q810" s="26"/>
      <c r="R810" s="27" t="str">
        <f aca="false">IF(AND(ISNUMBER(P810),ISNUMBER(Q810)),P810-Q810,"")</f>
        <v/>
      </c>
      <c r="S810" s="24"/>
      <c r="T810" s="28" t="str">
        <f aca="false">IF(S810&lt;&gt;"",S810,IF(B810="","",IFERROR(IF(INDEX(Batches!$G$5:$G$64,MATCH(B810,Batches!$A$5:$A$64,0))="","",INDEX(Batches!$G$5:$G$64,MATCH(B810,Batches!$A$5:$A$64,0))),"")))</f>
        <v/>
      </c>
      <c r="U810" s="23"/>
      <c r="V810" s="24"/>
      <c r="W810" s="28" t="str">
        <f aca="false">IF(OR(X810="",X810="Pending"),"",IF(V810&lt;&gt;"",V810,IFERROR(IF(INDEX(Batches!$H$5:$H$64,MATCH(B810,Batches!$A$5:$A$64,0))="","",INDEX(Batches!$H$5:$H$64,MATCH(B810,Batches!$A$5:$A$64,0))),"")))</f>
        <v/>
      </c>
      <c r="X810" s="23"/>
      <c r="Y810" s="23"/>
      <c r="Z810" s="26"/>
      <c r="AA810" s="27" t="str">
        <f aca="false">IF(R810="","",IF(X810="Not accepted",R810,IF(OR(X810="Accepted",X810="Withdrawn by hospital"),IF(X810="Accepted",0,R810),IF(ISNUMBER(Z810),R810-Z810,""))))</f>
        <v/>
      </c>
      <c r="AB810" s="23"/>
      <c r="AC810" s="25"/>
      <c r="AD810" s="23"/>
      <c r="AE810" s="23"/>
      <c r="AF810" s="24"/>
      <c r="AG810" s="23"/>
      <c r="AH810" s="24"/>
      <c r="AI810" s="29" t="str">
        <f aca="false">IF(X810="Not accepted","Maintained",IF(X810="Partially accepted","Partially maintained",IF(X810="Accepted","Reversed",IF(X810="Withdrawn by hospital","Withdrawn by hospital",""))))</f>
        <v/>
      </c>
      <c r="AJ810" s="28" t="str">
        <f aca="false">IF(AI810="","",W810)</f>
        <v/>
      </c>
      <c r="AK810" s="29" t="str">
        <f aca="false">IF(AND(ISNUMBER(T810),ISNUMBER(W810)),W810-T810,"")</f>
        <v/>
      </c>
      <c r="AL810" s="29" t="str">
        <f aca="false">IF(A810="","",SUMIF(Actions!$C$5:$C$1004,A810,Actions!$F$5:$F$1004))</f>
        <v/>
      </c>
      <c r="AM810" s="25"/>
    </row>
    <row r="811" customFormat="false" ht="15" hidden="false" customHeight="false" outlineLevel="0" collapsed="false">
      <c r="A811" s="23"/>
      <c r="B811" s="23"/>
      <c r="C811" s="23"/>
      <c r="D811" s="23"/>
      <c r="E811" s="23"/>
      <c r="F811" s="23"/>
      <c r="G811" s="23"/>
      <c r="H811" s="23"/>
      <c r="I811" s="23"/>
      <c r="J811" s="23"/>
      <c r="K811" s="24"/>
      <c r="L811" s="23"/>
      <c r="M811" s="25"/>
      <c r="N811" s="25"/>
      <c r="O811" s="23"/>
      <c r="P811" s="26"/>
      <c r="Q811" s="26"/>
      <c r="R811" s="27" t="str">
        <f aca="false">IF(AND(ISNUMBER(P811),ISNUMBER(Q811)),P811-Q811,"")</f>
        <v/>
      </c>
      <c r="S811" s="24"/>
      <c r="T811" s="28" t="str">
        <f aca="false">IF(S811&lt;&gt;"",S811,IF(B811="","",IFERROR(IF(INDEX(Batches!$G$5:$G$64,MATCH(B811,Batches!$A$5:$A$64,0))="","",INDEX(Batches!$G$5:$G$64,MATCH(B811,Batches!$A$5:$A$64,0))),"")))</f>
        <v/>
      </c>
      <c r="U811" s="23"/>
      <c r="V811" s="24"/>
      <c r="W811" s="28" t="str">
        <f aca="false">IF(OR(X811="",X811="Pending"),"",IF(V811&lt;&gt;"",V811,IFERROR(IF(INDEX(Batches!$H$5:$H$64,MATCH(B811,Batches!$A$5:$A$64,0))="","",INDEX(Batches!$H$5:$H$64,MATCH(B811,Batches!$A$5:$A$64,0))),"")))</f>
        <v/>
      </c>
      <c r="X811" s="23"/>
      <c r="Y811" s="23"/>
      <c r="Z811" s="26"/>
      <c r="AA811" s="27" t="str">
        <f aca="false">IF(R811="","",IF(X811="Not accepted",R811,IF(OR(X811="Accepted",X811="Withdrawn by hospital"),IF(X811="Accepted",0,R811),IF(ISNUMBER(Z811),R811-Z811,""))))</f>
        <v/>
      </c>
      <c r="AB811" s="23"/>
      <c r="AC811" s="25"/>
      <c r="AD811" s="23"/>
      <c r="AE811" s="23"/>
      <c r="AF811" s="24"/>
      <c r="AG811" s="23"/>
      <c r="AH811" s="24"/>
      <c r="AI811" s="29" t="str">
        <f aca="false">IF(X811="Not accepted","Maintained",IF(X811="Partially accepted","Partially maintained",IF(X811="Accepted","Reversed",IF(X811="Withdrawn by hospital","Withdrawn by hospital",""))))</f>
        <v/>
      </c>
      <c r="AJ811" s="28" t="str">
        <f aca="false">IF(AI811="","",W811)</f>
        <v/>
      </c>
      <c r="AK811" s="29" t="str">
        <f aca="false">IF(AND(ISNUMBER(T811),ISNUMBER(W811)),W811-T811,"")</f>
        <v/>
      </c>
      <c r="AL811" s="29" t="str">
        <f aca="false">IF(A811="","",SUMIF(Actions!$C$5:$C$1004,A811,Actions!$F$5:$F$1004))</f>
        <v/>
      </c>
      <c r="AM811" s="25"/>
    </row>
    <row r="812" customFormat="false" ht="15" hidden="false" customHeight="false" outlineLevel="0" collapsed="false">
      <c r="A812" s="23"/>
      <c r="B812" s="23"/>
      <c r="C812" s="23"/>
      <c r="D812" s="23"/>
      <c r="E812" s="23"/>
      <c r="F812" s="23"/>
      <c r="G812" s="23"/>
      <c r="H812" s="23"/>
      <c r="I812" s="23"/>
      <c r="J812" s="23"/>
      <c r="K812" s="24"/>
      <c r="L812" s="23"/>
      <c r="M812" s="25"/>
      <c r="N812" s="25"/>
      <c r="O812" s="23"/>
      <c r="P812" s="26"/>
      <c r="Q812" s="26"/>
      <c r="R812" s="27" t="str">
        <f aca="false">IF(AND(ISNUMBER(P812),ISNUMBER(Q812)),P812-Q812,"")</f>
        <v/>
      </c>
      <c r="S812" s="24"/>
      <c r="T812" s="28" t="str">
        <f aca="false">IF(S812&lt;&gt;"",S812,IF(B812="","",IFERROR(IF(INDEX(Batches!$G$5:$G$64,MATCH(B812,Batches!$A$5:$A$64,0))="","",INDEX(Batches!$G$5:$G$64,MATCH(B812,Batches!$A$5:$A$64,0))),"")))</f>
        <v/>
      </c>
      <c r="U812" s="23"/>
      <c r="V812" s="24"/>
      <c r="W812" s="28" t="str">
        <f aca="false">IF(OR(X812="",X812="Pending"),"",IF(V812&lt;&gt;"",V812,IFERROR(IF(INDEX(Batches!$H$5:$H$64,MATCH(B812,Batches!$A$5:$A$64,0))="","",INDEX(Batches!$H$5:$H$64,MATCH(B812,Batches!$A$5:$A$64,0))),"")))</f>
        <v/>
      </c>
      <c r="X812" s="23"/>
      <c r="Y812" s="23"/>
      <c r="Z812" s="26"/>
      <c r="AA812" s="27" t="str">
        <f aca="false">IF(R812="","",IF(X812="Not accepted",R812,IF(OR(X812="Accepted",X812="Withdrawn by hospital"),IF(X812="Accepted",0,R812),IF(ISNUMBER(Z812),R812-Z812,""))))</f>
        <v/>
      </c>
      <c r="AB812" s="23"/>
      <c r="AC812" s="25"/>
      <c r="AD812" s="23"/>
      <c r="AE812" s="23"/>
      <c r="AF812" s="24"/>
      <c r="AG812" s="23"/>
      <c r="AH812" s="24"/>
      <c r="AI812" s="29" t="str">
        <f aca="false">IF(X812="Not accepted","Maintained",IF(X812="Partially accepted","Partially maintained",IF(X812="Accepted","Reversed",IF(X812="Withdrawn by hospital","Withdrawn by hospital",""))))</f>
        <v/>
      </c>
      <c r="AJ812" s="28" t="str">
        <f aca="false">IF(AI812="","",W812)</f>
        <v/>
      </c>
      <c r="AK812" s="29" t="str">
        <f aca="false">IF(AND(ISNUMBER(T812),ISNUMBER(W812)),W812-T812,"")</f>
        <v/>
      </c>
      <c r="AL812" s="29" t="str">
        <f aca="false">IF(A812="","",SUMIF(Actions!$C$5:$C$1004,A812,Actions!$F$5:$F$1004))</f>
        <v/>
      </c>
      <c r="AM812" s="25"/>
    </row>
    <row r="813" customFormat="false" ht="15" hidden="false" customHeight="false" outlineLevel="0" collapsed="false">
      <c r="A813" s="23"/>
      <c r="B813" s="23"/>
      <c r="C813" s="23"/>
      <c r="D813" s="23"/>
      <c r="E813" s="23"/>
      <c r="F813" s="23"/>
      <c r="G813" s="23"/>
      <c r="H813" s="23"/>
      <c r="I813" s="23"/>
      <c r="J813" s="23"/>
      <c r="K813" s="24"/>
      <c r="L813" s="23"/>
      <c r="M813" s="25"/>
      <c r="N813" s="25"/>
      <c r="O813" s="23"/>
      <c r="P813" s="26"/>
      <c r="Q813" s="26"/>
      <c r="R813" s="27" t="str">
        <f aca="false">IF(AND(ISNUMBER(P813),ISNUMBER(Q813)),P813-Q813,"")</f>
        <v/>
      </c>
      <c r="S813" s="24"/>
      <c r="T813" s="28" t="str">
        <f aca="false">IF(S813&lt;&gt;"",S813,IF(B813="","",IFERROR(IF(INDEX(Batches!$G$5:$G$64,MATCH(B813,Batches!$A$5:$A$64,0))="","",INDEX(Batches!$G$5:$G$64,MATCH(B813,Batches!$A$5:$A$64,0))),"")))</f>
        <v/>
      </c>
      <c r="U813" s="23"/>
      <c r="V813" s="24"/>
      <c r="W813" s="28" t="str">
        <f aca="false">IF(OR(X813="",X813="Pending"),"",IF(V813&lt;&gt;"",V813,IFERROR(IF(INDEX(Batches!$H$5:$H$64,MATCH(B813,Batches!$A$5:$A$64,0))="","",INDEX(Batches!$H$5:$H$64,MATCH(B813,Batches!$A$5:$A$64,0))),"")))</f>
        <v/>
      </c>
      <c r="X813" s="23"/>
      <c r="Y813" s="23"/>
      <c r="Z813" s="26"/>
      <c r="AA813" s="27" t="str">
        <f aca="false">IF(R813="","",IF(X813="Not accepted",R813,IF(OR(X813="Accepted",X813="Withdrawn by hospital"),IF(X813="Accepted",0,R813),IF(ISNUMBER(Z813),R813-Z813,""))))</f>
        <v/>
      </c>
      <c r="AB813" s="23"/>
      <c r="AC813" s="25"/>
      <c r="AD813" s="23"/>
      <c r="AE813" s="23"/>
      <c r="AF813" s="24"/>
      <c r="AG813" s="23"/>
      <c r="AH813" s="24"/>
      <c r="AI813" s="29" t="str">
        <f aca="false">IF(X813="Not accepted","Maintained",IF(X813="Partially accepted","Partially maintained",IF(X813="Accepted","Reversed",IF(X813="Withdrawn by hospital","Withdrawn by hospital",""))))</f>
        <v/>
      </c>
      <c r="AJ813" s="28" t="str">
        <f aca="false">IF(AI813="","",W813)</f>
        <v/>
      </c>
      <c r="AK813" s="29" t="str">
        <f aca="false">IF(AND(ISNUMBER(T813),ISNUMBER(W813)),W813-T813,"")</f>
        <v/>
      </c>
      <c r="AL813" s="29" t="str">
        <f aca="false">IF(A813="","",SUMIF(Actions!$C$5:$C$1004,A813,Actions!$F$5:$F$1004))</f>
        <v/>
      </c>
      <c r="AM813" s="25"/>
    </row>
    <row r="814" customFormat="false" ht="15" hidden="false" customHeight="false" outlineLevel="0" collapsed="false">
      <c r="A814" s="23"/>
      <c r="B814" s="23"/>
      <c r="C814" s="23"/>
      <c r="D814" s="23"/>
      <c r="E814" s="23"/>
      <c r="F814" s="23"/>
      <c r="G814" s="23"/>
      <c r="H814" s="23"/>
      <c r="I814" s="23"/>
      <c r="J814" s="23"/>
      <c r="K814" s="24"/>
      <c r="L814" s="23"/>
      <c r="M814" s="25"/>
      <c r="N814" s="25"/>
      <c r="O814" s="23"/>
      <c r="P814" s="26"/>
      <c r="Q814" s="26"/>
      <c r="R814" s="27" t="str">
        <f aca="false">IF(AND(ISNUMBER(P814),ISNUMBER(Q814)),P814-Q814,"")</f>
        <v/>
      </c>
      <c r="S814" s="24"/>
      <c r="T814" s="28" t="str">
        <f aca="false">IF(S814&lt;&gt;"",S814,IF(B814="","",IFERROR(IF(INDEX(Batches!$G$5:$G$64,MATCH(B814,Batches!$A$5:$A$64,0))="","",INDEX(Batches!$G$5:$G$64,MATCH(B814,Batches!$A$5:$A$64,0))),"")))</f>
        <v/>
      </c>
      <c r="U814" s="23"/>
      <c r="V814" s="24"/>
      <c r="W814" s="28" t="str">
        <f aca="false">IF(OR(X814="",X814="Pending"),"",IF(V814&lt;&gt;"",V814,IFERROR(IF(INDEX(Batches!$H$5:$H$64,MATCH(B814,Batches!$A$5:$A$64,0))="","",INDEX(Batches!$H$5:$H$64,MATCH(B814,Batches!$A$5:$A$64,0))),"")))</f>
        <v/>
      </c>
      <c r="X814" s="23"/>
      <c r="Y814" s="23"/>
      <c r="Z814" s="26"/>
      <c r="AA814" s="27" t="str">
        <f aca="false">IF(R814="","",IF(X814="Not accepted",R814,IF(OR(X814="Accepted",X814="Withdrawn by hospital"),IF(X814="Accepted",0,R814),IF(ISNUMBER(Z814),R814-Z814,""))))</f>
        <v/>
      </c>
      <c r="AB814" s="23"/>
      <c r="AC814" s="25"/>
      <c r="AD814" s="23"/>
      <c r="AE814" s="23"/>
      <c r="AF814" s="24"/>
      <c r="AG814" s="23"/>
      <c r="AH814" s="24"/>
      <c r="AI814" s="29" t="str">
        <f aca="false">IF(X814="Not accepted","Maintained",IF(X814="Partially accepted","Partially maintained",IF(X814="Accepted","Reversed",IF(X814="Withdrawn by hospital","Withdrawn by hospital",""))))</f>
        <v/>
      </c>
      <c r="AJ814" s="28" t="str">
        <f aca="false">IF(AI814="","",W814)</f>
        <v/>
      </c>
      <c r="AK814" s="29" t="str">
        <f aca="false">IF(AND(ISNUMBER(T814),ISNUMBER(W814)),W814-T814,"")</f>
        <v/>
      </c>
      <c r="AL814" s="29" t="str">
        <f aca="false">IF(A814="","",SUMIF(Actions!$C$5:$C$1004,A814,Actions!$F$5:$F$1004))</f>
        <v/>
      </c>
      <c r="AM814" s="25"/>
    </row>
    <row r="815" customFormat="false" ht="15" hidden="false" customHeight="false" outlineLevel="0" collapsed="false">
      <c r="A815" s="23"/>
      <c r="B815" s="23"/>
      <c r="C815" s="23"/>
      <c r="D815" s="23"/>
      <c r="E815" s="23"/>
      <c r="F815" s="23"/>
      <c r="G815" s="23"/>
      <c r="H815" s="23"/>
      <c r="I815" s="23"/>
      <c r="J815" s="23"/>
      <c r="K815" s="24"/>
      <c r="L815" s="23"/>
      <c r="M815" s="25"/>
      <c r="N815" s="25"/>
      <c r="O815" s="23"/>
      <c r="P815" s="26"/>
      <c r="Q815" s="26"/>
      <c r="R815" s="27" t="str">
        <f aca="false">IF(AND(ISNUMBER(P815),ISNUMBER(Q815)),P815-Q815,"")</f>
        <v/>
      </c>
      <c r="S815" s="24"/>
      <c r="T815" s="28" t="str">
        <f aca="false">IF(S815&lt;&gt;"",S815,IF(B815="","",IFERROR(IF(INDEX(Batches!$G$5:$G$64,MATCH(B815,Batches!$A$5:$A$64,0))="","",INDEX(Batches!$G$5:$G$64,MATCH(B815,Batches!$A$5:$A$64,0))),"")))</f>
        <v/>
      </c>
      <c r="U815" s="23"/>
      <c r="V815" s="24"/>
      <c r="W815" s="28" t="str">
        <f aca="false">IF(OR(X815="",X815="Pending"),"",IF(V815&lt;&gt;"",V815,IFERROR(IF(INDEX(Batches!$H$5:$H$64,MATCH(B815,Batches!$A$5:$A$64,0))="","",INDEX(Batches!$H$5:$H$64,MATCH(B815,Batches!$A$5:$A$64,0))),"")))</f>
        <v/>
      </c>
      <c r="X815" s="23"/>
      <c r="Y815" s="23"/>
      <c r="Z815" s="26"/>
      <c r="AA815" s="27" t="str">
        <f aca="false">IF(R815="","",IF(X815="Not accepted",R815,IF(OR(X815="Accepted",X815="Withdrawn by hospital"),IF(X815="Accepted",0,R815),IF(ISNUMBER(Z815),R815-Z815,""))))</f>
        <v/>
      </c>
      <c r="AB815" s="23"/>
      <c r="AC815" s="25"/>
      <c r="AD815" s="23"/>
      <c r="AE815" s="23"/>
      <c r="AF815" s="24"/>
      <c r="AG815" s="23"/>
      <c r="AH815" s="24"/>
      <c r="AI815" s="29" t="str">
        <f aca="false">IF(X815="Not accepted","Maintained",IF(X815="Partially accepted","Partially maintained",IF(X815="Accepted","Reversed",IF(X815="Withdrawn by hospital","Withdrawn by hospital",""))))</f>
        <v/>
      </c>
      <c r="AJ815" s="28" t="str">
        <f aca="false">IF(AI815="","",W815)</f>
        <v/>
      </c>
      <c r="AK815" s="29" t="str">
        <f aca="false">IF(AND(ISNUMBER(T815),ISNUMBER(W815)),W815-T815,"")</f>
        <v/>
      </c>
      <c r="AL815" s="29" t="str">
        <f aca="false">IF(A815="","",SUMIF(Actions!$C$5:$C$1004,A815,Actions!$F$5:$F$1004))</f>
        <v/>
      </c>
      <c r="AM815" s="25"/>
    </row>
    <row r="816" customFormat="false" ht="15" hidden="false" customHeight="false" outlineLevel="0" collapsed="false">
      <c r="A816" s="23"/>
      <c r="B816" s="23"/>
      <c r="C816" s="23"/>
      <c r="D816" s="23"/>
      <c r="E816" s="23"/>
      <c r="F816" s="23"/>
      <c r="G816" s="23"/>
      <c r="H816" s="23"/>
      <c r="I816" s="23"/>
      <c r="J816" s="23"/>
      <c r="K816" s="24"/>
      <c r="L816" s="23"/>
      <c r="M816" s="25"/>
      <c r="N816" s="25"/>
      <c r="O816" s="23"/>
      <c r="P816" s="26"/>
      <c r="Q816" s="26"/>
      <c r="R816" s="27" t="str">
        <f aca="false">IF(AND(ISNUMBER(P816),ISNUMBER(Q816)),P816-Q816,"")</f>
        <v/>
      </c>
      <c r="S816" s="24"/>
      <c r="T816" s="28" t="str">
        <f aca="false">IF(S816&lt;&gt;"",S816,IF(B816="","",IFERROR(IF(INDEX(Batches!$G$5:$G$64,MATCH(B816,Batches!$A$5:$A$64,0))="","",INDEX(Batches!$G$5:$G$64,MATCH(B816,Batches!$A$5:$A$64,0))),"")))</f>
        <v/>
      </c>
      <c r="U816" s="23"/>
      <c r="V816" s="24"/>
      <c r="W816" s="28" t="str">
        <f aca="false">IF(OR(X816="",X816="Pending"),"",IF(V816&lt;&gt;"",V816,IFERROR(IF(INDEX(Batches!$H$5:$H$64,MATCH(B816,Batches!$A$5:$A$64,0))="","",INDEX(Batches!$H$5:$H$64,MATCH(B816,Batches!$A$5:$A$64,0))),"")))</f>
        <v/>
      </c>
      <c r="X816" s="23"/>
      <c r="Y816" s="23"/>
      <c r="Z816" s="26"/>
      <c r="AA816" s="27" t="str">
        <f aca="false">IF(R816="","",IF(X816="Not accepted",R816,IF(OR(X816="Accepted",X816="Withdrawn by hospital"),IF(X816="Accepted",0,R816),IF(ISNUMBER(Z816),R816-Z816,""))))</f>
        <v/>
      </c>
      <c r="AB816" s="23"/>
      <c r="AC816" s="25"/>
      <c r="AD816" s="23"/>
      <c r="AE816" s="23"/>
      <c r="AF816" s="24"/>
      <c r="AG816" s="23"/>
      <c r="AH816" s="24"/>
      <c r="AI816" s="29" t="str">
        <f aca="false">IF(X816="Not accepted","Maintained",IF(X816="Partially accepted","Partially maintained",IF(X816="Accepted","Reversed",IF(X816="Withdrawn by hospital","Withdrawn by hospital",""))))</f>
        <v/>
      </c>
      <c r="AJ816" s="28" t="str">
        <f aca="false">IF(AI816="","",W816)</f>
        <v/>
      </c>
      <c r="AK816" s="29" t="str">
        <f aca="false">IF(AND(ISNUMBER(T816),ISNUMBER(W816)),W816-T816,"")</f>
        <v/>
      </c>
      <c r="AL816" s="29" t="str">
        <f aca="false">IF(A816="","",SUMIF(Actions!$C$5:$C$1004,A816,Actions!$F$5:$F$1004))</f>
        <v/>
      </c>
      <c r="AM816" s="25"/>
    </row>
    <row r="817" customFormat="false" ht="15" hidden="false" customHeight="false" outlineLevel="0" collapsed="false">
      <c r="A817" s="23"/>
      <c r="B817" s="23"/>
      <c r="C817" s="23"/>
      <c r="D817" s="23"/>
      <c r="E817" s="23"/>
      <c r="F817" s="23"/>
      <c r="G817" s="23"/>
      <c r="H817" s="23"/>
      <c r="I817" s="23"/>
      <c r="J817" s="23"/>
      <c r="K817" s="24"/>
      <c r="L817" s="23"/>
      <c r="M817" s="25"/>
      <c r="N817" s="25"/>
      <c r="O817" s="23"/>
      <c r="P817" s="26"/>
      <c r="Q817" s="26"/>
      <c r="R817" s="27" t="str">
        <f aca="false">IF(AND(ISNUMBER(P817),ISNUMBER(Q817)),P817-Q817,"")</f>
        <v/>
      </c>
      <c r="S817" s="24"/>
      <c r="T817" s="28" t="str">
        <f aca="false">IF(S817&lt;&gt;"",S817,IF(B817="","",IFERROR(IF(INDEX(Batches!$G$5:$G$64,MATCH(B817,Batches!$A$5:$A$64,0))="","",INDEX(Batches!$G$5:$G$64,MATCH(B817,Batches!$A$5:$A$64,0))),"")))</f>
        <v/>
      </c>
      <c r="U817" s="23"/>
      <c r="V817" s="24"/>
      <c r="W817" s="28" t="str">
        <f aca="false">IF(OR(X817="",X817="Pending"),"",IF(V817&lt;&gt;"",V817,IFERROR(IF(INDEX(Batches!$H$5:$H$64,MATCH(B817,Batches!$A$5:$A$64,0))="","",INDEX(Batches!$H$5:$H$64,MATCH(B817,Batches!$A$5:$A$64,0))),"")))</f>
        <v/>
      </c>
      <c r="X817" s="23"/>
      <c r="Y817" s="23"/>
      <c r="Z817" s="26"/>
      <c r="AA817" s="27" t="str">
        <f aca="false">IF(R817="","",IF(X817="Not accepted",R817,IF(OR(X817="Accepted",X817="Withdrawn by hospital"),IF(X817="Accepted",0,R817),IF(ISNUMBER(Z817),R817-Z817,""))))</f>
        <v/>
      </c>
      <c r="AB817" s="23"/>
      <c r="AC817" s="25"/>
      <c r="AD817" s="23"/>
      <c r="AE817" s="23"/>
      <c r="AF817" s="24"/>
      <c r="AG817" s="23"/>
      <c r="AH817" s="24"/>
      <c r="AI817" s="29" t="str">
        <f aca="false">IF(X817="Not accepted","Maintained",IF(X817="Partially accepted","Partially maintained",IF(X817="Accepted","Reversed",IF(X817="Withdrawn by hospital","Withdrawn by hospital",""))))</f>
        <v/>
      </c>
      <c r="AJ817" s="28" t="str">
        <f aca="false">IF(AI817="","",W817)</f>
        <v/>
      </c>
      <c r="AK817" s="29" t="str">
        <f aca="false">IF(AND(ISNUMBER(T817),ISNUMBER(W817)),W817-T817,"")</f>
        <v/>
      </c>
      <c r="AL817" s="29" t="str">
        <f aca="false">IF(A817="","",SUMIF(Actions!$C$5:$C$1004,A817,Actions!$F$5:$F$1004))</f>
        <v/>
      </c>
      <c r="AM817" s="25"/>
    </row>
    <row r="818" customFormat="false" ht="15" hidden="false" customHeight="false" outlineLevel="0" collapsed="false">
      <c r="A818" s="23"/>
      <c r="B818" s="23"/>
      <c r="C818" s="23"/>
      <c r="D818" s="23"/>
      <c r="E818" s="23"/>
      <c r="F818" s="23"/>
      <c r="G818" s="23"/>
      <c r="H818" s="23"/>
      <c r="I818" s="23"/>
      <c r="J818" s="23"/>
      <c r="K818" s="24"/>
      <c r="L818" s="23"/>
      <c r="M818" s="25"/>
      <c r="N818" s="25"/>
      <c r="O818" s="23"/>
      <c r="P818" s="26"/>
      <c r="Q818" s="26"/>
      <c r="R818" s="27" t="str">
        <f aca="false">IF(AND(ISNUMBER(P818),ISNUMBER(Q818)),P818-Q818,"")</f>
        <v/>
      </c>
      <c r="S818" s="24"/>
      <c r="T818" s="28" t="str">
        <f aca="false">IF(S818&lt;&gt;"",S818,IF(B818="","",IFERROR(IF(INDEX(Batches!$G$5:$G$64,MATCH(B818,Batches!$A$5:$A$64,0))="","",INDEX(Batches!$G$5:$G$64,MATCH(B818,Batches!$A$5:$A$64,0))),"")))</f>
        <v/>
      </c>
      <c r="U818" s="23"/>
      <c r="V818" s="24"/>
      <c r="W818" s="28" t="str">
        <f aca="false">IF(OR(X818="",X818="Pending"),"",IF(V818&lt;&gt;"",V818,IFERROR(IF(INDEX(Batches!$H$5:$H$64,MATCH(B818,Batches!$A$5:$A$64,0))="","",INDEX(Batches!$H$5:$H$64,MATCH(B818,Batches!$A$5:$A$64,0))),"")))</f>
        <v/>
      </c>
      <c r="X818" s="23"/>
      <c r="Y818" s="23"/>
      <c r="Z818" s="26"/>
      <c r="AA818" s="27" t="str">
        <f aca="false">IF(R818="","",IF(X818="Not accepted",R818,IF(OR(X818="Accepted",X818="Withdrawn by hospital"),IF(X818="Accepted",0,R818),IF(ISNUMBER(Z818),R818-Z818,""))))</f>
        <v/>
      </c>
      <c r="AB818" s="23"/>
      <c r="AC818" s="25"/>
      <c r="AD818" s="23"/>
      <c r="AE818" s="23"/>
      <c r="AF818" s="24"/>
      <c r="AG818" s="23"/>
      <c r="AH818" s="24"/>
      <c r="AI818" s="29" t="str">
        <f aca="false">IF(X818="Not accepted","Maintained",IF(X818="Partially accepted","Partially maintained",IF(X818="Accepted","Reversed",IF(X818="Withdrawn by hospital","Withdrawn by hospital",""))))</f>
        <v/>
      </c>
      <c r="AJ818" s="28" t="str">
        <f aca="false">IF(AI818="","",W818)</f>
        <v/>
      </c>
      <c r="AK818" s="29" t="str">
        <f aca="false">IF(AND(ISNUMBER(T818),ISNUMBER(W818)),W818-T818,"")</f>
        <v/>
      </c>
      <c r="AL818" s="29" t="str">
        <f aca="false">IF(A818="","",SUMIF(Actions!$C$5:$C$1004,A818,Actions!$F$5:$F$1004))</f>
        <v/>
      </c>
      <c r="AM818" s="25"/>
    </row>
    <row r="819" customFormat="false" ht="15" hidden="false" customHeight="false" outlineLevel="0" collapsed="false">
      <c r="A819" s="23"/>
      <c r="B819" s="23"/>
      <c r="C819" s="23"/>
      <c r="D819" s="23"/>
      <c r="E819" s="23"/>
      <c r="F819" s="23"/>
      <c r="G819" s="23"/>
      <c r="H819" s="23"/>
      <c r="I819" s="23"/>
      <c r="J819" s="23"/>
      <c r="K819" s="24"/>
      <c r="L819" s="23"/>
      <c r="M819" s="25"/>
      <c r="N819" s="25"/>
      <c r="O819" s="23"/>
      <c r="P819" s="26"/>
      <c r="Q819" s="26"/>
      <c r="R819" s="27" t="str">
        <f aca="false">IF(AND(ISNUMBER(P819),ISNUMBER(Q819)),P819-Q819,"")</f>
        <v/>
      </c>
      <c r="S819" s="24"/>
      <c r="T819" s="28" t="str">
        <f aca="false">IF(S819&lt;&gt;"",S819,IF(B819="","",IFERROR(IF(INDEX(Batches!$G$5:$G$64,MATCH(B819,Batches!$A$5:$A$64,0))="","",INDEX(Batches!$G$5:$G$64,MATCH(B819,Batches!$A$5:$A$64,0))),"")))</f>
        <v/>
      </c>
      <c r="U819" s="23"/>
      <c r="V819" s="24"/>
      <c r="W819" s="28" t="str">
        <f aca="false">IF(OR(X819="",X819="Pending"),"",IF(V819&lt;&gt;"",V819,IFERROR(IF(INDEX(Batches!$H$5:$H$64,MATCH(B819,Batches!$A$5:$A$64,0))="","",INDEX(Batches!$H$5:$H$64,MATCH(B819,Batches!$A$5:$A$64,0))),"")))</f>
        <v/>
      </c>
      <c r="X819" s="23"/>
      <c r="Y819" s="23"/>
      <c r="Z819" s="26"/>
      <c r="AA819" s="27" t="str">
        <f aca="false">IF(R819="","",IF(X819="Not accepted",R819,IF(OR(X819="Accepted",X819="Withdrawn by hospital"),IF(X819="Accepted",0,R819),IF(ISNUMBER(Z819),R819-Z819,""))))</f>
        <v/>
      </c>
      <c r="AB819" s="23"/>
      <c r="AC819" s="25"/>
      <c r="AD819" s="23"/>
      <c r="AE819" s="23"/>
      <c r="AF819" s="24"/>
      <c r="AG819" s="23"/>
      <c r="AH819" s="24"/>
      <c r="AI819" s="29" t="str">
        <f aca="false">IF(X819="Not accepted","Maintained",IF(X819="Partially accepted","Partially maintained",IF(X819="Accepted","Reversed",IF(X819="Withdrawn by hospital","Withdrawn by hospital",""))))</f>
        <v/>
      </c>
      <c r="AJ819" s="28" t="str">
        <f aca="false">IF(AI819="","",W819)</f>
        <v/>
      </c>
      <c r="AK819" s="29" t="str">
        <f aca="false">IF(AND(ISNUMBER(T819),ISNUMBER(W819)),W819-T819,"")</f>
        <v/>
      </c>
      <c r="AL819" s="29" t="str">
        <f aca="false">IF(A819="","",SUMIF(Actions!$C$5:$C$1004,A819,Actions!$F$5:$F$1004))</f>
        <v/>
      </c>
      <c r="AM819" s="25"/>
    </row>
    <row r="820" customFormat="false" ht="15" hidden="false" customHeight="false" outlineLevel="0" collapsed="false">
      <c r="A820" s="23"/>
      <c r="B820" s="23"/>
      <c r="C820" s="23"/>
      <c r="D820" s="23"/>
      <c r="E820" s="23"/>
      <c r="F820" s="23"/>
      <c r="G820" s="23"/>
      <c r="H820" s="23"/>
      <c r="I820" s="23"/>
      <c r="J820" s="23"/>
      <c r="K820" s="24"/>
      <c r="L820" s="23"/>
      <c r="M820" s="25"/>
      <c r="N820" s="25"/>
      <c r="O820" s="23"/>
      <c r="P820" s="26"/>
      <c r="Q820" s="26"/>
      <c r="R820" s="27" t="str">
        <f aca="false">IF(AND(ISNUMBER(P820),ISNUMBER(Q820)),P820-Q820,"")</f>
        <v/>
      </c>
      <c r="S820" s="24"/>
      <c r="T820" s="28" t="str">
        <f aca="false">IF(S820&lt;&gt;"",S820,IF(B820="","",IFERROR(IF(INDEX(Batches!$G$5:$G$64,MATCH(B820,Batches!$A$5:$A$64,0))="","",INDEX(Batches!$G$5:$G$64,MATCH(B820,Batches!$A$5:$A$64,0))),"")))</f>
        <v/>
      </c>
      <c r="U820" s="23"/>
      <c r="V820" s="24"/>
      <c r="W820" s="28" t="str">
        <f aca="false">IF(OR(X820="",X820="Pending"),"",IF(V820&lt;&gt;"",V820,IFERROR(IF(INDEX(Batches!$H$5:$H$64,MATCH(B820,Batches!$A$5:$A$64,0))="","",INDEX(Batches!$H$5:$H$64,MATCH(B820,Batches!$A$5:$A$64,0))),"")))</f>
        <v/>
      </c>
      <c r="X820" s="23"/>
      <c r="Y820" s="23"/>
      <c r="Z820" s="26"/>
      <c r="AA820" s="27" t="str">
        <f aca="false">IF(R820="","",IF(X820="Not accepted",R820,IF(OR(X820="Accepted",X820="Withdrawn by hospital"),IF(X820="Accepted",0,R820),IF(ISNUMBER(Z820),R820-Z820,""))))</f>
        <v/>
      </c>
      <c r="AB820" s="23"/>
      <c r="AC820" s="25"/>
      <c r="AD820" s="23"/>
      <c r="AE820" s="23"/>
      <c r="AF820" s="24"/>
      <c r="AG820" s="23"/>
      <c r="AH820" s="24"/>
      <c r="AI820" s="29" t="str">
        <f aca="false">IF(X820="Not accepted","Maintained",IF(X820="Partially accepted","Partially maintained",IF(X820="Accepted","Reversed",IF(X820="Withdrawn by hospital","Withdrawn by hospital",""))))</f>
        <v/>
      </c>
      <c r="AJ820" s="28" t="str">
        <f aca="false">IF(AI820="","",W820)</f>
        <v/>
      </c>
      <c r="AK820" s="29" t="str">
        <f aca="false">IF(AND(ISNUMBER(T820),ISNUMBER(W820)),W820-T820,"")</f>
        <v/>
      </c>
      <c r="AL820" s="29" t="str">
        <f aca="false">IF(A820="","",SUMIF(Actions!$C$5:$C$1004,A820,Actions!$F$5:$F$1004))</f>
        <v/>
      </c>
      <c r="AM820" s="25"/>
    </row>
    <row r="821" customFormat="false" ht="15" hidden="false" customHeight="false" outlineLevel="0" collapsed="false">
      <c r="A821" s="23"/>
      <c r="B821" s="23"/>
      <c r="C821" s="23"/>
      <c r="D821" s="23"/>
      <c r="E821" s="23"/>
      <c r="F821" s="23"/>
      <c r="G821" s="23"/>
      <c r="H821" s="23"/>
      <c r="I821" s="23"/>
      <c r="J821" s="23"/>
      <c r="K821" s="24"/>
      <c r="L821" s="23"/>
      <c r="M821" s="25"/>
      <c r="N821" s="25"/>
      <c r="O821" s="23"/>
      <c r="P821" s="26"/>
      <c r="Q821" s="26"/>
      <c r="R821" s="27" t="str">
        <f aca="false">IF(AND(ISNUMBER(P821),ISNUMBER(Q821)),P821-Q821,"")</f>
        <v/>
      </c>
      <c r="S821" s="24"/>
      <c r="T821" s="28" t="str">
        <f aca="false">IF(S821&lt;&gt;"",S821,IF(B821="","",IFERROR(IF(INDEX(Batches!$G$5:$G$64,MATCH(B821,Batches!$A$5:$A$64,0))="","",INDEX(Batches!$G$5:$G$64,MATCH(B821,Batches!$A$5:$A$64,0))),"")))</f>
        <v/>
      </c>
      <c r="U821" s="23"/>
      <c r="V821" s="24"/>
      <c r="W821" s="28" t="str">
        <f aca="false">IF(OR(X821="",X821="Pending"),"",IF(V821&lt;&gt;"",V821,IFERROR(IF(INDEX(Batches!$H$5:$H$64,MATCH(B821,Batches!$A$5:$A$64,0))="","",INDEX(Batches!$H$5:$H$64,MATCH(B821,Batches!$A$5:$A$64,0))),"")))</f>
        <v/>
      </c>
      <c r="X821" s="23"/>
      <c r="Y821" s="23"/>
      <c r="Z821" s="26"/>
      <c r="AA821" s="27" t="str">
        <f aca="false">IF(R821="","",IF(X821="Not accepted",R821,IF(OR(X821="Accepted",X821="Withdrawn by hospital"),IF(X821="Accepted",0,R821),IF(ISNUMBER(Z821),R821-Z821,""))))</f>
        <v/>
      </c>
      <c r="AB821" s="23"/>
      <c r="AC821" s="25"/>
      <c r="AD821" s="23"/>
      <c r="AE821" s="23"/>
      <c r="AF821" s="24"/>
      <c r="AG821" s="23"/>
      <c r="AH821" s="24"/>
      <c r="AI821" s="29" t="str">
        <f aca="false">IF(X821="Not accepted","Maintained",IF(X821="Partially accepted","Partially maintained",IF(X821="Accepted","Reversed",IF(X821="Withdrawn by hospital","Withdrawn by hospital",""))))</f>
        <v/>
      </c>
      <c r="AJ821" s="28" t="str">
        <f aca="false">IF(AI821="","",W821)</f>
        <v/>
      </c>
      <c r="AK821" s="29" t="str">
        <f aca="false">IF(AND(ISNUMBER(T821),ISNUMBER(W821)),W821-T821,"")</f>
        <v/>
      </c>
      <c r="AL821" s="29" t="str">
        <f aca="false">IF(A821="","",SUMIF(Actions!$C$5:$C$1004,A821,Actions!$F$5:$F$1004))</f>
        <v/>
      </c>
      <c r="AM821" s="25"/>
    </row>
    <row r="822" customFormat="false" ht="15" hidden="false" customHeight="false" outlineLevel="0" collapsed="false">
      <c r="A822" s="23"/>
      <c r="B822" s="23"/>
      <c r="C822" s="23"/>
      <c r="D822" s="23"/>
      <c r="E822" s="23"/>
      <c r="F822" s="23"/>
      <c r="G822" s="23"/>
      <c r="H822" s="23"/>
      <c r="I822" s="23"/>
      <c r="J822" s="23"/>
      <c r="K822" s="24"/>
      <c r="L822" s="23"/>
      <c r="M822" s="25"/>
      <c r="N822" s="25"/>
      <c r="O822" s="23"/>
      <c r="P822" s="26"/>
      <c r="Q822" s="26"/>
      <c r="R822" s="27" t="str">
        <f aca="false">IF(AND(ISNUMBER(P822),ISNUMBER(Q822)),P822-Q822,"")</f>
        <v/>
      </c>
      <c r="S822" s="24"/>
      <c r="T822" s="28" t="str">
        <f aca="false">IF(S822&lt;&gt;"",S822,IF(B822="","",IFERROR(IF(INDEX(Batches!$G$5:$G$64,MATCH(B822,Batches!$A$5:$A$64,0))="","",INDEX(Batches!$G$5:$G$64,MATCH(B822,Batches!$A$5:$A$64,0))),"")))</f>
        <v/>
      </c>
      <c r="U822" s="23"/>
      <c r="V822" s="24"/>
      <c r="W822" s="28" t="str">
        <f aca="false">IF(OR(X822="",X822="Pending"),"",IF(V822&lt;&gt;"",V822,IFERROR(IF(INDEX(Batches!$H$5:$H$64,MATCH(B822,Batches!$A$5:$A$64,0))="","",INDEX(Batches!$H$5:$H$64,MATCH(B822,Batches!$A$5:$A$64,0))),"")))</f>
        <v/>
      </c>
      <c r="X822" s="23"/>
      <c r="Y822" s="23"/>
      <c r="Z822" s="26"/>
      <c r="AA822" s="27" t="str">
        <f aca="false">IF(R822="","",IF(X822="Not accepted",R822,IF(OR(X822="Accepted",X822="Withdrawn by hospital"),IF(X822="Accepted",0,R822),IF(ISNUMBER(Z822),R822-Z822,""))))</f>
        <v/>
      </c>
      <c r="AB822" s="23"/>
      <c r="AC822" s="25"/>
      <c r="AD822" s="23"/>
      <c r="AE822" s="23"/>
      <c r="AF822" s="24"/>
      <c r="AG822" s="23"/>
      <c r="AH822" s="24"/>
      <c r="AI822" s="29" t="str">
        <f aca="false">IF(X822="Not accepted","Maintained",IF(X822="Partially accepted","Partially maintained",IF(X822="Accepted","Reversed",IF(X822="Withdrawn by hospital","Withdrawn by hospital",""))))</f>
        <v/>
      </c>
      <c r="AJ822" s="28" t="str">
        <f aca="false">IF(AI822="","",W822)</f>
        <v/>
      </c>
      <c r="AK822" s="29" t="str">
        <f aca="false">IF(AND(ISNUMBER(T822),ISNUMBER(W822)),W822-T822,"")</f>
        <v/>
      </c>
      <c r="AL822" s="29" t="str">
        <f aca="false">IF(A822="","",SUMIF(Actions!$C$5:$C$1004,A822,Actions!$F$5:$F$1004))</f>
        <v/>
      </c>
      <c r="AM822" s="25"/>
    </row>
    <row r="823" customFormat="false" ht="15" hidden="false" customHeight="false" outlineLevel="0" collapsed="false">
      <c r="A823" s="23"/>
      <c r="B823" s="23"/>
      <c r="C823" s="23"/>
      <c r="D823" s="23"/>
      <c r="E823" s="23"/>
      <c r="F823" s="23"/>
      <c r="G823" s="23"/>
      <c r="H823" s="23"/>
      <c r="I823" s="23"/>
      <c r="J823" s="23"/>
      <c r="K823" s="24"/>
      <c r="L823" s="23"/>
      <c r="M823" s="25"/>
      <c r="N823" s="25"/>
      <c r="O823" s="23"/>
      <c r="P823" s="26"/>
      <c r="Q823" s="26"/>
      <c r="R823" s="27" t="str">
        <f aca="false">IF(AND(ISNUMBER(P823),ISNUMBER(Q823)),P823-Q823,"")</f>
        <v/>
      </c>
      <c r="S823" s="24"/>
      <c r="T823" s="28" t="str">
        <f aca="false">IF(S823&lt;&gt;"",S823,IF(B823="","",IFERROR(IF(INDEX(Batches!$G$5:$G$64,MATCH(B823,Batches!$A$5:$A$64,0))="","",INDEX(Batches!$G$5:$G$64,MATCH(B823,Batches!$A$5:$A$64,0))),"")))</f>
        <v/>
      </c>
      <c r="U823" s="23"/>
      <c r="V823" s="24"/>
      <c r="W823" s="28" t="str">
        <f aca="false">IF(OR(X823="",X823="Pending"),"",IF(V823&lt;&gt;"",V823,IFERROR(IF(INDEX(Batches!$H$5:$H$64,MATCH(B823,Batches!$A$5:$A$64,0))="","",INDEX(Batches!$H$5:$H$64,MATCH(B823,Batches!$A$5:$A$64,0))),"")))</f>
        <v/>
      </c>
      <c r="X823" s="23"/>
      <c r="Y823" s="23"/>
      <c r="Z823" s="26"/>
      <c r="AA823" s="27" t="str">
        <f aca="false">IF(R823="","",IF(X823="Not accepted",R823,IF(OR(X823="Accepted",X823="Withdrawn by hospital"),IF(X823="Accepted",0,R823),IF(ISNUMBER(Z823),R823-Z823,""))))</f>
        <v/>
      </c>
      <c r="AB823" s="23"/>
      <c r="AC823" s="25"/>
      <c r="AD823" s="23"/>
      <c r="AE823" s="23"/>
      <c r="AF823" s="24"/>
      <c r="AG823" s="23"/>
      <c r="AH823" s="24"/>
      <c r="AI823" s="29" t="str">
        <f aca="false">IF(X823="Not accepted","Maintained",IF(X823="Partially accepted","Partially maintained",IF(X823="Accepted","Reversed",IF(X823="Withdrawn by hospital","Withdrawn by hospital",""))))</f>
        <v/>
      </c>
      <c r="AJ823" s="28" t="str">
        <f aca="false">IF(AI823="","",W823)</f>
        <v/>
      </c>
      <c r="AK823" s="29" t="str">
        <f aca="false">IF(AND(ISNUMBER(T823),ISNUMBER(W823)),W823-T823,"")</f>
        <v/>
      </c>
      <c r="AL823" s="29" t="str">
        <f aca="false">IF(A823="","",SUMIF(Actions!$C$5:$C$1004,A823,Actions!$F$5:$F$1004))</f>
        <v/>
      </c>
      <c r="AM823" s="25"/>
    </row>
    <row r="824" customFormat="false" ht="15" hidden="false" customHeight="false" outlineLevel="0" collapsed="false">
      <c r="A824" s="23"/>
      <c r="B824" s="23"/>
      <c r="C824" s="23"/>
      <c r="D824" s="23"/>
      <c r="E824" s="23"/>
      <c r="F824" s="23"/>
      <c r="G824" s="23"/>
      <c r="H824" s="23"/>
      <c r="I824" s="23"/>
      <c r="J824" s="23"/>
      <c r="K824" s="24"/>
      <c r="L824" s="23"/>
      <c r="M824" s="25"/>
      <c r="N824" s="25"/>
      <c r="O824" s="23"/>
      <c r="P824" s="26"/>
      <c r="Q824" s="26"/>
      <c r="R824" s="27" t="str">
        <f aca="false">IF(AND(ISNUMBER(P824),ISNUMBER(Q824)),P824-Q824,"")</f>
        <v/>
      </c>
      <c r="S824" s="24"/>
      <c r="T824" s="28" t="str">
        <f aca="false">IF(S824&lt;&gt;"",S824,IF(B824="","",IFERROR(IF(INDEX(Batches!$G$5:$G$64,MATCH(B824,Batches!$A$5:$A$64,0))="","",INDEX(Batches!$G$5:$G$64,MATCH(B824,Batches!$A$5:$A$64,0))),"")))</f>
        <v/>
      </c>
      <c r="U824" s="23"/>
      <c r="V824" s="24"/>
      <c r="W824" s="28" t="str">
        <f aca="false">IF(OR(X824="",X824="Pending"),"",IF(V824&lt;&gt;"",V824,IFERROR(IF(INDEX(Batches!$H$5:$H$64,MATCH(B824,Batches!$A$5:$A$64,0))="","",INDEX(Batches!$H$5:$H$64,MATCH(B824,Batches!$A$5:$A$64,0))),"")))</f>
        <v/>
      </c>
      <c r="X824" s="23"/>
      <c r="Y824" s="23"/>
      <c r="Z824" s="26"/>
      <c r="AA824" s="27" t="str">
        <f aca="false">IF(R824="","",IF(X824="Not accepted",R824,IF(OR(X824="Accepted",X824="Withdrawn by hospital"),IF(X824="Accepted",0,R824),IF(ISNUMBER(Z824),R824-Z824,""))))</f>
        <v/>
      </c>
      <c r="AB824" s="23"/>
      <c r="AC824" s="25"/>
      <c r="AD824" s="23"/>
      <c r="AE824" s="23"/>
      <c r="AF824" s="24"/>
      <c r="AG824" s="23"/>
      <c r="AH824" s="24"/>
      <c r="AI824" s="29" t="str">
        <f aca="false">IF(X824="Not accepted","Maintained",IF(X824="Partially accepted","Partially maintained",IF(X824="Accepted","Reversed",IF(X824="Withdrawn by hospital","Withdrawn by hospital",""))))</f>
        <v/>
      </c>
      <c r="AJ824" s="28" t="str">
        <f aca="false">IF(AI824="","",W824)</f>
        <v/>
      </c>
      <c r="AK824" s="29" t="str">
        <f aca="false">IF(AND(ISNUMBER(T824),ISNUMBER(W824)),W824-T824,"")</f>
        <v/>
      </c>
      <c r="AL824" s="29" t="str">
        <f aca="false">IF(A824="","",SUMIF(Actions!$C$5:$C$1004,A824,Actions!$F$5:$F$1004))</f>
        <v/>
      </c>
      <c r="AM824" s="25"/>
    </row>
    <row r="825" customFormat="false" ht="15" hidden="false" customHeight="false" outlineLevel="0" collapsed="false">
      <c r="A825" s="23"/>
      <c r="B825" s="23"/>
      <c r="C825" s="23"/>
      <c r="D825" s="23"/>
      <c r="E825" s="23"/>
      <c r="F825" s="23"/>
      <c r="G825" s="23"/>
      <c r="H825" s="23"/>
      <c r="I825" s="23"/>
      <c r="J825" s="23"/>
      <c r="K825" s="24"/>
      <c r="L825" s="23"/>
      <c r="M825" s="25"/>
      <c r="N825" s="25"/>
      <c r="O825" s="23"/>
      <c r="P825" s="26"/>
      <c r="Q825" s="26"/>
      <c r="R825" s="27" t="str">
        <f aca="false">IF(AND(ISNUMBER(P825),ISNUMBER(Q825)),P825-Q825,"")</f>
        <v/>
      </c>
      <c r="S825" s="24"/>
      <c r="T825" s="28" t="str">
        <f aca="false">IF(S825&lt;&gt;"",S825,IF(B825="","",IFERROR(IF(INDEX(Batches!$G$5:$G$64,MATCH(B825,Batches!$A$5:$A$64,0))="","",INDEX(Batches!$G$5:$G$64,MATCH(B825,Batches!$A$5:$A$64,0))),"")))</f>
        <v/>
      </c>
      <c r="U825" s="23"/>
      <c r="V825" s="24"/>
      <c r="W825" s="28" t="str">
        <f aca="false">IF(OR(X825="",X825="Pending"),"",IF(V825&lt;&gt;"",V825,IFERROR(IF(INDEX(Batches!$H$5:$H$64,MATCH(B825,Batches!$A$5:$A$64,0))="","",INDEX(Batches!$H$5:$H$64,MATCH(B825,Batches!$A$5:$A$64,0))),"")))</f>
        <v/>
      </c>
      <c r="X825" s="23"/>
      <c r="Y825" s="23"/>
      <c r="Z825" s="26"/>
      <c r="AA825" s="27" t="str">
        <f aca="false">IF(R825="","",IF(X825="Not accepted",R825,IF(OR(X825="Accepted",X825="Withdrawn by hospital"),IF(X825="Accepted",0,R825),IF(ISNUMBER(Z825),R825-Z825,""))))</f>
        <v/>
      </c>
      <c r="AB825" s="23"/>
      <c r="AC825" s="25"/>
      <c r="AD825" s="23"/>
      <c r="AE825" s="23"/>
      <c r="AF825" s="24"/>
      <c r="AG825" s="23"/>
      <c r="AH825" s="24"/>
      <c r="AI825" s="29" t="str">
        <f aca="false">IF(X825="Not accepted","Maintained",IF(X825="Partially accepted","Partially maintained",IF(X825="Accepted","Reversed",IF(X825="Withdrawn by hospital","Withdrawn by hospital",""))))</f>
        <v/>
      </c>
      <c r="AJ825" s="28" t="str">
        <f aca="false">IF(AI825="","",W825)</f>
        <v/>
      </c>
      <c r="AK825" s="29" t="str">
        <f aca="false">IF(AND(ISNUMBER(T825),ISNUMBER(W825)),W825-T825,"")</f>
        <v/>
      </c>
      <c r="AL825" s="29" t="str">
        <f aca="false">IF(A825="","",SUMIF(Actions!$C$5:$C$1004,A825,Actions!$F$5:$F$1004))</f>
        <v/>
      </c>
      <c r="AM825" s="25"/>
    </row>
    <row r="826" customFormat="false" ht="15" hidden="false" customHeight="false" outlineLevel="0" collapsed="false">
      <c r="A826" s="23"/>
      <c r="B826" s="23"/>
      <c r="C826" s="23"/>
      <c r="D826" s="23"/>
      <c r="E826" s="23"/>
      <c r="F826" s="23"/>
      <c r="G826" s="23"/>
      <c r="H826" s="23"/>
      <c r="I826" s="23"/>
      <c r="J826" s="23"/>
      <c r="K826" s="24"/>
      <c r="L826" s="23"/>
      <c r="M826" s="25"/>
      <c r="N826" s="25"/>
      <c r="O826" s="23"/>
      <c r="P826" s="26"/>
      <c r="Q826" s="26"/>
      <c r="R826" s="27" t="str">
        <f aca="false">IF(AND(ISNUMBER(P826),ISNUMBER(Q826)),P826-Q826,"")</f>
        <v/>
      </c>
      <c r="S826" s="24"/>
      <c r="T826" s="28" t="str">
        <f aca="false">IF(S826&lt;&gt;"",S826,IF(B826="","",IFERROR(IF(INDEX(Batches!$G$5:$G$64,MATCH(B826,Batches!$A$5:$A$64,0))="","",INDEX(Batches!$G$5:$G$64,MATCH(B826,Batches!$A$5:$A$64,0))),"")))</f>
        <v/>
      </c>
      <c r="U826" s="23"/>
      <c r="V826" s="24"/>
      <c r="W826" s="28" t="str">
        <f aca="false">IF(OR(X826="",X826="Pending"),"",IF(V826&lt;&gt;"",V826,IFERROR(IF(INDEX(Batches!$H$5:$H$64,MATCH(B826,Batches!$A$5:$A$64,0))="","",INDEX(Batches!$H$5:$H$64,MATCH(B826,Batches!$A$5:$A$64,0))),"")))</f>
        <v/>
      </c>
      <c r="X826" s="23"/>
      <c r="Y826" s="23"/>
      <c r="Z826" s="26"/>
      <c r="AA826" s="27" t="str">
        <f aca="false">IF(R826="","",IF(X826="Not accepted",R826,IF(OR(X826="Accepted",X826="Withdrawn by hospital"),IF(X826="Accepted",0,R826),IF(ISNUMBER(Z826),R826-Z826,""))))</f>
        <v/>
      </c>
      <c r="AB826" s="23"/>
      <c r="AC826" s="25"/>
      <c r="AD826" s="23"/>
      <c r="AE826" s="23"/>
      <c r="AF826" s="24"/>
      <c r="AG826" s="23"/>
      <c r="AH826" s="24"/>
      <c r="AI826" s="29" t="str">
        <f aca="false">IF(X826="Not accepted","Maintained",IF(X826="Partially accepted","Partially maintained",IF(X826="Accepted","Reversed",IF(X826="Withdrawn by hospital","Withdrawn by hospital",""))))</f>
        <v/>
      </c>
      <c r="AJ826" s="28" t="str">
        <f aca="false">IF(AI826="","",W826)</f>
        <v/>
      </c>
      <c r="AK826" s="29" t="str">
        <f aca="false">IF(AND(ISNUMBER(T826),ISNUMBER(W826)),W826-T826,"")</f>
        <v/>
      </c>
      <c r="AL826" s="29" t="str">
        <f aca="false">IF(A826="","",SUMIF(Actions!$C$5:$C$1004,A826,Actions!$F$5:$F$1004))</f>
        <v/>
      </c>
      <c r="AM826" s="25"/>
    </row>
    <row r="827" customFormat="false" ht="15" hidden="false" customHeight="false" outlineLevel="0" collapsed="false">
      <c r="A827" s="23"/>
      <c r="B827" s="23"/>
      <c r="C827" s="23"/>
      <c r="D827" s="23"/>
      <c r="E827" s="23"/>
      <c r="F827" s="23"/>
      <c r="G827" s="23"/>
      <c r="H827" s="23"/>
      <c r="I827" s="23"/>
      <c r="J827" s="23"/>
      <c r="K827" s="24"/>
      <c r="L827" s="23"/>
      <c r="M827" s="25"/>
      <c r="N827" s="25"/>
      <c r="O827" s="23"/>
      <c r="P827" s="26"/>
      <c r="Q827" s="26"/>
      <c r="R827" s="27" t="str">
        <f aca="false">IF(AND(ISNUMBER(P827),ISNUMBER(Q827)),P827-Q827,"")</f>
        <v/>
      </c>
      <c r="S827" s="24"/>
      <c r="T827" s="28" t="str">
        <f aca="false">IF(S827&lt;&gt;"",S827,IF(B827="","",IFERROR(IF(INDEX(Batches!$G$5:$G$64,MATCH(B827,Batches!$A$5:$A$64,0))="","",INDEX(Batches!$G$5:$G$64,MATCH(B827,Batches!$A$5:$A$64,0))),"")))</f>
        <v/>
      </c>
      <c r="U827" s="23"/>
      <c r="V827" s="24"/>
      <c r="W827" s="28" t="str">
        <f aca="false">IF(OR(X827="",X827="Pending"),"",IF(V827&lt;&gt;"",V827,IFERROR(IF(INDEX(Batches!$H$5:$H$64,MATCH(B827,Batches!$A$5:$A$64,0))="","",INDEX(Batches!$H$5:$H$64,MATCH(B827,Batches!$A$5:$A$64,0))),"")))</f>
        <v/>
      </c>
      <c r="X827" s="23"/>
      <c r="Y827" s="23"/>
      <c r="Z827" s="26"/>
      <c r="AA827" s="27" t="str">
        <f aca="false">IF(R827="","",IF(X827="Not accepted",R827,IF(OR(X827="Accepted",X827="Withdrawn by hospital"),IF(X827="Accepted",0,R827),IF(ISNUMBER(Z827),R827-Z827,""))))</f>
        <v/>
      </c>
      <c r="AB827" s="23"/>
      <c r="AC827" s="25"/>
      <c r="AD827" s="23"/>
      <c r="AE827" s="23"/>
      <c r="AF827" s="24"/>
      <c r="AG827" s="23"/>
      <c r="AH827" s="24"/>
      <c r="AI827" s="29" t="str">
        <f aca="false">IF(X827="Not accepted","Maintained",IF(X827="Partially accepted","Partially maintained",IF(X827="Accepted","Reversed",IF(X827="Withdrawn by hospital","Withdrawn by hospital",""))))</f>
        <v/>
      </c>
      <c r="AJ827" s="28" t="str">
        <f aca="false">IF(AI827="","",W827)</f>
        <v/>
      </c>
      <c r="AK827" s="29" t="str">
        <f aca="false">IF(AND(ISNUMBER(T827),ISNUMBER(W827)),W827-T827,"")</f>
        <v/>
      </c>
      <c r="AL827" s="29" t="str">
        <f aca="false">IF(A827="","",SUMIF(Actions!$C$5:$C$1004,A827,Actions!$F$5:$F$1004))</f>
        <v/>
      </c>
      <c r="AM827" s="25"/>
    </row>
    <row r="828" customFormat="false" ht="15" hidden="false" customHeight="false" outlineLevel="0" collapsed="false">
      <c r="A828" s="23"/>
      <c r="B828" s="23"/>
      <c r="C828" s="23"/>
      <c r="D828" s="23"/>
      <c r="E828" s="23"/>
      <c r="F828" s="23"/>
      <c r="G828" s="23"/>
      <c r="H828" s="23"/>
      <c r="I828" s="23"/>
      <c r="J828" s="23"/>
      <c r="K828" s="24"/>
      <c r="L828" s="23"/>
      <c r="M828" s="25"/>
      <c r="N828" s="25"/>
      <c r="O828" s="23"/>
      <c r="P828" s="26"/>
      <c r="Q828" s="26"/>
      <c r="R828" s="27" t="str">
        <f aca="false">IF(AND(ISNUMBER(P828),ISNUMBER(Q828)),P828-Q828,"")</f>
        <v/>
      </c>
      <c r="S828" s="24"/>
      <c r="T828" s="28" t="str">
        <f aca="false">IF(S828&lt;&gt;"",S828,IF(B828="","",IFERROR(IF(INDEX(Batches!$G$5:$G$64,MATCH(B828,Batches!$A$5:$A$64,0))="","",INDEX(Batches!$G$5:$G$64,MATCH(B828,Batches!$A$5:$A$64,0))),"")))</f>
        <v/>
      </c>
      <c r="U828" s="23"/>
      <c r="V828" s="24"/>
      <c r="W828" s="28" t="str">
        <f aca="false">IF(OR(X828="",X828="Pending"),"",IF(V828&lt;&gt;"",V828,IFERROR(IF(INDEX(Batches!$H$5:$H$64,MATCH(B828,Batches!$A$5:$A$64,0))="","",INDEX(Batches!$H$5:$H$64,MATCH(B828,Batches!$A$5:$A$64,0))),"")))</f>
        <v/>
      </c>
      <c r="X828" s="23"/>
      <c r="Y828" s="23"/>
      <c r="Z828" s="26"/>
      <c r="AA828" s="27" t="str">
        <f aca="false">IF(R828="","",IF(X828="Not accepted",R828,IF(OR(X828="Accepted",X828="Withdrawn by hospital"),IF(X828="Accepted",0,R828),IF(ISNUMBER(Z828),R828-Z828,""))))</f>
        <v/>
      </c>
      <c r="AB828" s="23"/>
      <c r="AC828" s="25"/>
      <c r="AD828" s="23"/>
      <c r="AE828" s="23"/>
      <c r="AF828" s="24"/>
      <c r="AG828" s="23"/>
      <c r="AH828" s="24"/>
      <c r="AI828" s="29" t="str">
        <f aca="false">IF(X828="Not accepted","Maintained",IF(X828="Partially accepted","Partially maintained",IF(X828="Accepted","Reversed",IF(X828="Withdrawn by hospital","Withdrawn by hospital",""))))</f>
        <v/>
      </c>
      <c r="AJ828" s="28" t="str">
        <f aca="false">IF(AI828="","",W828)</f>
        <v/>
      </c>
      <c r="AK828" s="29" t="str">
        <f aca="false">IF(AND(ISNUMBER(T828),ISNUMBER(W828)),W828-T828,"")</f>
        <v/>
      </c>
      <c r="AL828" s="29" t="str">
        <f aca="false">IF(A828="","",SUMIF(Actions!$C$5:$C$1004,A828,Actions!$F$5:$F$1004))</f>
        <v/>
      </c>
      <c r="AM828" s="25"/>
    </row>
    <row r="829" customFormat="false" ht="15" hidden="false" customHeight="false" outlineLevel="0" collapsed="false">
      <c r="A829" s="23"/>
      <c r="B829" s="23"/>
      <c r="C829" s="23"/>
      <c r="D829" s="23"/>
      <c r="E829" s="23"/>
      <c r="F829" s="23"/>
      <c r="G829" s="23"/>
      <c r="H829" s="23"/>
      <c r="I829" s="23"/>
      <c r="J829" s="23"/>
      <c r="K829" s="24"/>
      <c r="L829" s="23"/>
      <c r="M829" s="25"/>
      <c r="N829" s="25"/>
      <c r="O829" s="23"/>
      <c r="P829" s="26"/>
      <c r="Q829" s="26"/>
      <c r="R829" s="27" t="str">
        <f aca="false">IF(AND(ISNUMBER(P829),ISNUMBER(Q829)),P829-Q829,"")</f>
        <v/>
      </c>
      <c r="S829" s="24"/>
      <c r="T829" s="28" t="str">
        <f aca="false">IF(S829&lt;&gt;"",S829,IF(B829="","",IFERROR(IF(INDEX(Batches!$G$5:$G$64,MATCH(B829,Batches!$A$5:$A$64,0))="","",INDEX(Batches!$G$5:$G$64,MATCH(B829,Batches!$A$5:$A$64,0))),"")))</f>
        <v/>
      </c>
      <c r="U829" s="23"/>
      <c r="V829" s="24"/>
      <c r="W829" s="28" t="str">
        <f aca="false">IF(OR(X829="",X829="Pending"),"",IF(V829&lt;&gt;"",V829,IFERROR(IF(INDEX(Batches!$H$5:$H$64,MATCH(B829,Batches!$A$5:$A$64,0))="","",INDEX(Batches!$H$5:$H$64,MATCH(B829,Batches!$A$5:$A$64,0))),"")))</f>
        <v/>
      </c>
      <c r="X829" s="23"/>
      <c r="Y829" s="23"/>
      <c r="Z829" s="26"/>
      <c r="AA829" s="27" t="str">
        <f aca="false">IF(R829="","",IF(X829="Not accepted",R829,IF(OR(X829="Accepted",X829="Withdrawn by hospital"),IF(X829="Accepted",0,R829),IF(ISNUMBER(Z829),R829-Z829,""))))</f>
        <v/>
      </c>
      <c r="AB829" s="23"/>
      <c r="AC829" s="25"/>
      <c r="AD829" s="23"/>
      <c r="AE829" s="23"/>
      <c r="AF829" s="24"/>
      <c r="AG829" s="23"/>
      <c r="AH829" s="24"/>
      <c r="AI829" s="29" t="str">
        <f aca="false">IF(X829="Not accepted","Maintained",IF(X829="Partially accepted","Partially maintained",IF(X829="Accepted","Reversed",IF(X829="Withdrawn by hospital","Withdrawn by hospital",""))))</f>
        <v/>
      </c>
      <c r="AJ829" s="28" t="str">
        <f aca="false">IF(AI829="","",W829)</f>
        <v/>
      </c>
      <c r="AK829" s="29" t="str">
        <f aca="false">IF(AND(ISNUMBER(T829),ISNUMBER(W829)),W829-T829,"")</f>
        <v/>
      </c>
      <c r="AL829" s="29" t="str">
        <f aca="false">IF(A829="","",SUMIF(Actions!$C$5:$C$1004,A829,Actions!$F$5:$F$1004))</f>
        <v/>
      </c>
      <c r="AM829" s="25"/>
    </row>
    <row r="830" customFormat="false" ht="15" hidden="false" customHeight="false" outlineLevel="0" collapsed="false">
      <c r="A830" s="23"/>
      <c r="B830" s="23"/>
      <c r="C830" s="23"/>
      <c r="D830" s="23"/>
      <c r="E830" s="23"/>
      <c r="F830" s="23"/>
      <c r="G830" s="23"/>
      <c r="H830" s="23"/>
      <c r="I830" s="23"/>
      <c r="J830" s="23"/>
      <c r="K830" s="24"/>
      <c r="L830" s="23"/>
      <c r="M830" s="25"/>
      <c r="N830" s="25"/>
      <c r="O830" s="23"/>
      <c r="P830" s="26"/>
      <c r="Q830" s="26"/>
      <c r="R830" s="27" t="str">
        <f aca="false">IF(AND(ISNUMBER(P830),ISNUMBER(Q830)),P830-Q830,"")</f>
        <v/>
      </c>
      <c r="S830" s="24"/>
      <c r="T830" s="28" t="str">
        <f aca="false">IF(S830&lt;&gt;"",S830,IF(B830="","",IFERROR(IF(INDEX(Batches!$G$5:$G$64,MATCH(B830,Batches!$A$5:$A$64,0))="","",INDEX(Batches!$G$5:$G$64,MATCH(B830,Batches!$A$5:$A$64,0))),"")))</f>
        <v/>
      </c>
      <c r="U830" s="23"/>
      <c r="V830" s="24"/>
      <c r="W830" s="28" t="str">
        <f aca="false">IF(OR(X830="",X830="Pending"),"",IF(V830&lt;&gt;"",V830,IFERROR(IF(INDEX(Batches!$H$5:$H$64,MATCH(B830,Batches!$A$5:$A$64,0))="","",INDEX(Batches!$H$5:$H$64,MATCH(B830,Batches!$A$5:$A$64,0))),"")))</f>
        <v/>
      </c>
      <c r="X830" s="23"/>
      <c r="Y830" s="23"/>
      <c r="Z830" s="26"/>
      <c r="AA830" s="27" t="str">
        <f aca="false">IF(R830="","",IF(X830="Not accepted",R830,IF(OR(X830="Accepted",X830="Withdrawn by hospital"),IF(X830="Accepted",0,R830),IF(ISNUMBER(Z830),R830-Z830,""))))</f>
        <v/>
      </c>
      <c r="AB830" s="23"/>
      <c r="AC830" s="25"/>
      <c r="AD830" s="23"/>
      <c r="AE830" s="23"/>
      <c r="AF830" s="24"/>
      <c r="AG830" s="23"/>
      <c r="AH830" s="24"/>
      <c r="AI830" s="29" t="str">
        <f aca="false">IF(X830="Not accepted","Maintained",IF(X830="Partially accepted","Partially maintained",IF(X830="Accepted","Reversed",IF(X830="Withdrawn by hospital","Withdrawn by hospital",""))))</f>
        <v/>
      </c>
      <c r="AJ830" s="28" t="str">
        <f aca="false">IF(AI830="","",W830)</f>
        <v/>
      </c>
      <c r="AK830" s="29" t="str">
        <f aca="false">IF(AND(ISNUMBER(T830),ISNUMBER(W830)),W830-T830,"")</f>
        <v/>
      </c>
      <c r="AL830" s="29" t="str">
        <f aca="false">IF(A830="","",SUMIF(Actions!$C$5:$C$1004,A830,Actions!$F$5:$F$1004))</f>
        <v/>
      </c>
      <c r="AM830" s="25"/>
    </row>
    <row r="831" customFormat="false" ht="15" hidden="false" customHeight="false" outlineLevel="0" collapsed="false">
      <c r="A831" s="23"/>
      <c r="B831" s="23"/>
      <c r="C831" s="23"/>
      <c r="D831" s="23"/>
      <c r="E831" s="23"/>
      <c r="F831" s="23"/>
      <c r="G831" s="23"/>
      <c r="H831" s="23"/>
      <c r="I831" s="23"/>
      <c r="J831" s="23"/>
      <c r="K831" s="24"/>
      <c r="L831" s="23"/>
      <c r="M831" s="25"/>
      <c r="N831" s="25"/>
      <c r="O831" s="23"/>
      <c r="P831" s="26"/>
      <c r="Q831" s="26"/>
      <c r="R831" s="27" t="str">
        <f aca="false">IF(AND(ISNUMBER(P831),ISNUMBER(Q831)),P831-Q831,"")</f>
        <v/>
      </c>
      <c r="S831" s="24"/>
      <c r="T831" s="28" t="str">
        <f aca="false">IF(S831&lt;&gt;"",S831,IF(B831="","",IFERROR(IF(INDEX(Batches!$G$5:$G$64,MATCH(B831,Batches!$A$5:$A$64,0))="","",INDEX(Batches!$G$5:$G$64,MATCH(B831,Batches!$A$5:$A$64,0))),"")))</f>
        <v/>
      </c>
      <c r="U831" s="23"/>
      <c r="V831" s="24"/>
      <c r="W831" s="28" t="str">
        <f aca="false">IF(OR(X831="",X831="Pending"),"",IF(V831&lt;&gt;"",V831,IFERROR(IF(INDEX(Batches!$H$5:$H$64,MATCH(B831,Batches!$A$5:$A$64,0))="","",INDEX(Batches!$H$5:$H$64,MATCH(B831,Batches!$A$5:$A$64,0))),"")))</f>
        <v/>
      </c>
      <c r="X831" s="23"/>
      <c r="Y831" s="23"/>
      <c r="Z831" s="26"/>
      <c r="AA831" s="27" t="str">
        <f aca="false">IF(R831="","",IF(X831="Not accepted",R831,IF(OR(X831="Accepted",X831="Withdrawn by hospital"),IF(X831="Accepted",0,R831),IF(ISNUMBER(Z831),R831-Z831,""))))</f>
        <v/>
      </c>
      <c r="AB831" s="23"/>
      <c r="AC831" s="25"/>
      <c r="AD831" s="23"/>
      <c r="AE831" s="23"/>
      <c r="AF831" s="24"/>
      <c r="AG831" s="23"/>
      <c r="AH831" s="24"/>
      <c r="AI831" s="29" t="str">
        <f aca="false">IF(X831="Not accepted","Maintained",IF(X831="Partially accepted","Partially maintained",IF(X831="Accepted","Reversed",IF(X831="Withdrawn by hospital","Withdrawn by hospital",""))))</f>
        <v/>
      </c>
      <c r="AJ831" s="28" t="str">
        <f aca="false">IF(AI831="","",W831)</f>
        <v/>
      </c>
      <c r="AK831" s="29" t="str">
        <f aca="false">IF(AND(ISNUMBER(T831),ISNUMBER(W831)),W831-T831,"")</f>
        <v/>
      </c>
      <c r="AL831" s="29" t="str">
        <f aca="false">IF(A831="","",SUMIF(Actions!$C$5:$C$1004,A831,Actions!$F$5:$F$1004))</f>
        <v/>
      </c>
      <c r="AM831" s="25"/>
    </row>
    <row r="832" customFormat="false" ht="15" hidden="false" customHeight="false" outlineLevel="0" collapsed="false">
      <c r="A832" s="23"/>
      <c r="B832" s="23"/>
      <c r="C832" s="23"/>
      <c r="D832" s="23"/>
      <c r="E832" s="23"/>
      <c r="F832" s="23"/>
      <c r="G832" s="23"/>
      <c r="H832" s="23"/>
      <c r="I832" s="23"/>
      <c r="J832" s="23"/>
      <c r="K832" s="24"/>
      <c r="L832" s="23"/>
      <c r="M832" s="25"/>
      <c r="N832" s="25"/>
      <c r="O832" s="23"/>
      <c r="P832" s="26"/>
      <c r="Q832" s="26"/>
      <c r="R832" s="27" t="str">
        <f aca="false">IF(AND(ISNUMBER(P832),ISNUMBER(Q832)),P832-Q832,"")</f>
        <v/>
      </c>
      <c r="S832" s="24"/>
      <c r="T832" s="28" t="str">
        <f aca="false">IF(S832&lt;&gt;"",S832,IF(B832="","",IFERROR(IF(INDEX(Batches!$G$5:$G$64,MATCH(B832,Batches!$A$5:$A$64,0))="","",INDEX(Batches!$G$5:$G$64,MATCH(B832,Batches!$A$5:$A$64,0))),"")))</f>
        <v/>
      </c>
      <c r="U832" s="23"/>
      <c r="V832" s="24"/>
      <c r="W832" s="28" t="str">
        <f aca="false">IF(OR(X832="",X832="Pending"),"",IF(V832&lt;&gt;"",V832,IFERROR(IF(INDEX(Batches!$H$5:$H$64,MATCH(B832,Batches!$A$5:$A$64,0))="","",INDEX(Batches!$H$5:$H$64,MATCH(B832,Batches!$A$5:$A$64,0))),"")))</f>
        <v/>
      </c>
      <c r="X832" s="23"/>
      <c r="Y832" s="23"/>
      <c r="Z832" s="26"/>
      <c r="AA832" s="27" t="str">
        <f aca="false">IF(R832="","",IF(X832="Not accepted",R832,IF(OR(X832="Accepted",X832="Withdrawn by hospital"),IF(X832="Accepted",0,R832),IF(ISNUMBER(Z832),R832-Z832,""))))</f>
        <v/>
      </c>
      <c r="AB832" s="23"/>
      <c r="AC832" s="25"/>
      <c r="AD832" s="23"/>
      <c r="AE832" s="23"/>
      <c r="AF832" s="24"/>
      <c r="AG832" s="23"/>
      <c r="AH832" s="24"/>
      <c r="AI832" s="29" t="str">
        <f aca="false">IF(X832="Not accepted","Maintained",IF(X832="Partially accepted","Partially maintained",IF(X832="Accepted","Reversed",IF(X832="Withdrawn by hospital","Withdrawn by hospital",""))))</f>
        <v/>
      </c>
      <c r="AJ832" s="28" t="str">
        <f aca="false">IF(AI832="","",W832)</f>
        <v/>
      </c>
      <c r="AK832" s="29" t="str">
        <f aca="false">IF(AND(ISNUMBER(T832),ISNUMBER(W832)),W832-T832,"")</f>
        <v/>
      </c>
      <c r="AL832" s="29" t="str">
        <f aca="false">IF(A832="","",SUMIF(Actions!$C$5:$C$1004,A832,Actions!$F$5:$F$1004))</f>
        <v/>
      </c>
      <c r="AM832" s="25"/>
    </row>
    <row r="833" customFormat="false" ht="15" hidden="false" customHeight="false" outlineLevel="0" collapsed="false">
      <c r="A833" s="23"/>
      <c r="B833" s="23"/>
      <c r="C833" s="23"/>
      <c r="D833" s="23"/>
      <c r="E833" s="23"/>
      <c r="F833" s="23"/>
      <c r="G833" s="23"/>
      <c r="H833" s="23"/>
      <c r="I833" s="23"/>
      <c r="J833" s="23"/>
      <c r="K833" s="24"/>
      <c r="L833" s="23"/>
      <c r="M833" s="25"/>
      <c r="N833" s="25"/>
      <c r="O833" s="23"/>
      <c r="P833" s="26"/>
      <c r="Q833" s="26"/>
      <c r="R833" s="27" t="str">
        <f aca="false">IF(AND(ISNUMBER(P833),ISNUMBER(Q833)),P833-Q833,"")</f>
        <v/>
      </c>
      <c r="S833" s="24"/>
      <c r="T833" s="28" t="str">
        <f aca="false">IF(S833&lt;&gt;"",S833,IF(B833="","",IFERROR(IF(INDEX(Batches!$G$5:$G$64,MATCH(B833,Batches!$A$5:$A$64,0))="","",INDEX(Batches!$G$5:$G$64,MATCH(B833,Batches!$A$5:$A$64,0))),"")))</f>
        <v/>
      </c>
      <c r="U833" s="23"/>
      <c r="V833" s="24"/>
      <c r="W833" s="28" t="str">
        <f aca="false">IF(OR(X833="",X833="Pending"),"",IF(V833&lt;&gt;"",V833,IFERROR(IF(INDEX(Batches!$H$5:$H$64,MATCH(B833,Batches!$A$5:$A$64,0))="","",INDEX(Batches!$H$5:$H$64,MATCH(B833,Batches!$A$5:$A$64,0))),"")))</f>
        <v/>
      </c>
      <c r="X833" s="23"/>
      <c r="Y833" s="23"/>
      <c r="Z833" s="26"/>
      <c r="AA833" s="27" t="str">
        <f aca="false">IF(R833="","",IF(X833="Not accepted",R833,IF(OR(X833="Accepted",X833="Withdrawn by hospital"),IF(X833="Accepted",0,R833),IF(ISNUMBER(Z833),R833-Z833,""))))</f>
        <v/>
      </c>
      <c r="AB833" s="23"/>
      <c r="AC833" s="25"/>
      <c r="AD833" s="23"/>
      <c r="AE833" s="23"/>
      <c r="AF833" s="24"/>
      <c r="AG833" s="23"/>
      <c r="AH833" s="24"/>
      <c r="AI833" s="29" t="str">
        <f aca="false">IF(X833="Not accepted","Maintained",IF(X833="Partially accepted","Partially maintained",IF(X833="Accepted","Reversed",IF(X833="Withdrawn by hospital","Withdrawn by hospital",""))))</f>
        <v/>
      </c>
      <c r="AJ833" s="28" t="str">
        <f aca="false">IF(AI833="","",W833)</f>
        <v/>
      </c>
      <c r="AK833" s="29" t="str">
        <f aca="false">IF(AND(ISNUMBER(T833),ISNUMBER(W833)),W833-T833,"")</f>
        <v/>
      </c>
      <c r="AL833" s="29" t="str">
        <f aca="false">IF(A833="","",SUMIF(Actions!$C$5:$C$1004,A833,Actions!$F$5:$F$1004))</f>
        <v/>
      </c>
      <c r="AM833" s="25"/>
    </row>
    <row r="834" customFormat="false" ht="15" hidden="false" customHeight="false" outlineLevel="0" collapsed="false">
      <c r="A834" s="23"/>
      <c r="B834" s="23"/>
      <c r="C834" s="23"/>
      <c r="D834" s="23"/>
      <c r="E834" s="23"/>
      <c r="F834" s="23"/>
      <c r="G834" s="23"/>
      <c r="H834" s="23"/>
      <c r="I834" s="23"/>
      <c r="J834" s="23"/>
      <c r="K834" s="24"/>
      <c r="L834" s="23"/>
      <c r="M834" s="25"/>
      <c r="N834" s="25"/>
      <c r="O834" s="23"/>
      <c r="P834" s="26"/>
      <c r="Q834" s="26"/>
      <c r="R834" s="27" t="str">
        <f aca="false">IF(AND(ISNUMBER(P834),ISNUMBER(Q834)),P834-Q834,"")</f>
        <v/>
      </c>
      <c r="S834" s="24"/>
      <c r="T834" s="28" t="str">
        <f aca="false">IF(S834&lt;&gt;"",S834,IF(B834="","",IFERROR(IF(INDEX(Batches!$G$5:$G$64,MATCH(B834,Batches!$A$5:$A$64,0))="","",INDEX(Batches!$G$5:$G$64,MATCH(B834,Batches!$A$5:$A$64,0))),"")))</f>
        <v/>
      </c>
      <c r="U834" s="23"/>
      <c r="V834" s="24"/>
      <c r="W834" s="28" t="str">
        <f aca="false">IF(OR(X834="",X834="Pending"),"",IF(V834&lt;&gt;"",V834,IFERROR(IF(INDEX(Batches!$H$5:$H$64,MATCH(B834,Batches!$A$5:$A$64,0))="","",INDEX(Batches!$H$5:$H$64,MATCH(B834,Batches!$A$5:$A$64,0))),"")))</f>
        <v/>
      </c>
      <c r="X834" s="23"/>
      <c r="Y834" s="23"/>
      <c r="Z834" s="26"/>
      <c r="AA834" s="27" t="str">
        <f aca="false">IF(R834="","",IF(X834="Not accepted",R834,IF(OR(X834="Accepted",X834="Withdrawn by hospital"),IF(X834="Accepted",0,R834),IF(ISNUMBER(Z834),R834-Z834,""))))</f>
        <v/>
      </c>
      <c r="AB834" s="23"/>
      <c r="AC834" s="25"/>
      <c r="AD834" s="23"/>
      <c r="AE834" s="23"/>
      <c r="AF834" s="24"/>
      <c r="AG834" s="23"/>
      <c r="AH834" s="24"/>
      <c r="AI834" s="29" t="str">
        <f aca="false">IF(X834="Not accepted","Maintained",IF(X834="Partially accepted","Partially maintained",IF(X834="Accepted","Reversed",IF(X834="Withdrawn by hospital","Withdrawn by hospital",""))))</f>
        <v/>
      </c>
      <c r="AJ834" s="28" t="str">
        <f aca="false">IF(AI834="","",W834)</f>
        <v/>
      </c>
      <c r="AK834" s="29" t="str">
        <f aca="false">IF(AND(ISNUMBER(T834),ISNUMBER(W834)),W834-T834,"")</f>
        <v/>
      </c>
      <c r="AL834" s="29" t="str">
        <f aca="false">IF(A834="","",SUMIF(Actions!$C$5:$C$1004,A834,Actions!$F$5:$F$1004))</f>
        <v/>
      </c>
      <c r="AM834" s="25"/>
    </row>
    <row r="835" customFormat="false" ht="15" hidden="false" customHeight="false" outlineLevel="0" collapsed="false">
      <c r="A835" s="23"/>
      <c r="B835" s="23"/>
      <c r="C835" s="23"/>
      <c r="D835" s="23"/>
      <c r="E835" s="23"/>
      <c r="F835" s="23"/>
      <c r="G835" s="23"/>
      <c r="H835" s="23"/>
      <c r="I835" s="23"/>
      <c r="J835" s="23"/>
      <c r="K835" s="24"/>
      <c r="L835" s="23"/>
      <c r="M835" s="25"/>
      <c r="N835" s="25"/>
      <c r="O835" s="23"/>
      <c r="P835" s="26"/>
      <c r="Q835" s="26"/>
      <c r="R835" s="27" t="str">
        <f aca="false">IF(AND(ISNUMBER(P835),ISNUMBER(Q835)),P835-Q835,"")</f>
        <v/>
      </c>
      <c r="S835" s="24"/>
      <c r="T835" s="28" t="str">
        <f aca="false">IF(S835&lt;&gt;"",S835,IF(B835="","",IFERROR(IF(INDEX(Batches!$G$5:$G$64,MATCH(B835,Batches!$A$5:$A$64,0))="","",INDEX(Batches!$G$5:$G$64,MATCH(B835,Batches!$A$5:$A$64,0))),"")))</f>
        <v/>
      </c>
      <c r="U835" s="23"/>
      <c r="V835" s="24"/>
      <c r="W835" s="28" t="str">
        <f aca="false">IF(OR(X835="",X835="Pending"),"",IF(V835&lt;&gt;"",V835,IFERROR(IF(INDEX(Batches!$H$5:$H$64,MATCH(B835,Batches!$A$5:$A$64,0))="","",INDEX(Batches!$H$5:$H$64,MATCH(B835,Batches!$A$5:$A$64,0))),"")))</f>
        <v/>
      </c>
      <c r="X835" s="23"/>
      <c r="Y835" s="23"/>
      <c r="Z835" s="26"/>
      <c r="AA835" s="27" t="str">
        <f aca="false">IF(R835="","",IF(X835="Not accepted",R835,IF(OR(X835="Accepted",X835="Withdrawn by hospital"),IF(X835="Accepted",0,R835),IF(ISNUMBER(Z835),R835-Z835,""))))</f>
        <v/>
      </c>
      <c r="AB835" s="23"/>
      <c r="AC835" s="25"/>
      <c r="AD835" s="23"/>
      <c r="AE835" s="23"/>
      <c r="AF835" s="24"/>
      <c r="AG835" s="23"/>
      <c r="AH835" s="24"/>
      <c r="AI835" s="29" t="str">
        <f aca="false">IF(X835="Not accepted","Maintained",IF(X835="Partially accepted","Partially maintained",IF(X835="Accepted","Reversed",IF(X835="Withdrawn by hospital","Withdrawn by hospital",""))))</f>
        <v/>
      </c>
      <c r="AJ835" s="28" t="str">
        <f aca="false">IF(AI835="","",W835)</f>
        <v/>
      </c>
      <c r="AK835" s="29" t="str">
        <f aca="false">IF(AND(ISNUMBER(T835),ISNUMBER(W835)),W835-T835,"")</f>
        <v/>
      </c>
      <c r="AL835" s="29" t="str">
        <f aca="false">IF(A835="","",SUMIF(Actions!$C$5:$C$1004,A835,Actions!$F$5:$F$1004))</f>
        <v/>
      </c>
      <c r="AM835" s="25"/>
    </row>
    <row r="836" customFormat="false" ht="15" hidden="false" customHeight="false" outlineLevel="0" collapsed="false">
      <c r="A836" s="23"/>
      <c r="B836" s="23"/>
      <c r="C836" s="23"/>
      <c r="D836" s="23"/>
      <c r="E836" s="23"/>
      <c r="F836" s="23"/>
      <c r="G836" s="23"/>
      <c r="H836" s="23"/>
      <c r="I836" s="23"/>
      <c r="J836" s="23"/>
      <c r="K836" s="24"/>
      <c r="L836" s="23"/>
      <c r="M836" s="25"/>
      <c r="N836" s="25"/>
      <c r="O836" s="23"/>
      <c r="P836" s="26"/>
      <c r="Q836" s="26"/>
      <c r="R836" s="27" t="str">
        <f aca="false">IF(AND(ISNUMBER(P836),ISNUMBER(Q836)),P836-Q836,"")</f>
        <v/>
      </c>
      <c r="S836" s="24"/>
      <c r="T836" s="28" t="str">
        <f aca="false">IF(S836&lt;&gt;"",S836,IF(B836="","",IFERROR(IF(INDEX(Batches!$G$5:$G$64,MATCH(B836,Batches!$A$5:$A$64,0))="","",INDEX(Batches!$G$5:$G$64,MATCH(B836,Batches!$A$5:$A$64,0))),"")))</f>
        <v/>
      </c>
      <c r="U836" s="23"/>
      <c r="V836" s="24"/>
      <c r="W836" s="28" t="str">
        <f aca="false">IF(OR(X836="",X836="Pending"),"",IF(V836&lt;&gt;"",V836,IFERROR(IF(INDEX(Batches!$H$5:$H$64,MATCH(B836,Batches!$A$5:$A$64,0))="","",INDEX(Batches!$H$5:$H$64,MATCH(B836,Batches!$A$5:$A$64,0))),"")))</f>
        <v/>
      </c>
      <c r="X836" s="23"/>
      <c r="Y836" s="23"/>
      <c r="Z836" s="26"/>
      <c r="AA836" s="27" t="str">
        <f aca="false">IF(R836="","",IF(X836="Not accepted",R836,IF(OR(X836="Accepted",X836="Withdrawn by hospital"),IF(X836="Accepted",0,R836),IF(ISNUMBER(Z836),R836-Z836,""))))</f>
        <v/>
      </c>
      <c r="AB836" s="23"/>
      <c r="AC836" s="25"/>
      <c r="AD836" s="23"/>
      <c r="AE836" s="23"/>
      <c r="AF836" s="24"/>
      <c r="AG836" s="23"/>
      <c r="AH836" s="24"/>
      <c r="AI836" s="29" t="str">
        <f aca="false">IF(X836="Not accepted","Maintained",IF(X836="Partially accepted","Partially maintained",IF(X836="Accepted","Reversed",IF(X836="Withdrawn by hospital","Withdrawn by hospital",""))))</f>
        <v/>
      </c>
      <c r="AJ836" s="28" t="str">
        <f aca="false">IF(AI836="","",W836)</f>
        <v/>
      </c>
      <c r="AK836" s="29" t="str">
        <f aca="false">IF(AND(ISNUMBER(T836),ISNUMBER(W836)),W836-T836,"")</f>
        <v/>
      </c>
      <c r="AL836" s="29" t="str">
        <f aca="false">IF(A836="","",SUMIF(Actions!$C$5:$C$1004,A836,Actions!$F$5:$F$1004))</f>
        <v/>
      </c>
      <c r="AM836" s="25"/>
    </row>
    <row r="837" customFormat="false" ht="15" hidden="false" customHeight="false" outlineLevel="0" collapsed="false">
      <c r="A837" s="23"/>
      <c r="B837" s="23"/>
      <c r="C837" s="23"/>
      <c r="D837" s="23"/>
      <c r="E837" s="23"/>
      <c r="F837" s="23"/>
      <c r="G837" s="23"/>
      <c r="H837" s="23"/>
      <c r="I837" s="23"/>
      <c r="J837" s="23"/>
      <c r="K837" s="24"/>
      <c r="L837" s="23"/>
      <c r="M837" s="25"/>
      <c r="N837" s="25"/>
      <c r="O837" s="23"/>
      <c r="P837" s="26"/>
      <c r="Q837" s="26"/>
      <c r="R837" s="27" t="str">
        <f aca="false">IF(AND(ISNUMBER(P837),ISNUMBER(Q837)),P837-Q837,"")</f>
        <v/>
      </c>
      <c r="S837" s="24"/>
      <c r="T837" s="28" t="str">
        <f aca="false">IF(S837&lt;&gt;"",S837,IF(B837="","",IFERROR(IF(INDEX(Batches!$G$5:$G$64,MATCH(B837,Batches!$A$5:$A$64,0))="","",INDEX(Batches!$G$5:$G$64,MATCH(B837,Batches!$A$5:$A$64,0))),"")))</f>
        <v/>
      </c>
      <c r="U837" s="23"/>
      <c r="V837" s="24"/>
      <c r="W837" s="28" t="str">
        <f aca="false">IF(OR(X837="",X837="Pending"),"",IF(V837&lt;&gt;"",V837,IFERROR(IF(INDEX(Batches!$H$5:$H$64,MATCH(B837,Batches!$A$5:$A$64,0))="","",INDEX(Batches!$H$5:$H$64,MATCH(B837,Batches!$A$5:$A$64,0))),"")))</f>
        <v/>
      </c>
      <c r="X837" s="23"/>
      <c r="Y837" s="23"/>
      <c r="Z837" s="26"/>
      <c r="AA837" s="27" t="str">
        <f aca="false">IF(R837="","",IF(X837="Not accepted",R837,IF(OR(X837="Accepted",X837="Withdrawn by hospital"),IF(X837="Accepted",0,R837),IF(ISNUMBER(Z837),R837-Z837,""))))</f>
        <v/>
      </c>
      <c r="AB837" s="23"/>
      <c r="AC837" s="25"/>
      <c r="AD837" s="23"/>
      <c r="AE837" s="23"/>
      <c r="AF837" s="24"/>
      <c r="AG837" s="23"/>
      <c r="AH837" s="24"/>
      <c r="AI837" s="29" t="str">
        <f aca="false">IF(X837="Not accepted","Maintained",IF(X837="Partially accepted","Partially maintained",IF(X837="Accepted","Reversed",IF(X837="Withdrawn by hospital","Withdrawn by hospital",""))))</f>
        <v/>
      </c>
      <c r="AJ837" s="28" t="str">
        <f aca="false">IF(AI837="","",W837)</f>
        <v/>
      </c>
      <c r="AK837" s="29" t="str">
        <f aca="false">IF(AND(ISNUMBER(T837),ISNUMBER(W837)),W837-T837,"")</f>
        <v/>
      </c>
      <c r="AL837" s="29" t="str">
        <f aca="false">IF(A837="","",SUMIF(Actions!$C$5:$C$1004,A837,Actions!$F$5:$F$1004))</f>
        <v/>
      </c>
      <c r="AM837" s="25"/>
    </row>
    <row r="838" customFormat="false" ht="15" hidden="false" customHeight="false" outlineLevel="0" collapsed="false">
      <c r="A838" s="23"/>
      <c r="B838" s="23"/>
      <c r="C838" s="23"/>
      <c r="D838" s="23"/>
      <c r="E838" s="23"/>
      <c r="F838" s="23"/>
      <c r="G838" s="23"/>
      <c r="H838" s="23"/>
      <c r="I838" s="23"/>
      <c r="J838" s="23"/>
      <c r="K838" s="24"/>
      <c r="L838" s="23"/>
      <c r="M838" s="25"/>
      <c r="N838" s="25"/>
      <c r="O838" s="23"/>
      <c r="P838" s="26"/>
      <c r="Q838" s="26"/>
      <c r="R838" s="27" t="str">
        <f aca="false">IF(AND(ISNUMBER(P838),ISNUMBER(Q838)),P838-Q838,"")</f>
        <v/>
      </c>
      <c r="S838" s="24"/>
      <c r="T838" s="28" t="str">
        <f aca="false">IF(S838&lt;&gt;"",S838,IF(B838="","",IFERROR(IF(INDEX(Batches!$G$5:$G$64,MATCH(B838,Batches!$A$5:$A$64,0))="","",INDEX(Batches!$G$5:$G$64,MATCH(B838,Batches!$A$5:$A$64,0))),"")))</f>
        <v/>
      </c>
      <c r="U838" s="23"/>
      <c r="V838" s="24"/>
      <c r="W838" s="28" t="str">
        <f aca="false">IF(OR(X838="",X838="Pending"),"",IF(V838&lt;&gt;"",V838,IFERROR(IF(INDEX(Batches!$H$5:$H$64,MATCH(B838,Batches!$A$5:$A$64,0))="","",INDEX(Batches!$H$5:$H$64,MATCH(B838,Batches!$A$5:$A$64,0))),"")))</f>
        <v/>
      </c>
      <c r="X838" s="23"/>
      <c r="Y838" s="23"/>
      <c r="Z838" s="26"/>
      <c r="AA838" s="27" t="str">
        <f aca="false">IF(R838="","",IF(X838="Not accepted",R838,IF(OR(X838="Accepted",X838="Withdrawn by hospital"),IF(X838="Accepted",0,R838),IF(ISNUMBER(Z838),R838-Z838,""))))</f>
        <v/>
      </c>
      <c r="AB838" s="23"/>
      <c r="AC838" s="25"/>
      <c r="AD838" s="23"/>
      <c r="AE838" s="23"/>
      <c r="AF838" s="24"/>
      <c r="AG838" s="23"/>
      <c r="AH838" s="24"/>
      <c r="AI838" s="29" t="str">
        <f aca="false">IF(X838="Not accepted","Maintained",IF(X838="Partially accepted","Partially maintained",IF(X838="Accepted","Reversed",IF(X838="Withdrawn by hospital","Withdrawn by hospital",""))))</f>
        <v/>
      </c>
      <c r="AJ838" s="28" t="str">
        <f aca="false">IF(AI838="","",W838)</f>
        <v/>
      </c>
      <c r="AK838" s="29" t="str">
        <f aca="false">IF(AND(ISNUMBER(T838),ISNUMBER(W838)),W838-T838,"")</f>
        <v/>
      </c>
      <c r="AL838" s="29" t="str">
        <f aca="false">IF(A838="","",SUMIF(Actions!$C$5:$C$1004,A838,Actions!$F$5:$F$1004))</f>
        <v/>
      </c>
      <c r="AM838" s="25"/>
    </row>
    <row r="839" customFormat="false" ht="15" hidden="false" customHeight="false" outlineLevel="0" collapsed="false">
      <c r="A839" s="23"/>
      <c r="B839" s="23"/>
      <c r="C839" s="23"/>
      <c r="D839" s="23"/>
      <c r="E839" s="23"/>
      <c r="F839" s="23"/>
      <c r="G839" s="23"/>
      <c r="H839" s="23"/>
      <c r="I839" s="23"/>
      <c r="J839" s="23"/>
      <c r="K839" s="24"/>
      <c r="L839" s="23"/>
      <c r="M839" s="25"/>
      <c r="N839" s="25"/>
      <c r="O839" s="23"/>
      <c r="P839" s="26"/>
      <c r="Q839" s="26"/>
      <c r="R839" s="27" t="str">
        <f aca="false">IF(AND(ISNUMBER(P839),ISNUMBER(Q839)),P839-Q839,"")</f>
        <v/>
      </c>
      <c r="S839" s="24"/>
      <c r="T839" s="28" t="str">
        <f aca="false">IF(S839&lt;&gt;"",S839,IF(B839="","",IFERROR(IF(INDEX(Batches!$G$5:$G$64,MATCH(B839,Batches!$A$5:$A$64,0))="","",INDEX(Batches!$G$5:$G$64,MATCH(B839,Batches!$A$5:$A$64,0))),"")))</f>
        <v/>
      </c>
      <c r="U839" s="23"/>
      <c r="V839" s="24"/>
      <c r="W839" s="28" t="str">
        <f aca="false">IF(OR(X839="",X839="Pending"),"",IF(V839&lt;&gt;"",V839,IFERROR(IF(INDEX(Batches!$H$5:$H$64,MATCH(B839,Batches!$A$5:$A$64,0))="","",INDEX(Batches!$H$5:$H$64,MATCH(B839,Batches!$A$5:$A$64,0))),"")))</f>
        <v/>
      </c>
      <c r="X839" s="23"/>
      <c r="Y839" s="23"/>
      <c r="Z839" s="26"/>
      <c r="AA839" s="27" t="str">
        <f aca="false">IF(R839="","",IF(X839="Not accepted",R839,IF(OR(X839="Accepted",X839="Withdrawn by hospital"),IF(X839="Accepted",0,R839),IF(ISNUMBER(Z839),R839-Z839,""))))</f>
        <v/>
      </c>
      <c r="AB839" s="23"/>
      <c r="AC839" s="25"/>
      <c r="AD839" s="23"/>
      <c r="AE839" s="23"/>
      <c r="AF839" s="24"/>
      <c r="AG839" s="23"/>
      <c r="AH839" s="24"/>
      <c r="AI839" s="29" t="str">
        <f aca="false">IF(X839="Not accepted","Maintained",IF(X839="Partially accepted","Partially maintained",IF(X839="Accepted","Reversed",IF(X839="Withdrawn by hospital","Withdrawn by hospital",""))))</f>
        <v/>
      </c>
      <c r="AJ839" s="28" t="str">
        <f aca="false">IF(AI839="","",W839)</f>
        <v/>
      </c>
      <c r="AK839" s="29" t="str">
        <f aca="false">IF(AND(ISNUMBER(T839),ISNUMBER(W839)),W839-T839,"")</f>
        <v/>
      </c>
      <c r="AL839" s="29" t="str">
        <f aca="false">IF(A839="","",SUMIF(Actions!$C$5:$C$1004,A839,Actions!$F$5:$F$1004))</f>
        <v/>
      </c>
      <c r="AM839" s="25"/>
    </row>
    <row r="840" customFormat="false" ht="15" hidden="false" customHeight="false" outlineLevel="0" collapsed="false">
      <c r="A840" s="23"/>
      <c r="B840" s="23"/>
      <c r="C840" s="23"/>
      <c r="D840" s="23"/>
      <c r="E840" s="23"/>
      <c r="F840" s="23"/>
      <c r="G840" s="23"/>
      <c r="H840" s="23"/>
      <c r="I840" s="23"/>
      <c r="J840" s="23"/>
      <c r="K840" s="24"/>
      <c r="L840" s="23"/>
      <c r="M840" s="25"/>
      <c r="N840" s="25"/>
      <c r="O840" s="23"/>
      <c r="P840" s="26"/>
      <c r="Q840" s="26"/>
      <c r="R840" s="27" t="str">
        <f aca="false">IF(AND(ISNUMBER(P840),ISNUMBER(Q840)),P840-Q840,"")</f>
        <v/>
      </c>
      <c r="S840" s="24"/>
      <c r="T840" s="28" t="str">
        <f aca="false">IF(S840&lt;&gt;"",S840,IF(B840="","",IFERROR(IF(INDEX(Batches!$G$5:$G$64,MATCH(B840,Batches!$A$5:$A$64,0))="","",INDEX(Batches!$G$5:$G$64,MATCH(B840,Batches!$A$5:$A$64,0))),"")))</f>
        <v/>
      </c>
      <c r="U840" s="23"/>
      <c r="V840" s="24"/>
      <c r="W840" s="28" t="str">
        <f aca="false">IF(OR(X840="",X840="Pending"),"",IF(V840&lt;&gt;"",V840,IFERROR(IF(INDEX(Batches!$H$5:$H$64,MATCH(B840,Batches!$A$5:$A$64,0))="","",INDEX(Batches!$H$5:$H$64,MATCH(B840,Batches!$A$5:$A$64,0))),"")))</f>
        <v/>
      </c>
      <c r="X840" s="23"/>
      <c r="Y840" s="23"/>
      <c r="Z840" s="26"/>
      <c r="AA840" s="27" t="str">
        <f aca="false">IF(R840="","",IF(X840="Not accepted",R840,IF(OR(X840="Accepted",X840="Withdrawn by hospital"),IF(X840="Accepted",0,R840),IF(ISNUMBER(Z840),R840-Z840,""))))</f>
        <v/>
      </c>
      <c r="AB840" s="23"/>
      <c r="AC840" s="25"/>
      <c r="AD840" s="23"/>
      <c r="AE840" s="23"/>
      <c r="AF840" s="24"/>
      <c r="AG840" s="23"/>
      <c r="AH840" s="24"/>
      <c r="AI840" s="29" t="str">
        <f aca="false">IF(X840="Not accepted","Maintained",IF(X840="Partially accepted","Partially maintained",IF(X840="Accepted","Reversed",IF(X840="Withdrawn by hospital","Withdrawn by hospital",""))))</f>
        <v/>
      </c>
      <c r="AJ840" s="28" t="str">
        <f aca="false">IF(AI840="","",W840)</f>
        <v/>
      </c>
      <c r="AK840" s="29" t="str">
        <f aca="false">IF(AND(ISNUMBER(T840),ISNUMBER(W840)),W840-T840,"")</f>
        <v/>
      </c>
      <c r="AL840" s="29" t="str">
        <f aca="false">IF(A840="","",SUMIF(Actions!$C$5:$C$1004,A840,Actions!$F$5:$F$1004))</f>
        <v/>
      </c>
      <c r="AM840" s="25"/>
    </row>
    <row r="841" customFormat="false" ht="15" hidden="false" customHeight="false" outlineLevel="0" collapsed="false">
      <c r="A841" s="23"/>
      <c r="B841" s="23"/>
      <c r="C841" s="23"/>
      <c r="D841" s="23"/>
      <c r="E841" s="23"/>
      <c r="F841" s="23"/>
      <c r="G841" s="23"/>
      <c r="H841" s="23"/>
      <c r="I841" s="23"/>
      <c r="J841" s="23"/>
      <c r="K841" s="24"/>
      <c r="L841" s="23"/>
      <c r="M841" s="25"/>
      <c r="N841" s="25"/>
      <c r="O841" s="23"/>
      <c r="P841" s="26"/>
      <c r="Q841" s="26"/>
      <c r="R841" s="27" t="str">
        <f aca="false">IF(AND(ISNUMBER(P841),ISNUMBER(Q841)),P841-Q841,"")</f>
        <v/>
      </c>
      <c r="S841" s="24"/>
      <c r="T841" s="28" t="str">
        <f aca="false">IF(S841&lt;&gt;"",S841,IF(B841="","",IFERROR(IF(INDEX(Batches!$G$5:$G$64,MATCH(B841,Batches!$A$5:$A$64,0))="","",INDEX(Batches!$G$5:$G$64,MATCH(B841,Batches!$A$5:$A$64,0))),"")))</f>
        <v/>
      </c>
      <c r="U841" s="23"/>
      <c r="V841" s="24"/>
      <c r="W841" s="28" t="str">
        <f aca="false">IF(OR(X841="",X841="Pending"),"",IF(V841&lt;&gt;"",V841,IFERROR(IF(INDEX(Batches!$H$5:$H$64,MATCH(B841,Batches!$A$5:$A$64,0))="","",INDEX(Batches!$H$5:$H$64,MATCH(B841,Batches!$A$5:$A$64,0))),"")))</f>
        <v/>
      </c>
      <c r="X841" s="23"/>
      <c r="Y841" s="23"/>
      <c r="Z841" s="26"/>
      <c r="AA841" s="27" t="str">
        <f aca="false">IF(R841="","",IF(X841="Not accepted",R841,IF(OR(X841="Accepted",X841="Withdrawn by hospital"),IF(X841="Accepted",0,R841),IF(ISNUMBER(Z841),R841-Z841,""))))</f>
        <v/>
      </c>
      <c r="AB841" s="23"/>
      <c r="AC841" s="25"/>
      <c r="AD841" s="23"/>
      <c r="AE841" s="23"/>
      <c r="AF841" s="24"/>
      <c r="AG841" s="23"/>
      <c r="AH841" s="24"/>
      <c r="AI841" s="29" t="str">
        <f aca="false">IF(X841="Not accepted","Maintained",IF(X841="Partially accepted","Partially maintained",IF(X841="Accepted","Reversed",IF(X841="Withdrawn by hospital","Withdrawn by hospital",""))))</f>
        <v/>
      </c>
      <c r="AJ841" s="28" t="str">
        <f aca="false">IF(AI841="","",W841)</f>
        <v/>
      </c>
      <c r="AK841" s="29" t="str">
        <f aca="false">IF(AND(ISNUMBER(T841),ISNUMBER(W841)),W841-T841,"")</f>
        <v/>
      </c>
      <c r="AL841" s="29" t="str">
        <f aca="false">IF(A841="","",SUMIF(Actions!$C$5:$C$1004,A841,Actions!$F$5:$F$1004))</f>
        <v/>
      </c>
      <c r="AM841" s="25"/>
    </row>
    <row r="842" customFormat="false" ht="15" hidden="false" customHeight="false" outlineLevel="0" collapsed="false">
      <c r="A842" s="23"/>
      <c r="B842" s="23"/>
      <c r="C842" s="23"/>
      <c r="D842" s="23"/>
      <c r="E842" s="23"/>
      <c r="F842" s="23"/>
      <c r="G842" s="23"/>
      <c r="H842" s="23"/>
      <c r="I842" s="23"/>
      <c r="J842" s="23"/>
      <c r="K842" s="24"/>
      <c r="L842" s="23"/>
      <c r="M842" s="25"/>
      <c r="N842" s="25"/>
      <c r="O842" s="23"/>
      <c r="P842" s="26"/>
      <c r="Q842" s="26"/>
      <c r="R842" s="27" t="str">
        <f aca="false">IF(AND(ISNUMBER(P842),ISNUMBER(Q842)),P842-Q842,"")</f>
        <v/>
      </c>
      <c r="S842" s="24"/>
      <c r="T842" s="28" t="str">
        <f aca="false">IF(S842&lt;&gt;"",S842,IF(B842="","",IFERROR(IF(INDEX(Batches!$G$5:$G$64,MATCH(B842,Batches!$A$5:$A$64,0))="","",INDEX(Batches!$G$5:$G$64,MATCH(B842,Batches!$A$5:$A$64,0))),"")))</f>
        <v/>
      </c>
      <c r="U842" s="23"/>
      <c r="V842" s="24"/>
      <c r="W842" s="28" t="str">
        <f aca="false">IF(OR(X842="",X842="Pending"),"",IF(V842&lt;&gt;"",V842,IFERROR(IF(INDEX(Batches!$H$5:$H$64,MATCH(B842,Batches!$A$5:$A$64,0))="","",INDEX(Batches!$H$5:$H$64,MATCH(B842,Batches!$A$5:$A$64,0))),"")))</f>
        <v/>
      </c>
      <c r="X842" s="23"/>
      <c r="Y842" s="23"/>
      <c r="Z842" s="26"/>
      <c r="AA842" s="27" t="str">
        <f aca="false">IF(R842="","",IF(X842="Not accepted",R842,IF(OR(X842="Accepted",X842="Withdrawn by hospital"),IF(X842="Accepted",0,R842),IF(ISNUMBER(Z842),R842-Z842,""))))</f>
        <v/>
      </c>
      <c r="AB842" s="23"/>
      <c r="AC842" s="25"/>
      <c r="AD842" s="23"/>
      <c r="AE842" s="23"/>
      <c r="AF842" s="24"/>
      <c r="AG842" s="23"/>
      <c r="AH842" s="24"/>
      <c r="AI842" s="29" t="str">
        <f aca="false">IF(X842="Not accepted","Maintained",IF(X842="Partially accepted","Partially maintained",IF(X842="Accepted","Reversed",IF(X842="Withdrawn by hospital","Withdrawn by hospital",""))))</f>
        <v/>
      </c>
      <c r="AJ842" s="28" t="str">
        <f aca="false">IF(AI842="","",W842)</f>
        <v/>
      </c>
      <c r="AK842" s="29" t="str">
        <f aca="false">IF(AND(ISNUMBER(T842),ISNUMBER(W842)),W842-T842,"")</f>
        <v/>
      </c>
      <c r="AL842" s="29" t="str">
        <f aca="false">IF(A842="","",SUMIF(Actions!$C$5:$C$1004,A842,Actions!$F$5:$F$1004))</f>
        <v/>
      </c>
      <c r="AM842" s="25"/>
    </row>
    <row r="843" customFormat="false" ht="15" hidden="false" customHeight="false" outlineLevel="0" collapsed="false">
      <c r="A843" s="23"/>
      <c r="B843" s="23"/>
      <c r="C843" s="23"/>
      <c r="D843" s="23"/>
      <c r="E843" s="23"/>
      <c r="F843" s="23"/>
      <c r="G843" s="23"/>
      <c r="H843" s="23"/>
      <c r="I843" s="23"/>
      <c r="J843" s="23"/>
      <c r="K843" s="24"/>
      <c r="L843" s="23"/>
      <c r="M843" s="25"/>
      <c r="N843" s="25"/>
      <c r="O843" s="23"/>
      <c r="P843" s="26"/>
      <c r="Q843" s="26"/>
      <c r="R843" s="27" t="str">
        <f aca="false">IF(AND(ISNUMBER(P843),ISNUMBER(Q843)),P843-Q843,"")</f>
        <v/>
      </c>
      <c r="S843" s="24"/>
      <c r="T843" s="28" t="str">
        <f aca="false">IF(S843&lt;&gt;"",S843,IF(B843="","",IFERROR(IF(INDEX(Batches!$G$5:$G$64,MATCH(B843,Batches!$A$5:$A$64,0))="","",INDEX(Batches!$G$5:$G$64,MATCH(B843,Batches!$A$5:$A$64,0))),"")))</f>
        <v/>
      </c>
      <c r="U843" s="23"/>
      <c r="V843" s="24"/>
      <c r="W843" s="28" t="str">
        <f aca="false">IF(OR(X843="",X843="Pending"),"",IF(V843&lt;&gt;"",V843,IFERROR(IF(INDEX(Batches!$H$5:$H$64,MATCH(B843,Batches!$A$5:$A$64,0))="","",INDEX(Batches!$H$5:$H$64,MATCH(B843,Batches!$A$5:$A$64,0))),"")))</f>
        <v/>
      </c>
      <c r="X843" s="23"/>
      <c r="Y843" s="23"/>
      <c r="Z843" s="26"/>
      <c r="AA843" s="27" t="str">
        <f aca="false">IF(R843="","",IF(X843="Not accepted",R843,IF(OR(X843="Accepted",X843="Withdrawn by hospital"),IF(X843="Accepted",0,R843),IF(ISNUMBER(Z843),R843-Z843,""))))</f>
        <v/>
      </c>
      <c r="AB843" s="23"/>
      <c r="AC843" s="25"/>
      <c r="AD843" s="23"/>
      <c r="AE843" s="23"/>
      <c r="AF843" s="24"/>
      <c r="AG843" s="23"/>
      <c r="AH843" s="24"/>
      <c r="AI843" s="29" t="str">
        <f aca="false">IF(X843="Not accepted","Maintained",IF(X843="Partially accepted","Partially maintained",IF(X843="Accepted","Reversed",IF(X843="Withdrawn by hospital","Withdrawn by hospital",""))))</f>
        <v/>
      </c>
      <c r="AJ843" s="28" t="str">
        <f aca="false">IF(AI843="","",W843)</f>
        <v/>
      </c>
      <c r="AK843" s="29" t="str">
        <f aca="false">IF(AND(ISNUMBER(T843),ISNUMBER(W843)),W843-T843,"")</f>
        <v/>
      </c>
      <c r="AL843" s="29" t="str">
        <f aca="false">IF(A843="","",SUMIF(Actions!$C$5:$C$1004,A843,Actions!$F$5:$F$1004))</f>
        <v/>
      </c>
      <c r="AM843" s="25"/>
    </row>
    <row r="844" customFormat="false" ht="15" hidden="false" customHeight="false" outlineLevel="0" collapsed="false">
      <c r="A844" s="23"/>
      <c r="B844" s="23"/>
      <c r="C844" s="23"/>
      <c r="D844" s="23"/>
      <c r="E844" s="23"/>
      <c r="F844" s="23"/>
      <c r="G844" s="23"/>
      <c r="H844" s="23"/>
      <c r="I844" s="23"/>
      <c r="J844" s="23"/>
      <c r="K844" s="24"/>
      <c r="L844" s="23"/>
      <c r="M844" s="25"/>
      <c r="N844" s="25"/>
      <c r="O844" s="23"/>
      <c r="P844" s="26"/>
      <c r="Q844" s="26"/>
      <c r="R844" s="27" t="str">
        <f aca="false">IF(AND(ISNUMBER(P844),ISNUMBER(Q844)),P844-Q844,"")</f>
        <v/>
      </c>
      <c r="S844" s="24"/>
      <c r="T844" s="28" t="str">
        <f aca="false">IF(S844&lt;&gt;"",S844,IF(B844="","",IFERROR(IF(INDEX(Batches!$G$5:$G$64,MATCH(B844,Batches!$A$5:$A$64,0))="","",INDEX(Batches!$G$5:$G$64,MATCH(B844,Batches!$A$5:$A$64,0))),"")))</f>
        <v/>
      </c>
      <c r="U844" s="23"/>
      <c r="V844" s="24"/>
      <c r="W844" s="28" t="str">
        <f aca="false">IF(OR(X844="",X844="Pending"),"",IF(V844&lt;&gt;"",V844,IFERROR(IF(INDEX(Batches!$H$5:$H$64,MATCH(B844,Batches!$A$5:$A$64,0))="","",INDEX(Batches!$H$5:$H$64,MATCH(B844,Batches!$A$5:$A$64,0))),"")))</f>
        <v/>
      </c>
      <c r="X844" s="23"/>
      <c r="Y844" s="23"/>
      <c r="Z844" s="26"/>
      <c r="AA844" s="27" t="str">
        <f aca="false">IF(R844="","",IF(X844="Not accepted",R844,IF(OR(X844="Accepted",X844="Withdrawn by hospital"),IF(X844="Accepted",0,R844),IF(ISNUMBER(Z844),R844-Z844,""))))</f>
        <v/>
      </c>
      <c r="AB844" s="23"/>
      <c r="AC844" s="25"/>
      <c r="AD844" s="23"/>
      <c r="AE844" s="23"/>
      <c r="AF844" s="24"/>
      <c r="AG844" s="23"/>
      <c r="AH844" s="24"/>
      <c r="AI844" s="29" t="str">
        <f aca="false">IF(X844="Not accepted","Maintained",IF(X844="Partially accepted","Partially maintained",IF(X844="Accepted","Reversed",IF(X844="Withdrawn by hospital","Withdrawn by hospital",""))))</f>
        <v/>
      </c>
      <c r="AJ844" s="28" t="str">
        <f aca="false">IF(AI844="","",W844)</f>
        <v/>
      </c>
      <c r="AK844" s="29" t="str">
        <f aca="false">IF(AND(ISNUMBER(T844),ISNUMBER(W844)),W844-T844,"")</f>
        <v/>
      </c>
      <c r="AL844" s="29" t="str">
        <f aca="false">IF(A844="","",SUMIF(Actions!$C$5:$C$1004,A844,Actions!$F$5:$F$1004))</f>
        <v/>
      </c>
      <c r="AM844" s="25"/>
    </row>
    <row r="845" customFormat="false" ht="15" hidden="false" customHeight="false" outlineLevel="0" collapsed="false">
      <c r="A845" s="23"/>
      <c r="B845" s="23"/>
      <c r="C845" s="23"/>
      <c r="D845" s="23"/>
      <c r="E845" s="23"/>
      <c r="F845" s="23"/>
      <c r="G845" s="23"/>
      <c r="H845" s="23"/>
      <c r="I845" s="23"/>
      <c r="J845" s="23"/>
      <c r="K845" s="24"/>
      <c r="L845" s="23"/>
      <c r="M845" s="25"/>
      <c r="N845" s="25"/>
      <c r="O845" s="23"/>
      <c r="P845" s="26"/>
      <c r="Q845" s="26"/>
      <c r="R845" s="27" t="str">
        <f aca="false">IF(AND(ISNUMBER(P845),ISNUMBER(Q845)),P845-Q845,"")</f>
        <v/>
      </c>
      <c r="S845" s="24"/>
      <c r="T845" s="28" t="str">
        <f aca="false">IF(S845&lt;&gt;"",S845,IF(B845="","",IFERROR(IF(INDEX(Batches!$G$5:$G$64,MATCH(B845,Batches!$A$5:$A$64,0))="","",INDEX(Batches!$G$5:$G$64,MATCH(B845,Batches!$A$5:$A$64,0))),"")))</f>
        <v/>
      </c>
      <c r="U845" s="23"/>
      <c r="V845" s="24"/>
      <c r="W845" s="28" t="str">
        <f aca="false">IF(OR(X845="",X845="Pending"),"",IF(V845&lt;&gt;"",V845,IFERROR(IF(INDEX(Batches!$H$5:$H$64,MATCH(B845,Batches!$A$5:$A$64,0))="","",INDEX(Batches!$H$5:$H$64,MATCH(B845,Batches!$A$5:$A$64,0))),"")))</f>
        <v/>
      </c>
      <c r="X845" s="23"/>
      <c r="Y845" s="23"/>
      <c r="Z845" s="26"/>
      <c r="AA845" s="27" t="str">
        <f aca="false">IF(R845="","",IF(X845="Not accepted",R845,IF(OR(X845="Accepted",X845="Withdrawn by hospital"),IF(X845="Accepted",0,R845),IF(ISNUMBER(Z845),R845-Z845,""))))</f>
        <v/>
      </c>
      <c r="AB845" s="23"/>
      <c r="AC845" s="25"/>
      <c r="AD845" s="23"/>
      <c r="AE845" s="23"/>
      <c r="AF845" s="24"/>
      <c r="AG845" s="23"/>
      <c r="AH845" s="24"/>
      <c r="AI845" s="29" t="str">
        <f aca="false">IF(X845="Not accepted","Maintained",IF(X845="Partially accepted","Partially maintained",IF(X845="Accepted","Reversed",IF(X845="Withdrawn by hospital","Withdrawn by hospital",""))))</f>
        <v/>
      </c>
      <c r="AJ845" s="28" t="str">
        <f aca="false">IF(AI845="","",W845)</f>
        <v/>
      </c>
      <c r="AK845" s="29" t="str">
        <f aca="false">IF(AND(ISNUMBER(T845),ISNUMBER(W845)),W845-T845,"")</f>
        <v/>
      </c>
      <c r="AL845" s="29" t="str">
        <f aca="false">IF(A845="","",SUMIF(Actions!$C$5:$C$1004,A845,Actions!$F$5:$F$1004))</f>
        <v/>
      </c>
      <c r="AM845" s="25"/>
    </row>
    <row r="846" customFormat="false" ht="15" hidden="false" customHeight="false" outlineLevel="0" collapsed="false">
      <c r="A846" s="23"/>
      <c r="B846" s="23"/>
      <c r="C846" s="23"/>
      <c r="D846" s="23"/>
      <c r="E846" s="23"/>
      <c r="F846" s="23"/>
      <c r="G846" s="23"/>
      <c r="H846" s="23"/>
      <c r="I846" s="23"/>
      <c r="J846" s="23"/>
      <c r="K846" s="24"/>
      <c r="L846" s="23"/>
      <c r="M846" s="25"/>
      <c r="N846" s="25"/>
      <c r="O846" s="23"/>
      <c r="P846" s="26"/>
      <c r="Q846" s="26"/>
      <c r="R846" s="27" t="str">
        <f aca="false">IF(AND(ISNUMBER(P846),ISNUMBER(Q846)),P846-Q846,"")</f>
        <v/>
      </c>
      <c r="S846" s="24"/>
      <c r="T846" s="28" t="str">
        <f aca="false">IF(S846&lt;&gt;"",S846,IF(B846="","",IFERROR(IF(INDEX(Batches!$G$5:$G$64,MATCH(B846,Batches!$A$5:$A$64,0))="","",INDEX(Batches!$G$5:$G$64,MATCH(B846,Batches!$A$5:$A$64,0))),"")))</f>
        <v/>
      </c>
      <c r="U846" s="23"/>
      <c r="V846" s="24"/>
      <c r="W846" s="28" t="str">
        <f aca="false">IF(OR(X846="",X846="Pending"),"",IF(V846&lt;&gt;"",V846,IFERROR(IF(INDEX(Batches!$H$5:$H$64,MATCH(B846,Batches!$A$5:$A$64,0))="","",INDEX(Batches!$H$5:$H$64,MATCH(B846,Batches!$A$5:$A$64,0))),"")))</f>
        <v/>
      </c>
      <c r="X846" s="23"/>
      <c r="Y846" s="23"/>
      <c r="Z846" s="26"/>
      <c r="AA846" s="27" t="str">
        <f aca="false">IF(R846="","",IF(X846="Not accepted",R846,IF(OR(X846="Accepted",X846="Withdrawn by hospital"),IF(X846="Accepted",0,R846),IF(ISNUMBER(Z846),R846-Z846,""))))</f>
        <v/>
      </c>
      <c r="AB846" s="23"/>
      <c r="AC846" s="25"/>
      <c r="AD846" s="23"/>
      <c r="AE846" s="23"/>
      <c r="AF846" s="24"/>
      <c r="AG846" s="23"/>
      <c r="AH846" s="24"/>
      <c r="AI846" s="29" t="str">
        <f aca="false">IF(X846="Not accepted","Maintained",IF(X846="Partially accepted","Partially maintained",IF(X846="Accepted","Reversed",IF(X846="Withdrawn by hospital","Withdrawn by hospital",""))))</f>
        <v/>
      </c>
      <c r="AJ846" s="28" t="str">
        <f aca="false">IF(AI846="","",W846)</f>
        <v/>
      </c>
      <c r="AK846" s="29" t="str">
        <f aca="false">IF(AND(ISNUMBER(T846),ISNUMBER(W846)),W846-T846,"")</f>
        <v/>
      </c>
      <c r="AL846" s="29" t="str">
        <f aca="false">IF(A846="","",SUMIF(Actions!$C$5:$C$1004,A846,Actions!$F$5:$F$1004))</f>
        <v/>
      </c>
      <c r="AM846" s="25"/>
    </row>
    <row r="847" customFormat="false" ht="15" hidden="false" customHeight="false" outlineLevel="0" collapsed="false">
      <c r="A847" s="23"/>
      <c r="B847" s="23"/>
      <c r="C847" s="23"/>
      <c r="D847" s="23"/>
      <c r="E847" s="23"/>
      <c r="F847" s="23"/>
      <c r="G847" s="23"/>
      <c r="H847" s="23"/>
      <c r="I847" s="23"/>
      <c r="J847" s="23"/>
      <c r="K847" s="24"/>
      <c r="L847" s="23"/>
      <c r="M847" s="25"/>
      <c r="N847" s="25"/>
      <c r="O847" s="23"/>
      <c r="P847" s="26"/>
      <c r="Q847" s="26"/>
      <c r="R847" s="27" t="str">
        <f aca="false">IF(AND(ISNUMBER(P847),ISNUMBER(Q847)),P847-Q847,"")</f>
        <v/>
      </c>
      <c r="S847" s="24"/>
      <c r="T847" s="28" t="str">
        <f aca="false">IF(S847&lt;&gt;"",S847,IF(B847="","",IFERROR(IF(INDEX(Batches!$G$5:$G$64,MATCH(B847,Batches!$A$5:$A$64,0))="","",INDEX(Batches!$G$5:$G$64,MATCH(B847,Batches!$A$5:$A$64,0))),"")))</f>
        <v/>
      </c>
      <c r="U847" s="23"/>
      <c r="V847" s="24"/>
      <c r="W847" s="28" t="str">
        <f aca="false">IF(OR(X847="",X847="Pending"),"",IF(V847&lt;&gt;"",V847,IFERROR(IF(INDEX(Batches!$H$5:$H$64,MATCH(B847,Batches!$A$5:$A$64,0))="","",INDEX(Batches!$H$5:$H$64,MATCH(B847,Batches!$A$5:$A$64,0))),"")))</f>
        <v/>
      </c>
      <c r="X847" s="23"/>
      <c r="Y847" s="23"/>
      <c r="Z847" s="26"/>
      <c r="AA847" s="27" t="str">
        <f aca="false">IF(R847="","",IF(X847="Not accepted",R847,IF(OR(X847="Accepted",X847="Withdrawn by hospital"),IF(X847="Accepted",0,R847),IF(ISNUMBER(Z847),R847-Z847,""))))</f>
        <v/>
      </c>
      <c r="AB847" s="23"/>
      <c r="AC847" s="25"/>
      <c r="AD847" s="23"/>
      <c r="AE847" s="23"/>
      <c r="AF847" s="24"/>
      <c r="AG847" s="23"/>
      <c r="AH847" s="24"/>
      <c r="AI847" s="29" t="str">
        <f aca="false">IF(X847="Not accepted","Maintained",IF(X847="Partially accepted","Partially maintained",IF(X847="Accepted","Reversed",IF(X847="Withdrawn by hospital","Withdrawn by hospital",""))))</f>
        <v/>
      </c>
      <c r="AJ847" s="28" t="str">
        <f aca="false">IF(AI847="","",W847)</f>
        <v/>
      </c>
      <c r="AK847" s="29" t="str">
        <f aca="false">IF(AND(ISNUMBER(T847),ISNUMBER(W847)),W847-T847,"")</f>
        <v/>
      </c>
      <c r="AL847" s="29" t="str">
        <f aca="false">IF(A847="","",SUMIF(Actions!$C$5:$C$1004,A847,Actions!$F$5:$F$1004))</f>
        <v/>
      </c>
      <c r="AM847" s="25"/>
    </row>
    <row r="848" customFormat="false" ht="15" hidden="false" customHeight="false" outlineLevel="0" collapsed="false">
      <c r="A848" s="23"/>
      <c r="B848" s="23"/>
      <c r="C848" s="23"/>
      <c r="D848" s="23"/>
      <c r="E848" s="23"/>
      <c r="F848" s="23"/>
      <c r="G848" s="23"/>
      <c r="H848" s="23"/>
      <c r="I848" s="23"/>
      <c r="J848" s="23"/>
      <c r="K848" s="24"/>
      <c r="L848" s="23"/>
      <c r="M848" s="25"/>
      <c r="N848" s="25"/>
      <c r="O848" s="23"/>
      <c r="P848" s="26"/>
      <c r="Q848" s="26"/>
      <c r="R848" s="27" t="str">
        <f aca="false">IF(AND(ISNUMBER(P848),ISNUMBER(Q848)),P848-Q848,"")</f>
        <v/>
      </c>
      <c r="S848" s="24"/>
      <c r="T848" s="28" t="str">
        <f aca="false">IF(S848&lt;&gt;"",S848,IF(B848="","",IFERROR(IF(INDEX(Batches!$G$5:$G$64,MATCH(B848,Batches!$A$5:$A$64,0))="","",INDEX(Batches!$G$5:$G$64,MATCH(B848,Batches!$A$5:$A$64,0))),"")))</f>
        <v/>
      </c>
      <c r="U848" s="23"/>
      <c r="V848" s="24"/>
      <c r="W848" s="28" t="str">
        <f aca="false">IF(OR(X848="",X848="Pending"),"",IF(V848&lt;&gt;"",V848,IFERROR(IF(INDEX(Batches!$H$5:$H$64,MATCH(B848,Batches!$A$5:$A$64,0))="","",INDEX(Batches!$H$5:$H$64,MATCH(B848,Batches!$A$5:$A$64,0))),"")))</f>
        <v/>
      </c>
      <c r="X848" s="23"/>
      <c r="Y848" s="23"/>
      <c r="Z848" s="26"/>
      <c r="AA848" s="27" t="str">
        <f aca="false">IF(R848="","",IF(X848="Not accepted",R848,IF(OR(X848="Accepted",X848="Withdrawn by hospital"),IF(X848="Accepted",0,R848),IF(ISNUMBER(Z848),R848-Z848,""))))</f>
        <v/>
      </c>
      <c r="AB848" s="23"/>
      <c r="AC848" s="25"/>
      <c r="AD848" s="23"/>
      <c r="AE848" s="23"/>
      <c r="AF848" s="24"/>
      <c r="AG848" s="23"/>
      <c r="AH848" s="24"/>
      <c r="AI848" s="29" t="str">
        <f aca="false">IF(X848="Not accepted","Maintained",IF(X848="Partially accepted","Partially maintained",IF(X848="Accepted","Reversed",IF(X848="Withdrawn by hospital","Withdrawn by hospital",""))))</f>
        <v/>
      </c>
      <c r="AJ848" s="28" t="str">
        <f aca="false">IF(AI848="","",W848)</f>
        <v/>
      </c>
      <c r="AK848" s="29" t="str">
        <f aca="false">IF(AND(ISNUMBER(T848),ISNUMBER(W848)),W848-T848,"")</f>
        <v/>
      </c>
      <c r="AL848" s="29" t="str">
        <f aca="false">IF(A848="","",SUMIF(Actions!$C$5:$C$1004,A848,Actions!$F$5:$F$1004))</f>
        <v/>
      </c>
      <c r="AM848" s="25"/>
    </row>
    <row r="849" customFormat="false" ht="15" hidden="false" customHeight="false" outlineLevel="0" collapsed="false">
      <c r="A849" s="23"/>
      <c r="B849" s="23"/>
      <c r="C849" s="23"/>
      <c r="D849" s="23"/>
      <c r="E849" s="23"/>
      <c r="F849" s="23"/>
      <c r="G849" s="23"/>
      <c r="H849" s="23"/>
      <c r="I849" s="23"/>
      <c r="J849" s="23"/>
      <c r="K849" s="24"/>
      <c r="L849" s="23"/>
      <c r="M849" s="25"/>
      <c r="N849" s="25"/>
      <c r="O849" s="23"/>
      <c r="P849" s="26"/>
      <c r="Q849" s="26"/>
      <c r="R849" s="27" t="str">
        <f aca="false">IF(AND(ISNUMBER(P849),ISNUMBER(Q849)),P849-Q849,"")</f>
        <v/>
      </c>
      <c r="S849" s="24"/>
      <c r="T849" s="28" t="str">
        <f aca="false">IF(S849&lt;&gt;"",S849,IF(B849="","",IFERROR(IF(INDEX(Batches!$G$5:$G$64,MATCH(B849,Batches!$A$5:$A$64,0))="","",INDEX(Batches!$G$5:$G$64,MATCH(B849,Batches!$A$5:$A$64,0))),"")))</f>
        <v/>
      </c>
      <c r="U849" s="23"/>
      <c r="V849" s="24"/>
      <c r="W849" s="28" t="str">
        <f aca="false">IF(OR(X849="",X849="Pending"),"",IF(V849&lt;&gt;"",V849,IFERROR(IF(INDEX(Batches!$H$5:$H$64,MATCH(B849,Batches!$A$5:$A$64,0))="","",INDEX(Batches!$H$5:$H$64,MATCH(B849,Batches!$A$5:$A$64,0))),"")))</f>
        <v/>
      </c>
      <c r="X849" s="23"/>
      <c r="Y849" s="23"/>
      <c r="Z849" s="26"/>
      <c r="AA849" s="27" t="str">
        <f aca="false">IF(R849="","",IF(X849="Not accepted",R849,IF(OR(X849="Accepted",X849="Withdrawn by hospital"),IF(X849="Accepted",0,R849),IF(ISNUMBER(Z849),R849-Z849,""))))</f>
        <v/>
      </c>
      <c r="AB849" s="23"/>
      <c r="AC849" s="25"/>
      <c r="AD849" s="23"/>
      <c r="AE849" s="23"/>
      <c r="AF849" s="24"/>
      <c r="AG849" s="23"/>
      <c r="AH849" s="24"/>
      <c r="AI849" s="29" t="str">
        <f aca="false">IF(X849="Not accepted","Maintained",IF(X849="Partially accepted","Partially maintained",IF(X849="Accepted","Reversed",IF(X849="Withdrawn by hospital","Withdrawn by hospital",""))))</f>
        <v/>
      </c>
      <c r="AJ849" s="28" t="str">
        <f aca="false">IF(AI849="","",W849)</f>
        <v/>
      </c>
      <c r="AK849" s="29" t="str">
        <f aca="false">IF(AND(ISNUMBER(T849),ISNUMBER(W849)),W849-T849,"")</f>
        <v/>
      </c>
      <c r="AL849" s="29" t="str">
        <f aca="false">IF(A849="","",SUMIF(Actions!$C$5:$C$1004,A849,Actions!$F$5:$F$1004))</f>
        <v/>
      </c>
      <c r="AM849" s="25"/>
    </row>
    <row r="850" customFormat="false" ht="15" hidden="false" customHeight="false" outlineLevel="0" collapsed="false">
      <c r="A850" s="23"/>
      <c r="B850" s="23"/>
      <c r="C850" s="23"/>
      <c r="D850" s="23"/>
      <c r="E850" s="23"/>
      <c r="F850" s="23"/>
      <c r="G850" s="23"/>
      <c r="H850" s="23"/>
      <c r="I850" s="23"/>
      <c r="J850" s="23"/>
      <c r="K850" s="24"/>
      <c r="L850" s="23"/>
      <c r="M850" s="25"/>
      <c r="N850" s="25"/>
      <c r="O850" s="23"/>
      <c r="P850" s="26"/>
      <c r="Q850" s="26"/>
      <c r="R850" s="27" t="str">
        <f aca="false">IF(AND(ISNUMBER(P850),ISNUMBER(Q850)),P850-Q850,"")</f>
        <v/>
      </c>
      <c r="S850" s="24"/>
      <c r="T850" s="28" t="str">
        <f aca="false">IF(S850&lt;&gt;"",S850,IF(B850="","",IFERROR(IF(INDEX(Batches!$G$5:$G$64,MATCH(B850,Batches!$A$5:$A$64,0))="","",INDEX(Batches!$G$5:$G$64,MATCH(B850,Batches!$A$5:$A$64,0))),"")))</f>
        <v/>
      </c>
      <c r="U850" s="23"/>
      <c r="V850" s="24"/>
      <c r="W850" s="28" t="str">
        <f aca="false">IF(OR(X850="",X850="Pending"),"",IF(V850&lt;&gt;"",V850,IFERROR(IF(INDEX(Batches!$H$5:$H$64,MATCH(B850,Batches!$A$5:$A$64,0))="","",INDEX(Batches!$H$5:$H$64,MATCH(B850,Batches!$A$5:$A$64,0))),"")))</f>
        <v/>
      </c>
      <c r="X850" s="23"/>
      <c r="Y850" s="23"/>
      <c r="Z850" s="26"/>
      <c r="AA850" s="27" t="str">
        <f aca="false">IF(R850="","",IF(X850="Not accepted",R850,IF(OR(X850="Accepted",X850="Withdrawn by hospital"),IF(X850="Accepted",0,R850),IF(ISNUMBER(Z850),R850-Z850,""))))</f>
        <v/>
      </c>
      <c r="AB850" s="23"/>
      <c r="AC850" s="25"/>
      <c r="AD850" s="23"/>
      <c r="AE850" s="23"/>
      <c r="AF850" s="24"/>
      <c r="AG850" s="23"/>
      <c r="AH850" s="24"/>
      <c r="AI850" s="29" t="str">
        <f aca="false">IF(X850="Not accepted","Maintained",IF(X850="Partially accepted","Partially maintained",IF(X850="Accepted","Reversed",IF(X850="Withdrawn by hospital","Withdrawn by hospital",""))))</f>
        <v/>
      </c>
      <c r="AJ850" s="28" t="str">
        <f aca="false">IF(AI850="","",W850)</f>
        <v/>
      </c>
      <c r="AK850" s="29" t="str">
        <f aca="false">IF(AND(ISNUMBER(T850),ISNUMBER(W850)),W850-T850,"")</f>
        <v/>
      </c>
      <c r="AL850" s="29" t="str">
        <f aca="false">IF(A850="","",SUMIF(Actions!$C$5:$C$1004,A850,Actions!$F$5:$F$1004))</f>
        <v/>
      </c>
      <c r="AM850" s="25"/>
    </row>
    <row r="851" customFormat="false" ht="15" hidden="false" customHeight="false" outlineLevel="0" collapsed="false">
      <c r="A851" s="23"/>
      <c r="B851" s="23"/>
      <c r="C851" s="23"/>
      <c r="D851" s="23"/>
      <c r="E851" s="23"/>
      <c r="F851" s="23"/>
      <c r="G851" s="23"/>
      <c r="H851" s="23"/>
      <c r="I851" s="23"/>
      <c r="J851" s="23"/>
      <c r="K851" s="24"/>
      <c r="L851" s="23"/>
      <c r="M851" s="25"/>
      <c r="N851" s="25"/>
      <c r="O851" s="23"/>
      <c r="P851" s="26"/>
      <c r="Q851" s="26"/>
      <c r="R851" s="27" t="str">
        <f aca="false">IF(AND(ISNUMBER(P851),ISNUMBER(Q851)),P851-Q851,"")</f>
        <v/>
      </c>
      <c r="S851" s="24"/>
      <c r="T851" s="28" t="str">
        <f aca="false">IF(S851&lt;&gt;"",S851,IF(B851="","",IFERROR(IF(INDEX(Batches!$G$5:$G$64,MATCH(B851,Batches!$A$5:$A$64,0))="","",INDEX(Batches!$G$5:$G$64,MATCH(B851,Batches!$A$5:$A$64,0))),"")))</f>
        <v/>
      </c>
      <c r="U851" s="23"/>
      <c r="V851" s="24"/>
      <c r="W851" s="28" t="str">
        <f aca="false">IF(OR(X851="",X851="Pending"),"",IF(V851&lt;&gt;"",V851,IFERROR(IF(INDEX(Batches!$H$5:$H$64,MATCH(B851,Batches!$A$5:$A$64,0))="","",INDEX(Batches!$H$5:$H$64,MATCH(B851,Batches!$A$5:$A$64,0))),"")))</f>
        <v/>
      </c>
      <c r="X851" s="23"/>
      <c r="Y851" s="23"/>
      <c r="Z851" s="26"/>
      <c r="AA851" s="27" t="str">
        <f aca="false">IF(R851="","",IF(X851="Not accepted",R851,IF(OR(X851="Accepted",X851="Withdrawn by hospital"),IF(X851="Accepted",0,R851),IF(ISNUMBER(Z851),R851-Z851,""))))</f>
        <v/>
      </c>
      <c r="AB851" s="23"/>
      <c r="AC851" s="25"/>
      <c r="AD851" s="23"/>
      <c r="AE851" s="23"/>
      <c r="AF851" s="24"/>
      <c r="AG851" s="23"/>
      <c r="AH851" s="24"/>
      <c r="AI851" s="29" t="str">
        <f aca="false">IF(X851="Not accepted","Maintained",IF(X851="Partially accepted","Partially maintained",IF(X851="Accepted","Reversed",IF(X851="Withdrawn by hospital","Withdrawn by hospital",""))))</f>
        <v/>
      </c>
      <c r="AJ851" s="28" t="str">
        <f aca="false">IF(AI851="","",W851)</f>
        <v/>
      </c>
      <c r="AK851" s="29" t="str">
        <f aca="false">IF(AND(ISNUMBER(T851),ISNUMBER(W851)),W851-T851,"")</f>
        <v/>
      </c>
      <c r="AL851" s="29" t="str">
        <f aca="false">IF(A851="","",SUMIF(Actions!$C$5:$C$1004,A851,Actions!$F$5:$F$1004))</f>
        <v/>
      </c>
      <c r="AM851" s="25"/>
    </row>
    <row r="852" customFormat="false" ht="15" hidden="false" customHeight="false" outlineLevel="0" collapsed="false">
      <c r="A852" s="23"/>
      <c r="B852" s="23"/>
      <c r="C852" s="23"/>
      <c r="D852" s="23"/>
      <c r="E852" s="23"/>
      <c r="F852" s="23"/>
      <c r="G852" s="23"/>
      <c r="H852" s="23"/>
      <c r="I852" s="23"/>
      <c r="J852" s="23"/>
      <c r="K852" s="24"/>
      <c r="L852" s="23"/>
      <c r="M852" s="25"/>
      <c r="N852" s="25"/>
      <c r="O852" s="23"/>
      <c r="P852" s="26"/>
      <c r="Q852" s="26"/>
      <c r="R852" s="27" t="str">
        <f aca="false">IF(AND(ISNUMBER(P852),ISNUMBER(Q852)),P852-Q852,"")</f>
        <v/>
      </c>
      <c r="S852" s="24"/>
      <c r="T852" s="28" t="str">
        <f aca="false">IF(S852&lt;&gt;"",S852,IF(B852="","",IFERROR(IF(INDEX(Batches!$G$5:$G$64,MATCH(B852,Batches!$A$5:$A$64,0))="","",INDEX(Batches!$G$5:$G$64,MATCH(B852,Batches!$A$5:$A$64,0))),"")))</f>
        <v/>
      </c>
      <c r="U852" s="23"/>
      <c r="V852" s="24"/>
      <c r="W852" s="28" t="str">
        <f aca="false">IF(OR(X852="",X852="Pending"),"",IF(V852&lt;&gt;"",V852,IFERROR(IF(INDEX(Batches!$H$5:$H$64,MATCH(B852,Batches!$A$5:$A$64,0))="","",INDEX(Batches!$H$5:$H$64,MATCH(B852,Batches!$A$5:$A$64,0))),"")))</f>
        <v/>
      </c>
      <c r="X852" s="23"/>
      <c r="Y852" s="23"/>
      <c r="Z852" s="26"/>
      <c r="AA852" s="27" t="str">
        <f aca="false">IF(R852="","",IF(X852="Not accepted",R852,IF(OR(X852="Accepted",X852="Withdrawn by hospital"),IF(X852="Accepted",0,R852),IF(ISNUMBER(Z852),R852-Z852,""))))</f>
        <v/>
      </c>
      <c r="AB852" s="23"/>
      <c r="AC852" s="25"/>
      <c r="AD852" s="23"/>
      <c r="AE852" s="23"/>
      <c r="AF852" s="24"/>
      <c r="AG852" s="23"/>
      <c r="AH852" s="24"/>
      <c r="AI852" s="29" t="str">
        <f aca="false">IF(X852="Not accepted","Maintained",IF(X852="Partially accepted","Partially maintained",IF(X852="Accepted","Reversed",IF(X852="Withdrawn by hospital","Withdrawn by hospital",""))))</f>
        <v/>
      </c>
      <c r="AJ852" s="28" t="str">
        <f aca="false">IF(AI852="","",W852)</f>
        <v/>
      </c>
      <c r="AK852" s="29" t="str">
        <f aca="false">IF(AND(ISNUMBER(T852),ISNUMBER(W852)),W852-T852,"")</f>
        <v/>
      </c>
      <c r="AL852" s="29" t="str">
        <f aca="false">IF(A852="","",SUMIF(Actions!$C$5:$C$1004,A852,Actions!$F$5:$F$1004))</f>
        <v/>
      </c>
      <c r="AM852" s="25"/>
    </row>
    <row r="853" customFormat="false" ht="15" hidden="false" customHeight="false" outlineLevel="0" collapsed="false">
      <c r="A853" s="23"/>
      <c r="B853" s="23"/>
      <c r="C853" s="23"/>
      <c r="D853" s="23"/>
      <c r="E853" s="23"/>
      <c r="F853" s="23"/>
      <c r="G853" s="23"/>
      <c r="H853" s="23"/>
      <c r="I853" s="23"/>
      <c r="J853" s="23"/>
      <c r="K853" s="24"/>
      <c r="L853" s="23"/>
      <c r="M853" s="25"/>
      <c r="N853" s="25"/>
      <c r="O853" s="23"/>
      <c r="P853" s="26"/>
      <c r="Q853" s="26"/>
      <c r="R853" s="27" t="str">
        <f aca="false">IF(AND(ISNUMBER(P853),ISNUMBER(Q853)),P853-Q853,"")</f>
        <v/>
      </c>
      <c r="S853" s="24"/>
      <c r="T853" s="28" t="str">
        <f aca="false">IF(S853&lt;&gt;"",S853,IF(B853="","",IFERROR(IF(INDEX(Batches!$G$5:$G$64,MATCH(B853,Batches!$A$5:$A$64,0))="","",INDEX(Batches!$G$5:$G$64,MATCH(B853,Batches!$A$5:$A$64,0))),"")))</f>
        <v/>
      </c>
      <c r="U853" s="23"/>
      <c r="V853" s="24"/>
      <c r="W853" s="28" t="str">
        <f aca="false">IF(OR(X853="",X853="Pending"),"",IF(V853&lt;&gt;"",V853,IFERROR(IF(INDEX(Batches!$H$5:$H$64,MATCH(B853,Batches!$A$5:$A$64,0))="","",INDEX(Batches!$H$5:$H$64,MATCH(B853,Batches!$A$5:$A$64,0))),"")))</f>
        <v/>
      </c>
      <c r="X853" s="23"/>
      <c r="Y853" s="23"/>
      <c r="Z853" s="26"/>
      <c r="AA853" s="27" t="str">
        <f aca="false">IF(R853="","",IF(X853="Not accepted",R853,IF(OR(X853="Accepted",X853="Withdrawn by hospital"),IF(X853="Accepted",0,R853),IF(ISNUMBER(Z853),R853-Z853,""))))</f>
        <v/>
      </c>
      <c r="AB853" s="23"/>
      <c r="AC853" s="25"/>
      <c r="AD853" s="23"/>
      <c r="AE853" s="23"/>
      <c r="AF853" s="24"/>
      <c r="AG853" s="23"/>
      <c r="AH853" s="24"/>
      <c r="AI853" s="29" t="str">
        <f aca="false">IF(X853="Not accepted","Maintained",IF(X853="Partially accepted","Partially maintained",IF(X853="Accepted","Reversed",IF(X853="Withdrawn by hospital","Withdrawn by hospital",""))))</f>
        <v/>
      </c>
      <c r="AJ853" s="28" t="str">
        <f aca="false">IF(AI853="","",W853)</f>
        <v/>
      </c>
      <c r="AK853" s="29" t="str">
        <f aca="false">IF(AND(ISNUMBER(T853),ISNUMBER(W853)),W853-T853,"")</f>
        <v/>
      </c>
      <c r="AL853" s="29" t="str">
        <f aca="false">IF(A853="","",SUMIF(Actions!$C$5:$C$1004,A853,Actions!$F$5:$F$1004))</f>
        <v/>
      </c>
      <c r="AM853" s="25"/>
    </row>
    <row r="854" customFormat="false" ht="15" hidden="false" customHeight="false" outlineLevel="0" collapsed="false">
      <c r="A854" s="23"/>
      <c r="B854" s="23"/>
      <c r="C854" s="23"/>
      <c r="D854" s="23"/>
      <c r="E854" s="23"/>
      <c r="F854" s="23"/>
      <c r="G854" s="23"/>
      <c r="H854" s="23"/>
      <c r="I854" s="23"/>
      <c r="J854" s="23"/>
      <c r="K854" s="24"/>
      <c r="L854" s="23"/>
      <c r="M854" s="25"/>
      <c r="N854" s="25"/>
      <c r="O854" s="23"/>
      <c r="P854" s="26"/>
      <c r="Q854" s="26"/>
      <c r="R854" s="27" t="str">
        <f aca="false">IF(AND(ISNUMBER(P854),ISNUMBER(Q854)),P854-Q854,"")</f>
        <v/>
      </c>
      <c r="S854" s="24"/>
      <c r="T854" s="28" t="str">
        <f aca="false">IF(S854&lt;&gt;"",S854,IF(B854="","",IFERROR(IF(INDEX(Batches!$G$5:$G$64,MATCH(B854,Batches!$A$5:$A$64,0))="","",INDEX(Batches!$G$5:$G$64,MATCH(B854,Batches!$A$5:$A$64,0))),"")))</f>
        <v/>
      </c>
      <c r="U854" s="23"/>
      <c r="V854" s="24"/>
      <c r="W854" s="28" t="str">
        <f aca="false">IF(OR(X854="",X854="Pending"),"",IF(V854&lt;&gt;"",V854,IFERROR(IF(INDEX(Batches!$H$5:$H$64,MATCH(B854,Batches!$A$5:$A$64,0))="","",INDEX(Batches!$H$5:$H$64,MATCH(B854,Batches!$A$5:$A$64,0))),"")))</f>
        <v/>
      </c>
      <c r="X854" s="23"/>
      <c r="Y854" s="23"/>
      <c r="Z854" s="26"/>
      <c r="AA854" s="27" t="str">
        <f aca="false">IF(R854="","",IF(X854="Not accepted",R854,IF(OR(X854="Accepted",X854="Withdrawn by hospital"),IF(X854="Accepted",0,R854),IF(ISNUMBER(Z854),R854-Z854,""))))</f>
        <v/>
      </c>
      <c r="AB854" s="23"/>
      <c r="AC854" s="25"/>
      <c r="AD854" s="23"/>
      <c r="AE854" s="23"/>
      <c r="AF854" s="24"/>
      <c r="AG854" s="23"/>
      <c r="AH854" s="24"/>
      <c r="AI854" s="29" t="str">
        <f aca="false">IF(X854="Not accepted","Maintained",IF(X854="Partially accepted","Partially maintained",IF(X854="Accepted","Reversed",IF(X854="Withdrawn by hospital","Withdrawn by hospital",""))))</f>
        <v/>
      </c>
      <c r="AJ854" s="28" t="str">
        <f aca="false">IF(AI854="","",W854)</f>
        <v/>
      </c>
      <c r="AK854" s="29" t="str">
        <f aca="false">IF(AND(ISNUMBER(T854),ISNUMBER(W854)),W854-T854,"")</f>
        <v/>
      </c>
      <c r="AL854" s="29" t="str">
        <f aca="false">IF(A854="","",SUMIF(Actions!$C$5:$C$1004,A854,Actions!$F$5:$F$1004))</f>
        <v/>
      </c>
      <c r="AM854" s="25"/>
    </row>
    <row r="855" customFormat="false" ht="15" hidden="false" customHeight="false" outlineLevel="0" collapsed="false">
      <c r="A855" s="23"/>
      <c r="B855" s="23"/>
      <c r="C855" s="23"/>
      <c r="D855" s="23"/>
      <c r="E855" s="23"/>
      <c r="F855" s="23"/>
      <c r="G855" s="23"/>
      <c r="H855" s="23"/>
      <c r="I855" s="23"/>
      <c r="J855" s="23"/>
      <c r="K855" s="24"/>
      <c r="L855" s="23"/>
      <c r="M855" s="25"/>
      <c r="N855" s="25"/>
      <c r="O855" s="23"/>
      <c r="P855" s="26"/>
      <c r="Q855" s="26"/>
      <c r="R855" s="27" t="str">
        <f aca="false">IF(AND(ISNUMBER(P855),ISNUMBER(Q855)),P855-Q855,"")</f>
        <v/>
      </c>
      <c r="S855" s="24"/>
      <c r="T855" s="28" t="str">
        <f aca="false">IF(S855&lt;&gt;"",S855,IF(B855="","",IFERROR(IF(INDEX(Batches!$G$5:$G$64,MATCH(B855,Batches!$A$5:$A$64,0))="","",INDEX(Batches!$G$5:$G$64,MATCH(B855,Batches!$A$5:$A$64,0))),"")))</f>
        <v/>
      </c>
      <c r="U855" s="23"/>
      <c r="V855" s="24"/>
      <c r="W855" s="28" t="str">
        <f aca="false">IF(OR(X855="",X855="Pending"),"",IF(V855&lt;&gt;"",V855,IFERROR(IF(INDEX(Batches!$H$5:$H$64,MATCH(B855,Batches!$A$5:$A$64,0))="","",INDEX(Batches!$H$5:$H$64,MATCH(B855,Batches!$A$5:$A$64,0))),"")))</f>
        <v/>
      </c>
      <c r="X855" s="23"/>
      <c r="Y855" s="23"/>
      <c r="Z855" s="26"/>
      <c r="AA855" s="27" t="str">
        <f aca="false">IF(R855="","",IF(X855="Not accepted",R855,IF(OR(X855="Accepted",X855="Withdrawn by hospital"),IF(X855="Accepted",0,R855),IF(ISNUMBER(Z855),R855-Z855,""))))</f>
        <v/>
      </c>
      <c r="AB855" s="23"/>
      <c r="AC855" s="25"/>
      <c r="AD855" s="23"/>
      <c r="AE855" s="23"/>
      <c r="AF855" s="24"/>
      <c r="AG855" s="23"/>
      <c r="AH855" s="24"/>
      <c r="AI855" s="29" t="str">
        <f aca="false">IF(X855="Not accepted","Maintained",IF(X855="Partially accepted","Partially maintained",IF(X855="Accepted","Reversed",IF(X855="Withdrawn by hospital","Withdrawn by hospital",""))))</f>
        <v/>
      </c>
      <c r="AJ855" s="28" t="str">
        <f aca="false">IF(AI855="","",W855)</f>
        <v/>
      </c>
      <c r="AK855" s="29" t="str">
        <f aca="false">IF(AND(ISNUMBER(T855),ISNUMBER(W855)),W855-T855,"")</f>
        <v/>
      </c>
      <c r="AL855" s="29" t="str">
        <f aca="false">IF(A855="","",SUMIF(Actions!$C$5:$C$1004,A855,Actions!$F$5:$F$1004))</f>
        <v/>
      </c>
      <c r="AM855" s="25"/>
    </row>
    <row r="856" customFormat="false" ht="15" hidden="false" customHeight="false" outlineLevel="0" collapsed="false">
      <c r="A856" s="23"/>
      <c r="B856" s="23"/>
      <c r="C856" s="23"/>
      <c r="D856" s="23"/>
      <c r="E856" s="23"/>
      <c r="F856" s="23"/>
      <c r="G856" s="23"/>
      <c r="H856" s="23"/>
      <c r="I856" s="23"/>
      <c r="J856" s="23"/>
      <c r="K856" s="24"/>
      <c r="L856" s="23"/>
      <c r="M856" s="25"/>
      <c r="N856" s="25"/>
      <c r="O856" s="23"/>
      <c r="P856" s="26"/>
      <c r="Q856" s="26"/>
      <c r="R856" s="27" t="str">
        <f aca="false">IF(AND(ISNUMBER(P856),ISNUMBER(Q856)),P856-Q856,"")</f>
        <v/>
      </c>
      <c r="S856" s="24"/>
      <c r="T856" s="28" t="str">
        <f aca="false">IF(S856&lt;&gt;"",S856,IF(B856="","",IFERROR(IF(INDEX(Batches!$G$5:$G$64,MATCH(B856,Batches!$A$5:$A$64,0))="","",INDEX(Batches!$G$5:$G$64,MATCH(B856,Batches!$A$5:$A$64,0))),"")))</f>
        <v/>
      </c>
      <c r="U856" s="23"/>
      <c r="V856" s="24"/>
      <c r="W856" s="28" t="str">
        <f aca="false">IF(OR(X856="",X856="Pending"),"",IF(V856&lt;&gt;"",V856,IFERROR(IF(INDEX(Batches!$H$5:$H$64,MATCH(B856,Batches!$A$5:$A$64,0))="","",INDEX(Batches!$H$5:$H$64,MATCH(B856,Batches!$A$5:$A$64,0))),"")))</f>
        <v/>
      </c>
      <c r="X856" s="23"/>
      <c r="Y856" s="23"/>
      <c r="Z856" s="26"/>
      <c r="AA856" s="27" t="str">
        <f aca="false">IF(R856="","",IF(X856="Not accepted",R856,IF(OR(X856="Accepted",X856="Withdrawn by hospital"),IF(X856="Accepted",0,R856),IF(ISNUMBER(Z856),R856-Z856,""))))</f>
        <v/>
      </c>
      <c r="AB856" s="23"/>
      <c r="AC856" s="25"/>
      <c r="AD856" s="23"/>
      <c r="AE856" s="23"/>
      <c r="AF856" s="24"/>
      <c r="AG856" s="23"/>
      <c r="AH856" s="24"/>
      <c r="AI856" s="29" t="str">
        <f aca="false">IF(X856="Not accepted","Maintained",IF(X856="Partially accepted","Partially maintained",IF(X856="Accepted","Reversed",IF(X856="Withdrawn by hospital","Withdrawn by hospital",""))))</f>
        <v/>
      </c>
      <c r="AJ856" s="28" t="str">
        <f aca="false">IF(AI856="","",W856)</f>
        <v/>
      </c>
      <c r="AK856" s="29" t="str">
        <f aca="false">IF(AND(ISNUMBER(T856),ISNUMBER(W856)),W856-T856,"")</f>
        <v/>
      </c>
      <c r="AL856" s="29" t="str">
        <f aca="false">IF(A856="","",SUMIF(Actions!$C$5:$C$1004,A856,Actions!$F$5:$F$1004))</f>
        <v/>
      </c>
      <c r="AM856" s="25"/>
    </row>
    <row r="857" customFormat="false" ht="15" hidden="false" customHeight="false" outlineLevel="0" collapsed="false">
      <c r="A857" s="23"/>
      <c r="B857" s="23"/>
      <c r="C857" s="23"/>
      <c r="D857" s="23"/>
      <c r="E857" s="23"/>
      <c r="F857" s="23"/>
      <c r="G857" s="23"/>
      <c r="H857" s="23"/>
      <c r="I857" s="23"/>
      <c r="J857" s="23"/>
      <c r="K857" s="24"/>
      <c r="L857" s="23"/>
      <c r="M857" s="25"/>
      <c r="N857" s="25"/>
      <c r="O857" s="23"/>
      <c r="P857" s="26"/>
      <c r="Q857" s="26"/>
      <c r="R857" s="27" t="str">
        <f aca="false">IF(AND(ISNUMBER(P857),ISNUMBER(Q857)),P857-Q857,"")</f>
        <v/>
      </c>
      <c r="S857" s="24"/>
      <c r="T857" s="28" t="str">
        <f aca="false">IF(S857&lt;&gt;"",S857,IF(B857="","",IFERROR(IF(INDEX(Batches!$G$5:$G$64,MATCH(B857,Batches!$A$5:$A$64,0))="","",INDEX(Batches!$G$5:$G$64,MATCH(B857,Batches!$A$5:$A$64,0))),"")))</f>
        <v/>
      </c>
      <c r="U857" s="23"/>
      <c r="V857" s="24"/>
      <c r="W857" s="28" t="str">
        <f aca="false">IF(OR(X857="",X857="Pending"),"",IF(V857&lt;&gt;"",V857,IFERROR(IF(INDEX(Batches!$H$5:$H$64,MATCH(B857,Batches!$A$5:$A$64,0))="","",INDEX(Batches!$H$5:$H$64,MATCH(B857,Batches!$A$5:$A$64,0))),"")))</f>
        <v/>
      </c>
      <c r="X857" s="23"/>
      <c r="Y857" s="23"/>
      <c r="Z857" s="26"/>
      <c r="AA857" s="27" t="str">
        <f aca="false">IF(R857="","",IF(X857="Not accepted",R857,IF(OR(X857="Accepted",X857="Withdrawn by hospital"),IF(X857="Accepted",0,R857),IF(ISNUMBER(Z857),R857-Z857,""))))</f>
        <v/>
      </c>
      <c r="AB857" s="23"/>
      <c r="AC857" s="25"/>
      <c r="AD857" s="23"/>
      <c r="AE857" s="23"/>
      <c r="AF857" s="24"/>
      <c r="AG857" s="23"/>
      <c r="AH857" s="24"/>
      <c r="AI857" s="29" t="str">
        <f aca="false">IF(X857="Not accepted","Maintained",IF(X857="Partially accepted","Partially maintained",IF(X857="Accepted","Reversed",IF(X857="Withdrawn by hospital","Withdrawn by hospital",""))))</f>
        <v/>
      </c>
      <c r="AJ857" s="28" t="str">
        <f aca="false">IF(AI857="","",W857)</f>
        <v/>
      </c>
      <c r="AK857" s="29" t="str">
        <f aca="false">IF(AND(ISNUMBER(T857),ISNUMBER(W857)),W857-T857,"")</f>
        <v/>
      </c>
      <c r="AL857" s="29" t="str">
        <f aca="false">IF(A857="","",SUMIF(Actions!$C$5:$C$1004,A857,Actions!$F$5:$F$1004))</f>
        <v/>
      </c>
      <c r="AM857" s="25"/>
    </row>
    <row r="858" customFormat="false" ht="15" hidden="false" customHeight="false" outlineLevel="0" collapsed="false">
      <c r="A858" s="23"/>
      <c r="B858" s="23"/>
      <c r="C858" s="23"/>
      <c r="D858" s="23"/>
      <c r="E858" s="23"/>
      <c r="F858" s="23"/>
      <c r="G858" s="23"/>
      <c r="H858" s="23"/>
      <c r="I858" s="23"/>
      <c r="J858" s="23"/>
      <c r="K858" s="24"/>
      <c r="L858" s="23"/>
      <c r="M858" s="25"/>
      <c r="N858" s="25"/>
      <c r="O858" s="23"/>
      <c r="P858" s="26"/>
      <c r="Q858" s="26"/>
      <c r="R858" s="27" t="str">
        <f aca="false">IF(AND(ISNUMBER(P858),ISNUMBER(Q858)),P858-Q858,"")</f>
        <v/>
      </c>
      <c r="S858" s="24"/>
      <c r="T858" s="28" t="str">
        <f aca="false">IF(S858&lt;&gt;"",S858,IF(B858="","",IFERROR(IF(INDEX(Batches!$G$5:$G$64,MATCH(B858,Batches!$A$5:$A$64,0))="","",INDEX(Batches!$G$5:$G$64,MATCH(B858,Batches!$A$5:$A$64,0))),"")))</f>
        <v/>
      </c>
      <c r="U858" s="23"/>
      <c r="V858" s="24"/>
      <c r="W858" s="28" t="str">
        <f aca="false">IF(OR(X858="",X858="Pending"),"",IF(V858&lt;&gt;"",V858,IFERROR(IF(INDEX(Batches!$H$5:$H$64,MATCH(B858,Batches!$A$5:$A$64,0))="","",INDEX(Batches!$H$5:$H$64,MATCH(B858,Batches!$A$5:$A$64,0))),"")))</f>
        <v/>
      </c>
      <c r="X858" s="23"/>
      <c r="Y858" s="23"/>
      <c r="Z858" s="26"/>
      <c r="AA858" s="27" t="str">
        <f aca="false">IF(R858="","",IF(X858="Not accepted",R858,IF(OR(X858="Accepted",X858="Withdrawn by hospital"),IF(X858="Accepted",0,R858),IF(ISNUMBER(Z858),R858-Z858,""))))</f>
        <v/>
      </c>
      <c r="AB858" s="23"/>
      <c r="AC858" s="25"/>
      <c r="AD858" s="23"/>
      <c r="AE858" s="23"/>
      <c r="AF858" s="24"/>
      <c r="AG858" s="23"/>
      <c r="AH858" s="24"/>
      <c r="AI858" s="29" t="str">
        <f aca="false">IF(X858="Not accepted","Maintained",IF(X858="Partially accepted","Partially maintained",IF(X858="Accepted","Reversed",IF(X858="Withdrawn by hospital","Withdrawn by hospital",""))))</f>
        <v/>
      </c>
      <c r="AJ858" s="28" t="str">
        <f aca="false">IF(AI858="","",W858)</f>
        <v/>
      </c>
      <c r="AK858" s="29" t="str">
        <f aca="false">IF(AND(ISNUMBER(T858),ISNUMBER(W858)),W858-T858,"")</f>
        <v/>
      </c>
      <c r="AL858" s="29" t="str">
        <f aca="false">IF(A858="","",SUMIF(Actions!$C$5:$C$1004,A858,Actions!$F$5:$F$1004))</f>
        <v/>
      </c>
      <c r="AM858" s="25"/>
    </row>
    <row r="859" customFormat="false" ht="15" hidden="false" customHeight="false" outlineLevel="0" collapsed="false">
      <c r="A859" s="23"/>
      <c r="B859" s="23"/>
      <c r="C859" s="23"/>
      <c r="D859" s="23"/>
      <c r="E859" s="23"/>
      <c r="F859" s="23"/>
      <c r="G859" s="23"/>
      <c r="H859" s="23"/>
      <c r="I859" s="23"/>
      <c r="J859" s="23"/>
      <c r="K859" s="24"/>
      <c r="L859" s="23"/>
      <c r="M859" s="25"/>
      <c r="N859" s="25"/>
      <c r="O859" s="23"/>
      <c r="P859" s="26"/>
      <c r="Q859" s="26"/>
      <c r="R859" s="27" t="str">
        <f aca="false">IF(AND(ISNUMBER(P859),ISNUMBER(Q859)),P859-Q859,"")</f>
        <v/>
      </c>
      <c r="S859" s="24"/>
      <c r="T859" s="28" t="str">
        <f aca="false">IF(S859&lt;&gt;"",S859,IF(B859="","",IFERROR(IF(INDEX(Batches!$G$5:$G$64,MATCH(B859,Batches!$A$5:$A$64,0))="","",INDEX(Batches!$G$5:$G$64,MATCH(B859,Batches!$A$5:$A$64,0))),"")))</f>
        <v/>
      </c>
      <c r="U859" s="23"/>
      <c r="V859" s="24"/>
      <c r="W859" s="28" t="str">
        <f aca="false">IF(OR(X859="",X859="Pending"),"",IF(V859&lt;&gt;"",V859,IFERROR(IF(INDEX(Batches!$H$5:$H$64,MATCH(B859,Batches!$A$5:$A$64,0))="","",INDEX(Batches!$H$5:$H$64,MATCH(B859,Batches!$A$5:$A$64,0))),"")))</f>
        <v/>
      </c>
      <c r="X859" s="23"/>
      <c r="Y859" s="23"/>
      <c r="Z859" s="26"/>
      <c r="AA859" s="27" t="str">
        <f aca="false">IF(R859="","",IF(X859="Not accepted",R859,IF(OR(X859="Accepted",X859="Withdrawn by hospital"),IF(X859="Accepted",0,R859),IF(ISNUMBER(Z859),R859-Z859,""))))</f>
        <v/>
      </c>
      <c r="AB859" s="23"/>
      <c r="AC859" s="25"/>
      <c r="AD859" s="23"/>
      <c r="AE859" s="23"/>
      <c r="AF859" s="24"/>
      <c r="AG859" s="23"/>
      <c r="AH859" s="24"/>
      <c r="AI859" s="29" t="str">
        <f aca="false">IF(X859="Not accepted","Maintained",IF(X859="Partially accepted","Partially maintained",IF(X859="Accepted","Reversed",IF(X859="Withdrawn by hospital","Withdrawn by hospital",""))))</f>
        <v/>
      </c>
      <c r="AJ859" s="28" t="str">
        <f aca="false">IF(AI859="","",W859)</f>
        <v/>
      </c>
      <c r="AK859" s="29" t="str">
        <f aca="false">IF(AND(ISNUMBER(T859),ISNUMBER(W859)),W859-T859,"")</f>
        <v/>
      </c>
      <c r="AL859" s="29" t="str">
        <f aca="false">IF(A859="","",SUMIF(Actions!$C$5:$C$1004,A859,Actions!$F$5:$F$1004))</f>
        <v/>
      </c>
      <c r="AM859" s="25"/>
    </row>
    <row r="860" customFormat="false" ht="15" hidden="false" customHeight="false" outlineLevel="0" collapsed="false">
      <c r="A860" s="23"/>
      <c r="B860" s="23"/>
      <c r="C860" s="23"/>
      <c r="D860" s="23"/>
      <c r="E860" s="23"/>
      <c r="F860" s="23"/>
      <c r="G860" s="23"/>
      <c r="H860" s="23"/>
      <c r="I860" s="23"/>
      <c r="J860" s="23"/>
      <c r="K860" s="24"/>
      <c r="L860" s="23"/>
      <c r="M860" s="25"/>
      <c r="N860" s="25"/>
      <c r="O860" s="23"/>
      <c r="P860" s="26"/>
      <c r="Q860" s="26"/>
      <c r="R860" s="27" t="str">
        <f aca="false">IF(AND(ISNUMBER(P860),ISNUMBER(Q860)),P860-Q860,"")</f>
        <v/>
      </c>
      <c r="S860" s="24"/>
      <c r="T860" s="28" t="str">
        <f aca="false">IF(S860&lt;&gt;"",S860,IF(B860="","",IFERROR(IF(INDEX(Batches!$G$5:$G$64,MATCH(B860,Batches!$A$5:$A$64,0))="","",INDEX(Batches!$G$5:$G$64,MATCH(B860,Batches!$A$5:$A$64,0))),"")))</f>
        <v/>
      </c>
      <c r="U860" s="23"/>
      <c r="V860" s="24"/>
      <c r="W860" s="28" t="str">
        <f aca="false">IF(OR(X860="",X860="Pending"),"",IF(V860&lt;&gt;"",V860,IFERROR(IF(INDEX(Batches!$H$5:$H$64,MATCH(B860,Batches!$A$5:$A$64,0))="","",INDEX(Batches!$H$5:$H$64,MATCH(B860,Batches!$A$5:$A$64,0))),"")))</f>
        <v/>
      </c>
      <c r="X860" s="23"/>
      <c r="Y860" s="23"/>
      <c r="Z860" s="26"/>
      <c r="AA860" s="27" t="str">
        <f aca="false">IF(R860="","",IF(X860="Not accepted",R860,IF(OR(X860="Accepted",X860="Withdrawn by hospital"),IF(X860="Accepted",0,R860),IF(ISNUMBER(Z860),R860-Z860,""))))</f>
        <v/>
      </c>
      <c r="AB860" s="23"/>
      <c r="AC860" s="25"/>
      <c r="AD860" s="23"/>
      <c r="AE860" s="23"/>
      <c r="AF860" s="24"/>
      <c r="AG860" s="23"/>
      <c r="AH860" s="24"/>
      <c r="AI860" s="29" t="str">
        <f aca="false">IF(X860="Not accepted","Maintained",IF(X860="Partially accepted","Partially maintained",IF(X860="Accepted","Reversed",IF(X860="Withdrawn by hospital","Withdrawn by hospital",""))))</f>
        <v/>
      </c>
      <c r="AJ860" s="28" t="str">
        <f aca="false">IF(AI860="","",W860)</f>
        <v/>
      </c>
      <c r="AK860" s="29" t="str">
        <f aca="false">IF(AND(ISNUMBER(T860),ISNUMBER(W860)),W860-T860,"")</f>
        <v/>
      </c>
      <c r="AL860" s="29" t="str">
        <f aca="false">IF(A860="","",SUMIF(Actions!$C$5:$C$1004,A860,Actions!$F$5:$F$1004))</f>
        <v/>
      </c>
      <c r="AM860" s="25"/>
    </row>
    <row r="861" customFormat="false" ht="15" hidden="false" customHeight="false" outlineLevel="0" collapsed="false">
      <c r="A861" s="23"/>
      <c r="B861" s="23"/>
      <c r="C861" s="23"/>
      <c r="D861" s="23"/>
      <c r="E861" s="23"/>
      <c r="F861" s="23"/>
      <c r="G861" s="23"/>
      <c r="H861" s="23"/>
      <c r="I861" s="23"/>
      <c r="J861" s="23"/>
      <c r="K861" s="24"/>
      <c r="L861" s="23"/>
      <c r="M861" s="25"/>
      <c r="N861" s="25"/>
      <c r="O861" s="23"/>
      <c r="P861" s="26"/>
      <c r="Q861" s="26"/>
      <c r="R861" s="27" t="str">
        <f aca="false">IF(AND(ISNUMBER(P861),ISNUMBER(Q861)),P861-Q861,"")</f>
        <v/>
      </c>
      <c r="S861" s="24"/>
      <c r="T861" s="28" t="str">
        <f aca="false">IF(S861&lt;&gt;"",S861,IF(B861="","",IFERROR(IF(INDEX(Batches!$G$5:$G$64,MATCH(B861,Batches!$A$5:$A$64,0))="","",INDEX(Batches!$G$5:$G$64,MATCH(B861,Batches!$A$5:$A$64,0))),"")))</f>
        <v/>
      </c>
      <c r="U861" s="23"/>
      <c r="V861" s="24"/>
      <c r="W861" s="28" t="str">
        <f aca="false">IF(OR(X861="",X861="Pending"),"",IF(V861&lt;&gt;"",V861,IFERROR(IF(INDEX(Batches!$H$5:$H$64,MATCH(B861,Batches!$A$5:$A$64,0))="","",INDEX(Batches!$H$5:$H$64,MATCH(B861,Batches!$A$5:$A$64,0))),"")))</f>
        <v/>
      </c>
      <c r="X861" s="23"/>
      <c r="Y861" s="23"/>
      <c r="Z861" s="26"/>
      <c r="AA861" s="27" t="str">
        <f aca="false">IF(R861="","",IF(X861="Not accepted",R861,IF(OR(X861="Accepted",X861="Withdrawn by hospital"),IF(X861="Accepted",0,R861),IF(ISNUMBER(Z861),R861-Z861,""))))</f>
        <v/>
      </c>
      <c r="AB861" s="23"/>
      <c r="AC861" s="25"/>
      <c r="AD861" s="23"/>
      <c r="AE861" s="23"/>
      <c r="AF861" s="24"/>
      <c r="AG861" s="23"/>
      <c r="AH861" s="24"/>
      <c r="AI861" s="29" t="str">
        <f aca="false">IF(X861="Not accepted","Maintained",IF(X861="Partially accepted","Partially maintained",IF(X861="Accepted","Reversed",IF(X861="Withdrawn by hospital","Withdrawn by hospital",""))))</f>
        <v/>
      </c>
      <c r="AJ861" s="28" t="str">
        <f aca="false">IF(AI861="","",W861)</f>
        <v/>
      </c>
      <c r="AK861" s="29" t="str">
        <f aca="false">IF(AND(ISNUMBER(T861),ISNUMBER(W861)),W861-T861,"")</f>
        <v/>
      </c>
      <c r="AL861" s="29" t="str">
        <f aca="false">IF(A861="","",SUMIF(Actions!$C$5:$C$1004,A861,Actions!$F$5:$F$1004))</f>
        <v/>
      </c>
      <c r="AM861" s="25"/>
    </row>
    <row r="862" customFormat="false" ht="15" hidden="false" customHeight="false" outlineLevel="0" collapsed="false">
      <c r="A862" s="23"/>
      <c r="B862" s="23"/>
      <c r="C862" s="23"/>
      <c r="D862" s="23"/>
      <c r="E862" s="23"/>
      <c r="F862" s="23"/>
      <c r="G862" s="23"/>
      <c r="H862" s="23"/>
      <c r="I862" s="23"/>
      <c r="J862" s="23"/>
      <c r="K862" s="24"/>
      <c r="L862" s="23"/>
      <c r="M862" s="25"/>
      <c r="N862" s="25"/>
      <c r="O862" s="23"/>
      <c r="P862" s="26"/>
      <c r="Q862" s="26"/>
      <c r="R862" s="27" t="str">
        <f aca="false">IF(AND(ISNUMBER(P862),ISNUMBER(Q862)),P862-Q862,"")</f>
        <v/>
      </c>
      <c r="S862" s="24"/>
      <c r="T862" s="28" t="str">
        <f aca="false">IF(S862&lt;&gt;"",S862,IF(B862="","",IFERROR(IF(INDEX(Batches!$G$5:$G$64,MATCH(B862,Batches!$A$5:$A$64,0))="","",INDEX(Batches!$G$5:$G$64,MATCH(B862,Batches!$A$5:$A$64,0))),"")))</f>
        <v/>
      </c>
      <c r="U862" s="23"/>
      <c r="V862" s="24"/>
      <c r="W862" s="28" t="str">
        <f aca="false">IF(OR(X862="",X862="Pending"),"",IF(V862&lt;&gt;"",V862,IFERROR(IF(INDEX(Batches!$H$5:$H$64,MATCH(B862,Batches!$A$5:$A$64,0))="","",INDEX(Batches!$H$5:$H$64,MATCH(B862,Batches!$A$5:$A$64,0))),"")))</f>
        <v/>
      </c>
      <c r="X862" s="23"/>
      <c r="Y862" s="23"/>
      <c r="Z862" s="26"/>
      <c r="AA862" s="27" t="str">
        <f aca="false">IF(R862="","",IF(X862="Not accepted",R862,IF(OR(X862="Accepted",X862="Withdrawn by hospital"),IF(X862="Accepted",0,R862),IF(ISNUMBER(Z862),R862-Z862,""))))</f>
        <v/>
      </c>
      <c r="AB862" s="23"/>
      <c r="AC862" s="25"/>
      <c r="AD862" s="23"/>
      <c r="AE862" s="23"/>
      <c r="AF862" s="24"/>
      <c r="AG862" s="23"/>
      <c r="AH862" s="24"/>
      <c r="AI862" s="29" t="str">
        <f aca="false">IF(X862="Not accepted","Maintained",IF(X862="Partially accepted","Partially maintained",IF(X862="Accepted","Reversed",IF(X862="Withdrawn by hospital","Withdrawn by hospital",""))))</f>
        <v/>
      </c>
      <c r="AJ862" s="28" t="str">
        <f aca="false">IF(AI862="","",W862)</f>
        <v/>
      </c>
      <c r="AK862" s="29" t="str">
        <f aca="false">IF(AND(ISNUMBER(T862),ISNUMBER(W862)),W862-T862,"")</f>
        <v/>
      </c>
      <c r="AL862" s="29" t="str">
        <f aca="false">IF(A862="","",SUMIF(Actions!$C$5:$C$1004,A862,Actions!$F$5:$F$1004))</f>
        <v/>
      </c>
      <c r="AM862" s="25"/>
    </row>
    <row r="863" customFormat="false" ht="15" hidden="false" customHeight="false" outlineLevel="0" collapsed="false">
      <c r="A863" s="23"/>
      <c r="B863" s="23"/>
      <c r="C863" s="23"/>
      <c r="D863" s="23"/>
      <c r="E863" s="23"/>
      <c r="F863" s="23"/>
      <c r="G863" s="23"/>
      <c r="H863" s="23"/>
      <c r="I863" s="23"/>
      <c r="J863" s="23"/>
      <c r="K863" s="24"/>
      <c r="L863" s="23"/>
      <c r="M863" s="25"/>
      <c r="N863" s="25"/>
      <c r="O863" s="23"/>
      <c r="P863" s="26"/>
      <c r="Q863" s="26"/>
      <c r="R863" s="27" t="str">
        <f aca="false">IF(AND(ISNUMBER(P863),ISNUMBER(Q863)),P863-Q863,"")</f>
        <v/>
      </c>
      <c r="S863" s="24"/>
      <c r="T863" s="28" t="str">
        <f aca="false">IF(S863&lt;&gt;"",S863,IF(B863="","",IFERROR(IF(INDEX(Batches!$G$5:$G$64,MATCH(B863,Batches!$A$5:$A$64,0))="","",INDEX(Batches!$G$5:$G$64,MATCH(B863,Batches!$A$5:$A$64,0))),"")))</f>
        <v/>
      </c>
      <c r="U863" s="23"/>
      <c r="V863" s="24"/>
      <c r="W863" s="28" t="str">
        <f aca="false">IF(OR(X863="",X863="Pending"),"",IF(V863&lt;&gt;"",V863,IFERROR(IF(INDEX(Batches!$H$5:$H$64,MATCH(B863,Batches!$A$5:$A$64,0))="","",INDEX(Batches!$H$5:$H$64,MATCH(B863,Batches!$A$5:$A$64,0))),"")))</f>
        <v/>
      </c>
      <c r="X863" s="23"/>
      <c r="Y863" s="23"/>
      <c r="Z863" s="26"/>
      <c r="AA863" s="27" t="str">
        <f aca="false">IF(R863="","",IF(X863="Not accepted",R863,IF(OR(X863="Accepted",X863="Withdrawn by hospital"),IF(X863="Accepted",0,R863),IF(ISNUMBER(Z863),R863-Z863,""))))</f>
        <v/>
      </c>
      <c r="AB863" s="23"/>
      <c r="AC863" s="25"/>
      <c r="AD863" s="23"/>
      <c r="AE863" s="23"/>
      <c r="AF863" s="24"/>
      <c r="AG863" s="23"/>
      <c r="AH863" s="24"/>
      <c r="AI863" s="29" t="str">
        <f aca="false">IF(X863="Not accepted","Maintained",IF(X863="Partially accepted","Partially maintained",IF(X863="Accepted","Reversed",IF(X863="Withdrawn by hospital","Withdrawn by hospital",""))))</f>
        <v/>
      </c>
      <c r="AJ863" s="28" t="str">
        <f aca="false">IF(AI863="","",W863)</f>
        <v/>
      </c>
      <c r="AK863" s="29" t="str">
        <f aca="false">IF(AND(ISNUMBER(T863),ISNUMBER(W863)),W863-T863,"")</f>
        <v/>
      </c>
      <c r="AL863" s="29" t="str">
        <f aca="false">IF(A863="","",SUMIF(Actions!$C$5:$C$1004,A863,Actions!$F$5:$F$1004))</f>
        <v/>
      </c>
      <c r="AM863" s="25"/>
    </row>
    <row r="864" customFormat="false" ht="15" hidden="false" customHeight="false" outlineLevel="0" collapsed="false">
      <c r="A864" s="23"/>
      <c r="B864" s="23"/>
      <c r="C864" s="23"/>
      <c r="D864" s="23"/>
      <c r="E864" s="23"/>
      <c r="F864" s="23"/>
      <c r="G864" s="23"/>
      <c r="H864" s="23"/>
      <c r="I864" s="23"/>
      <c r="J864" s="23"/>
      <c r="K864" s="24"/>
      <c r="L864" s="23"/>
      <c r="M864" s="25"/>
      <c r="N864" s="25"/>
      <c r="O864" s="23"/>
      <c r="P864" s="26"/>
      <c r="Q864" s="26"/>
      <c r="R864" s="27" t="str">
        <f aca="false">IF(AND(ISNUMBER(P864),ISNUMBER(Q864)),P864-Q864,"")</f>
        <v/>
      </c>
      <c r="S864" s="24"/>
      <c r="T864" s="28" t="str">
        <f aca="false">IF(S864&lt;&gt;"",S864,IF(B864="","",IFERROR(IF(INDEX(Batches!$G$5:$G$64,MATCH(B864,Batches!$A$5:$A$64,0))="","",INDEX(Batches!$G$5:$G$64,MATCH(B864,Batches!$A$5:$A$64,0))),"")))</f>
        <v/>
      </c>
      <c r="U864" s="23"/>
      <c r="V864" s="24"/>
      <c r="W864" s="28" t="str">
        <f aca="false">IF(OR(X864="",X864="Pending"),"",IF(V864&lt;&gt;"",V864,IFERROR(IF(INDEX(Batches!$H$5:$H$64,MATCH(B864,Batches!$A$5:$A$64,0))="","",INDEX(Batches!$H$5:$H$64,MATCH(B864,Batches!$A$5:$A$64,0))),"")))</f>
        <v/>
      </c>
      <c r="X864" s="23"/>
      <c r="Y864" s="23"/>
      <c r="Z864" s="26"/>
      <c r="AA864" s="27" t="str">
        <f aca="false">IF(R864="","",IF(X864="Not accepted",R864,IF(OR(X864="Accepted",X864="Withdrawn by hospital"),IF(X864="Accepted",0,R864),IF(ISNUMBER(Z864),R864-Z864,""))))</f>
        <v/>
      </c>
      <c r="AB864" s="23"/>
      <c r="AC864" s="25"/>
      <c r="AD864" s="23"/>
      <c r="AE864" s="23"/>
      <c r="AF864" s="24"/>
      <c r="AG864" s="23"/>
      <c r="AH864" s="24"/>
      <c r="AI864" s="29" t="str">
        <f aca="false">IF(X864="Not accepted","Maintained",IF(X864="Partially accepted","Partially maintained",IF(X864="Accepted","Reversed",IF(X864="Withdrawn by hospital","Withdrawn by hospital",""))))</f>
        <v/>
      </c>
      <c r="AJ864" s="28" t="str">
        <f aca="false">IF(AI864="","",W864)</f>
        <v/>
      </c>
      <c r="AK864" s="29" t="str">
        <f aca="false">IF(AND(ISNUMBER(T864),ISNUMBER(W864)),W864-T864,"")</f>
        <v/>
      </c>
      <c r="AL864" s="29" t="str">
        <f aca="false">IF(A864="","",SUMIF(Actions!$C$5:$C$1004,A864,Actions!$F$5:$F$1004))</f>
        <v/>
      </c>
      <c r="AM864" s="25"/>
    </row>
    <row r="865" customFormat="false" ht="15" hidden="false" customHeight="false" outlineLevel="0" collapsed="false">
      <c r="A865" s="23"/>
      <c r="B865" s="23"/>
      <c r="C865" s="23"/>
      <c r="D865" s="23"/>
      <c r="E865" s="23"/>
      <c r="F865" s="23"/>
      <c r="G865" s="23"/>
      <c r="H865" s="23"/>
      <c r="I865" s="23"/>
      <c r="J865" s="23"/>
      <c r="K865" s="24"/>
      <c r="L865" s="23"/>
      <c r="M865" s="25"/>
      <c r="N865" s="25"/>
      <c r="O865" s="23"/>
      <c r="P865" s="26"/>
      <c r="Q865" s="26"/>
      <c r="R865" s="27" t="str">
        <f aca="false">IF(AND(ISNUMBER(P865),ISNUMBER(Q865)),P865-Q865,"")</f>
        <v/>
      </c>
      <c r="S865" s="24"/>
      <c r="T865" s="28" t="str">
        <f aca="false">IF(S865&lt;&gt;"",S865,IF(B865="","",IFERROR(IF(INDEX(Batches!$G$5:$G$64,MATCH(B865,Batches!$A$5:$A$64,0))="","",INDEX(Batches!$G$5:$G$64,MATCH(B865,Batches!$A$5:$A$64,0))),"")))</f>
        <v/>
      </c>
      <c r="U865" s="23"/>
      <c r="V865" s="24"/>
      <c r="W865" s="28" t="str">
        <f aca="false">IF(OR(X865="",X865="Pending"),"",IF(V865&lt;&gt;"",V865,IFERROR(IF(INDEX(Batches!$H$5:$H$64,MATCH(B865,Batches!$A$5:$A$64,0))="","",INDEX(Batches!$H$5:$H$64,MATCH(B865,Batches!$A$5:$A$64,0))),"")))</f>
        <v/>
      </c>
      <c r="X865" s="23"/>
      <c r="Y865" s="23"/>
      <c r="Z865" s="26"/>
      <c r="AA865" s="27" t="str">
        <f aca="false">IF(R865="","",IF(X865="Not accepted",R865,IF(OR(X865="Accepted",X865="Withdrawn by hospital"),IF(X865="Accepted",0,R865),IF(ISNUMBER(Z865),R865-Z865,""))))</f>
        <v/>
      </c>
      <c r="AB865" s="23"/>
      <c r="AC865" s="25"/>
      <c r="AD865" s="23"/>
      <c r="AE865" s="23"/>
      <c r="AF865" s="24"/>
      <c r="AG865" s="23"/>
      <c r="AH865" s="24"/>
      <c r="AI865" s="29" t="str">
        <f aca="false">IF(X865="Not accepted","Maintained",IF(X865="Partially accepted","Partially maintained",IF(X865="Accepted","Reversed",IF(X865="Withdrawn by hospital","Withdrawn by hospital",""))))</f>
        <v/>
      </c>
      <c r="AJ865" s="28" t="str">
        <f aca="false">IF(AI865="","",W865)</f>
        <v/>
      </c>
      <c r="AK865" s="29" t="str">
        <f aca="false">IF(AND(ISNUMBER(T865),ISNUMBER(W865)),W865-T865,"")</f>
        <v/>
      </c>
      <c r="AL865" s="29" t="str">
        <f aca="false">IF(A865="","",SUMIF(Actions!$C$5:$C$1004,A865,Actions!$F$5:$F$1004))</f>
        <v/>
      </c>
      <c r="AM865" s="25"/>
    </row>
    <row r="866" customFormat="false" ht="15" hidden="false" customHeight="false" outlineLevel="0" collapsed="false">
      <c r="A866" s="23"/>
      <c r="B866" s="23"/>
      <c r="C866" s="23"/>
      <c r="D866" s="23"/>
      <c r="E866" s="23"/>
      <c r="F866" s="23"/>
      <c r="G866" s="23"/>
      <c r="H866" s="23"/>
      <c r="I866" s="23"/>
      <c r="J866" s="23"/>
      <c r="K866" s="24"/>
      <c r="L866" s="23"/>
      <c r="M866" s="25"/>
      <c r="N866" s="25"/>
      <c r="O866" s="23"/>
      <c r="P866" s="26"/>
      <c r="Q866" s="26"/>
      <c r="R866" s="27" t="str">
        <f aca="false">IF(AND(ISNUMBER(P866),ISNUMBER(Q866)),P866-Q866,"")</f>
        <v/>
      </c>
      <c r="S866" s="24"/>
      <c r="T866" s="28" t="str">
        <f aca="false">IF(S866&lt;&gt;"",S866,IF(B866="","",IFERROR(IF(INDEX(Batches!$G$5:$G$64,MATCH(B866,Batches!$A$5:$A$64,0))="","",INDEX(Batches!$G$5:$G$64,MATCH(B866,Batches!$A$5:$A$64,0))),"")))</f>
        <v/>
      </c>
      <c r="U866" s="23"/>
      <c r="V866" s="24"/>
      <c r="W866" s="28" t="str">
        <f aca="false">IF(OR(X866="",X866="Pending"),"",IF(V866&lt;&gt;"",V866,IFERROR(IF(INDEX(Batches!$H$5:$H$64,MATCH(B866,Batches!$A$5:$A$64,0))="","",INDEX(Batches!$H$5:$H$64,MATCH(B866,Batches!$A$5:$A$64,0))),"")))</f>
        <v/>
      </c>
      <c r="X866" s="23"/>
      <c r="Y866" s="23"/>
      <c r="Z866" s="26"/>
      <c r="AA866" s="27" t="str">
        <f aca="false">IF(R866="","",IF(X866="Not accepted",R866,IF(OR(X866="Accepted",X866="Withdrawn by hospital"),IF(X866="Accepted",0,R866),IF(ISNUMBER(Z866),R866-Z866,""))))</f>
        <v/>
      </c>
      <c r="AB866" s="23"/>
      <c r="AC866" s="25"/>
      <c r="AD866" s="23"/>
      <c r="AE866" s="23"/>
      <c r="AF866" s="24"/>
      <c r="AG866" s="23"/>
      <c r="AH866" s="24"/>
      <c r="AI866" s="29" t="str">
        <f aca="false">IF(X866="Not accepted","Maintained",IF(X866="Partially accepted","Partially maintained",IF(X866="Accepted","Reversed",IF(X866="Withdrawn by hospital","Withdrawn by hospital",""))))</f>
        <v/>
      </c>
      <c r="AJ866" s="28" t="str">
        <f aca="false">IF(AI866="","",W866)</f>
        <v/>
      </c>
      <c r="AK866" s="29" t="str">
        <f aca="false">IF(AND(ISNUMBER(T866),ISNUMBER(W866)),W866-T866,"")</f>
        <v/>
      </c>
      <c r="AL866" s="29" t="str">
        <f aca="false">IF(A866="","",SUMIF(Actions!$C$5:$C$1004,A866,Actions!$F$5:$F$1004))</f>
        <v/>
      </c>
      <c r="AM866" s="25"/>
    </row>
    <row r="867" customFormat="false" ht="15" hidden="false" customHeight="false" outlineLevel="0" collapsed="false">
      <c r="A867" s="23"/>
      <c r="B867" s="23"/>
      <c r="C867" s="23"/>
      <c r="D867" s="23"/>
      <c r="E867" s="23"/>
      <c r="F867" s="23"/>
      <c r="G867" s="23"/>
      <c r="H867" s="23"/>
      <c r="I867" s="23"/>
      <c r="J867" s="23"/>
      <c r="K867" s="24"/>
      <c r="L867" s="23"/>
      <c r="M867" s="25"/>
      <c r="N867" s="25"/>
      <c r="O867" s="23"/>
      <c r="P867" s="26"/>
      <c r="Q867" s="26"/>
      <c r="R867" s="27" t="str">
        <f aca="false">IF(AND(ISNUMBER(P867),ISNUMBER(Q867)),P867-Q867,"")</f>
        <v/>
      </c>
      <c r="S867" s="24"/>
      <c r="T867" s="28" t="str">
        <f aca="false">IF(S867&lt;&gt;"",S867,IF(B867="","",IFERROR(IF(INDEX(Batches!$G$5:$G$64,MATCH(B867,Batches!$A$5:$A$64,0))="","",INDEX(Batches!$G$5:$G$64,MATCH(B867,Batches!$A$5:$A$64,0))),"")))</f>
        <v/>
      </c>
      <c r="U867" s="23"/>
      <c r="V867" s="24"/>
      <c r="W867" s="28" t="str">
        <f aca="false">IF(OR(X867="",X867="Pending"),"",IF(V867&lt;&gt;"",V867,IFERROR(IF(INDEX(Batches!$H$5:$H$64,MATCH(B867,Batches!$A$5:$A$64,0))="","",INDEX(Batches!$H$5:$H$64,MATCH(B867,Batches!$A$5:$A$64,0))),"")))</f>
        <v/>
      </c>
      <c r="X867" s="23"/>
      <c r="Y867" s="23"/>
      <c r="Z867" s="26"/>
      <c r="AA867" s="27" t="str">
        <f aca="false">IF(R867="","",IF(X867="Not accepted",R867,IF(OR(X867="Accepted",X867="Withdrawn by hospital"),IF(X867="Accepted",0,R867),IF(ISNUMBER(Z867),R867-Z867,""))))</f>
        <v/>
      </c>
      <c r="AB867" s="23"/>
      <c r="AC867" s="25"/>
      <c r="AD867" s="23"/>
      <c r="AE867" s="23"/>
      <c r="AF867" s="24"/>
      <c r="AG867" s="23"/>
      <c r="AH867" s="24"/>
      <c r="AI867" s="29" t="str">
        <f aca="false">IF(X867="Not accepted","Maintained",IF(X867="Partially accepted","Partially maintained",IF(X867="Accepted","Reversed",IF(X867="Withdrawn by hospital","Withdrawn by hospital",""))))</f>
        <v/>
      </c>
      <c r="AJ867" s="28" t="str">
        <f aca="false">IF(AI867="","",W867)</f>
        <v/>
      </c>
      <c r="AK867" s="29" t="str">
        <f aca="false">IF(AND(ISNUMBER(T867),ISNUMBER(W867)),W867-T867,"")</f>
        <v/>
      </c>
      <c r="AL867" s="29" t="str">
        <f aca="false">IF(A867="","",SUMIF(Actions!$C$5:$C$1004,A867,Actions!$F$5:$F$1004))</f>
        <v/>
      </c>
      <c r="AM867" s="25"/>
    </row>
    <row r="868" customFormat="false" ht="15" hidden="false" customHeight="false" outlineLevel="0" collapsed="false">
      <c r="A868" s="23"/>
      <c r="B868" s="23"/>
      <c r="C868" s="23"/>
      <c r="D868" s="23"/>
      <c r="E868" s="23"/>
      <c r="F868" s="23"/>
      <c r="G868" s="23"/>
      <c r="H868" s="23"/>
      <c r="I868" s="23"/>
      <c r="J868" s="23"/>
      <c r="K868" s="24"/>
      <c r="L868" s="23"/>
      <c r="M868" s="25"/>
      <c r="N868" s="25"/>
      <c r="O868" s="23"/>
      <c r="P868" s="26"/>
      <c r="Q868" s="26"/>
      <c r="R868" s="27" t="str">
        <f aca="false">IF(AND(ISNUMBER(P868),ISNUMBER(Q868)),P868-Q868,"")</f>
        <v/>
      </c>
      <c r="S868" s="24"/>
      <c r="T868" s="28" t="str">
        <f aca="false">IF(S868&lt;&gt;"",S868,IF(B868="","",IFERROR(IF(INDEX(Batches!$G$5:$G$64,MATCH(B868,Batches!$A$5:$A$64,0))="","",INDEX(Batches!$G$5:$G$64,MATCH(B868,Batches!$A$5:$A$64,0))),"")))</f>
        <v/>
      </c>
      <c r="U868" s="23"/>
      <c r="V868" s="24"/>
      <c r="W868" s="28" t="str">
        <f aca="false">IF(OR(X868="",X868="Pending"),"",IF(V868&lt;&gt;"",V868,IFERROR(IF(INDEX(Batches!$H$5:$H$64,MATCH(B868,Batches!$A$5:$A$64,0))="","",INDEX(Batches!$H$5:$H$64,MATCH(B868,Batches!$A$5:$A$64,0))),"")))</f>
        <v/>
      </c>
      <c r="X868" s="23"/>
      <c r="Y868" s="23"/>
      <c r="Z868" s="26"/>
      <c r="AA868" s="27" t="str">
        <f aca="false">IF(R868="","",IF(X868="Not accepted",R868,IF(OR(X868="Accepted",X868="Withdrawn by hospital"),IF(X868="Accepted",0,R868),IF(ISNUMBER(Z868),R868-Z868,""))))</f>
        <v/>
      </c>
      <c r="AB868" s="23"/>
      <c r="AC868" s="25"/>
      <c r="AD868" s="23"/>
      <c r="AE868" s="23"/>
      <c r="AF868" s="24"/>
      <c r="AG868" s="23"/>
      <c r="AH868" s="24"/>
      <c r="AI868" s="29" t="str">
        <f aca="false">IF(X868="Not accepted","Maintained",IF(X868="Partially accepted","Partially maintained",IF(X868="Accepted","Reversed",IF(X868="Withdrawn by hospital","Withdrawn by hospital",""))))</f>
        <v/>
      </c>
      <c r="AJ868" s="28" t="str">
        <f aca="false">IF(AI868="","",W868)</f>
        <v/>
      </c>
      <c r="AK868" s="29" t="str">
        <f aca="false">IF(AND(ISNUMBER(T868),ISNUMBER(W868)),W868-T868,"")</f>
        <v/>
      </c>
      <c r="AL868" s="29" t="str">
        <f aca="false">IF(A868="","",SUMIF(Actions!$C$5:$C$1004,A868,Actions!$F$5:$F$1004))</f>
        <v/>
      </c>
      <c r="AM868" s="25"/>
    </row>
    <row r="869" customFormat="false" ht="15" hidden="false" customHeight="false" outlineLevel="0" collapsed="false">
      <c r="A869" s="23"/>
      <c r="B869" s="23"/>
      <c r="C869" s="23"/>
      <c r="D869" s="23"/>
      <c r="E869" s="23"/>
      <c r="F869" s="23"/>
      <c r="G869" s="23"/>
      <c r="H869" s="23"/>
      <c r="I869" s="23"/>
      <c r="J869" s="23"/>
      <c r="K869" s="24"/>
      <c r="L869" s="23"/>
      <c r="M869" s="25"/>
      <c r="N869" s="25"/>
      <c r="O869" s="23"/>
      <c r="P869" s="26"/>
      <c r="Q869" s="26"/>
      <c r="R869" s="27" t="str">
        <f aca="false">IF(AND(ISNUMBER(P869),ISNUMBER(Q869)),P869-Q869,"")</f>
        <v/>
      </c>
      <c r="S869" s="24"/>
      <c r="T869" s="28" t="str">
        <f aca="false">IF(S869&lt;&gt;"",S869,IF(B869="","",IFERROR(IF(INDEX(Batches!$G$5:$G$64,MATCH(B869,Batches!$A$5:$A$64,0))="","",INDEX(Batches!$G$5:$G$64,MATCH(B869,Batches!$A$5:$A$64,0))),"")))</f>
        <v/>
      </c>
      <c r="U869" s="23"/>
      <c r="V869" s="24"/>
      <c r="W869" s="28" t="str">
        <f aca="false">IF(OR(X869="",X869="Pending"),"",IF(V869&lt;&gt;"",V869,IFERROR(IF(INDEX(Batches!$H$5:$H$64,MATCH(B869,Batches!$A$5:$A$64,0))="","",INDEX(Batches!$H$5:$H$64,MATCH(B869,Batches!$A$5:$A$64,0))),"")))</f>
        <v/>
      </c>
      <c r="X869" s="23"/>
      <c r="Y869" s="23"/>
      <c r="Z869" s="26"/>
      <c r="AA869" s="27" t="str">
        <f aca="false">IF(R869="","",IF(X869="Not accepted",R869,IF(OR(X869="Accepted",X869="Withdrawn by hospital"),IF(X869="Accepted",0,R869),IF(ISNUMBER(Z869),R869-Z869,""))))</f>
        <v/>
      </c>
      <c r="AB869" s="23"/>
      <c r="AC869" s="25"/>
      <c r="AD869" s="23"/>
      <c r="AE869" s="23"/>
      <c r="AF869" s="24"/>
      <c r="AG869" s="23"/>
      <c r="AH869" s="24"/>
      <c r="AI869" s="29" t="str">
        <f aca="false">IF(X869="Not accepted","Maintained",IF(X869="Partially accepted","Partially maintained",IF(X869="Accepted","Reversed",IF(X869="Withdrawn by hospital","Withdrawn by hospital",""))))</f>
        <v/>
      </c>
      <c r="AJ869" s="28" t="str">
        <f aca="false">IF(AI869="","",W869)</f>
        <v/>
      </c>
      <c r="AK869" s="29" t="str">
        <f aca="false">IF(AND(ISNUMBER(T869),ISNUMBER(W869)),W869-T869,"")</f>
        <v/>
      </c>
      <c r="AL869" s="29" t="str">
        <f aca="false">IF(A869="","",SUMIF(Actions!$C$5:$C$1004,A869,Actions!$F$5:$F$1004))</f>
        <v/>
      </c>
      <c r="AM869" s="25"/>
    </row>
    <row r="870" customFormat="false" ht="15" hidden="false" customHeight="false" outlineLevel="0" collapsed="false">
      <c r="A870" s="23"/>
      <c r="B870" s="23"/>
      <c r="C870" s="23"/>
      <c r="D870" s="23"/>
      <c r="E870" s="23"/>
      <c r="F870" s="23"/>
      <c r="G870" s="23"/>
      <c r="H870" s="23"/>
      <c r="I870" s="23"/>
      <c r="J870" s="23"/>
      <c r="K870" s="24"/>
      <c r="L870" s="23"/>
      <c r="M870" s="25"/>
      <c r="N870" s="25"/>
      <c r="O870" s="23"/>
      <c r="P870" s="26"/>
      <c r="Q870" s="26"/>
      <c r="R870" s="27" t="str">
        <f aca="false">IF(AND(ISNUMBER(P870),ISNUMBER(Q870)),P870-Q870,"")</f>
        <v/>
      </c>
      <c r="S870" s="24"/>
      <c r="T870" s="28" t="str">
        <f aca="false">IF(S870&lt;&gt;"",S870,IF(B870="","",IFERROR(IF(INDEX(Batches!$G$5:$G$64,MATCH(B870,Batches!$A$5:$A$64,0))="","",INDEX(Batches!$G$5:$G$64,MATCH(B870,Batches!$A$5:$A$64,0))),"")))</f>
        <v/>
      </c>
      <c r="U870" s="23"/>
      <c r="V870" s="24"/>
      <c r="W870" s="28" t="str">
        <f aca="false">IF(OR(X870="",X870="Pending"),"",IF(V870&lt;&gt;"",V870,IFERROR(IF(INDEX(Batches!$H$5:$H$64,MATCH(B870,Batches!$A$5:$A$64,0))="","",INDEX(Batches!$H$5:$H$64,MATCH(B870,Batches!$A$5:$A$64,0))),"")))</f>
        <v/>
      </c>
      <c r="X870" s="23"/>
      <c r="Y870" s="23"/>
      <c r="Z870" s="26"/>
      <c r="AA870" s="27" t="str">
        <f aca="false">IF(R870="","",IF(X870="Not accepted",R870,IF(OR(X870="Accepted",X870="Withdrawn by hospital"),IF(X870="Accepted",0,R870),IF(ISNUMBER(Z870),R870-Z870,""))))</f>
        <v/>
      </c>
      <c r="AB870" s="23"/>
      <c r="AC870" s="25"/>
      <c r="AD870" s="23"/>
      <c r="AE870" s="23"/>
      <c r="AF870" s="24"/>
      <c r="AG870" s="23"/>
      <c r="AH870" s="24"/>
      <c r="AI870" s="29" t="str">
        <f aca="false">IF(X870="Not accepted","Maintained",IF(X870="Partially accepted","Partially maintained",IF(X870="Accepted","Reversed",IF(X870="Withdrawn by hospital","Withdrawn by hospital",""))))</f>
        <v/>
      </c>
      <c r="AJ870" s="28" t="str">
        <f aca="false">IF(AI870="","",W870)</f>
        <v/>
      </c>
      <c r="AK870" s="29" t="str">
        <f aca="false">IF(AND(ISNUMBER(T870),ISNUMBER(W870)),W870-T870,"")</f>
        <v/>
      </c>
      <c r="AL870" s="29" t="str">
        <f aca="false">IF(A870="","",SUMIF(Actions!$C$5:$C$1004,A870,Actions!$F$5:$F$1004))</f>
        <v/>
      </c>
      <c r="AM870" s="25"/>
    </row>
    <row r="871" customFormat="false" ht="15" hidden="false" customHeight="false" outlineLevel="0" collapsed="false">
      <c r="A871" s="23"/>
      <c r="B871" s="23"/>
      <c r="C871" s="23"/>
      <c r="D871" s="23"/>
      <c r="E871" s="23"/>
      <c r="F871" s="23"/>
      <c r="G871" s="23"/>
      <c r="H871" s="23"/>
      <c r="I871" s="23"/>
      <c r="J871" s="23"/>
      <c r="K871" s="24"/>
      <c r="L871" s="23"/>
      <c r="M871" s="25"/>
      <c r="N871" s="25"/>
      <c r="O871" s="23"/>
      <c r="P871" s="26"/>
      <c r="Q871" s="26"/>
      <c r="R871" s="27" t="str">
        <f aca="false">IF(AND(ISNUMBER(P871),ISNUMBER(Q871)),P871-Q871,"")</f>
        <v/>
      </c>
      <c r="S871" s="24"/>
      <c r="T871" s="28" t="str">
        <f aca="false">IF(S871&lt;&gt;"",S871,IF(B871="","",IFERROR(IF(INDEX(Batches!$G$5:$G$64,MATCH(B871,Batches!$A$5:$A$64,0))="","",INDEX(Batches!$G$5:$G$64,MATCH(B871,Batches!$A$5:$A$64,0))),"")))</f>
        <v/>
      </c>
      <c r="U871" s="23"/>
      <c r="V871" s="24"/>
      <c r="W871" s="28" t="str">
        <f aca="false">IF(OR(X871="",X871="Pending"),"",IF(V871&lt;&gt;"",V871,IFERROR(IF(INDEX(Batches!$H$5:$H$64,MATCH(B871,Batches!$A$5:$A$64,0))="","",INDEX(Batches!$H$5:$H$64,MATCH(B871,Batches!$A$5:$A$64,0))),"")))</f>
        <v/>
      </c>
      <c r="X871" s="23"/>
      <c r="Y871" s="23"/>
      <c r="Z871" s="26"/>
      <c r="AA871" s="27" t="str">
        <f aca="false">IF(R871="","",IF(X871="Not accepted",R871,IF(OR(X871="Accepted",X871="Withdrawn by hospital"),IF(X871="Accepted",0,R871),IF(ISNUMBER(Z871),R871-Z871,""))))</f>
        <v/>
      </c>
      <c r="AB871" s="23"/>
      <c r="AC871" s="25"/>
      <c r="AD871" s="23"/>
      <c r="AE871" s="23"/>
      <c r="AF871" s="24"/>
      <c r="AG871" s="23"/>
      <c r="AH871" s="24"/>
      <c r="AI871" s="29" t="str">
        <f aca="false">IF(X871="Not accepted","Maintained",IF(X871="Partially accepted","Partially maintained",IF(X871="Accepted","Reversed",IF(X871="Withdrawn by hospital","Withdrawn by hospital",""))))</f>
        <v/>
      </c>
      <c r="AJ871" s="28" t="str">
        <f aca="false">IF(AI871="","",W871)</f>
        <v/>
      </c>
      <c r="AK871" s="29" t="str">
        <f aca="false">IF(AND(ISNUMBER(T871),ISNUMBER(W871)),W871-T871,"")</f>
        <v/>
      </c>
      <c r="AL871" s="29" t="str">
        <f aca="false">IF(A871="","",SUMIF(Actions!$C$5:$C$1004,A871,Actions!$F$5:$F$1004))</f>
        <v/>
      </c>
      <c r="AM871" s="25"/>
    </row>
    <row r="872" customFormat="false" ht="15" hidden="false" customHeight="false" outlineLevel="0" collapsed="false">
      <c r="A872" s="23"/>
      <c r="B872" s="23"/>
      <c r="C872" s="23"/>
      <c r="D872" s="23"/>
      <c r="E872" s="23"/>
      <c r="F872" s="23"/>
      <c r="G872" s="23"/>
      <c r="H872" s="23"/>
      <c r="I872" s="23"/>
      <c r="J872" s="23"/>
      <c r="K872" s="24"/>
      <c r="L872" s="23"/>
      <c r="M872" s="25"/>
      <c r="N872" s="25"/>
      <c r="O872" s="23"/>
      <c r="P872" s="26"/>
      <c r="Q872" s="26"/>
      <c r="R872" s="27" t="str">
        <f aca="false">IF(AND(ISNUMBER(P872),ISNUMBER(Q872)),P872-Q872,"")</f>
        <v/>
      </c>
      <c r="S872" s="24"/>
      <c r="T872" s="28" t="str">
        <f aca="false">IF(S872&lt;&gt;"",S872,IF(B872="","",IFERROR(IF(INDEX(Batches!$G$5:$G$64,MATCH(B872,Batches!$A$5:$A$64,0))="","",INDEX(Batches!$G$5:$G$64,MATCH(B872,Batches!$A$5:$A$64,0))),"")))</f>
        <v/>
      </c>
      <c r="U872" s="23"/>
      <c r="V872" s="24"/>
      <c r="W872" s="28" t="str">
        <f aca="false">IF(OR(X872="",X872="Pending"),"",IF(V872&lt;&gt;"",V872,IFERROR(IF(INDEX(Batches!$H$5:$H$64,MATCH(B872,Batches!$A$5:$A$64,0))="","",INDEX(Batches!$H$5:$H$64,MATCH(B872,Batches!$A$5:$A$64,0))),"")))</f>
        <v/>
      </c>
      <c r="X872" s="23"/>
      <c r="Y872" s="23"/>
      <c r="Z872" s="26"/>
      <c r="AA872" s="27" t="str">
        <f aca="false">IF(R872="","",IF(X872="Not accepted",R872,IF(OR(X872="Accepted",X872="Withdrawn by hospital"),IF(X872="Accepted",0,R872),IF(ISNUMBER(Z872),R872-Z872,""))))</f>
        <v/>
      </c>
      <c r="AB872" s="23"/>
      <c r="AC872" s="25"/>
      <c r="AD872" s="23"/>
      <c r="AE872" s="23"/>
      <c r="AF872" s="24"/>
      <c r="AG872" s="23"/>
      <c r="AH872" s="24"/>
      <c r="AI872" s="29" t="str">
        <f aca="false">IF(X872="Not accepted","Maintained",IF(X872="Partially accepted","Partially maintained",IF(X872="Accepted","Reversed",IF(X872="Withdrawn by hospital","Withdrawn by hospital",""))))</f>
        <v/>
      </c>
      <c r="AJ872" s="28" t="str">
        <f aca="false">IF(AI872="","",W872)</f>
        <v/>
      </c>
      <c r="AK872" s="29" t="str">
        <f aca="false">IF(AND(ISNUMBER(T872),ISNUMBER(W872)),W872-T872,"")</f>
        <v/>
      </c>
      <c r="AL872" s="29" t="str">
        <f aca="false">IF(A872="","",SUMIF(Actions!$C$5:$C$1004,A872,Actions!$F$5:$F$1004))</f>
        <v/>
      </c>
      <c r="AM872" s="25"/>
    </row>
    <row r="873" customFormat="false" ht="15" hidden="false" customHeight="false" outlineLevel="0" collapsed="false">
      <c r="A873" s="23"/>
      <c r="B873" s="23"/>
      <c r="C873" s="23"/>
      <c r="D873" s="23"/>
      <c r="E873" s="23"/>
      <c r="F873" s="23"/>
      <c r="G873" s="23"/>
      <c r="H873" s="23"/>
      <c r="I873" s="23"/>
      <c r="J873" s="23"/>
      <c r="K873" s="24"/>
      <c r="L873" s="23"/>
      <c r="M873" s="25"/>
      <c r="N873" s="25"/>
      <c r="O873" s="23"/>
      <c r="P873" s="26"/>
      <c r="Q873" s="26"/>
      <c r="R873" s="27" t="str">
        <f aca="false">IF(AND(ISNUMBER(P873),ISNUMBER(Q873)),P873-Q873,"")</f>
        <v/>
      </c>
      <c r="S873" s="24"/>
      <c r="T873" s="28" t="str">
        <f aca="false">IF(S873&lt;&gt;"",S873,IF(B873="","",IFERROR(IF(INDEX(Batches!$G$5:$G$64,MATCH(B873,Batches!$A$5:$A$64,0))="","",INDEX(Batches!$G$5:$G$64,MATCH(B873,Batches!$A$5:$A$64,0))),"")))</f>
        <v/>
      </c>
      <c r="U873" s="23"/>
      <c r="V873" s="24"/>
      <c r="W873" s="28" t="str">
        <f aca="false">IF(OR(X873="",X873="Pending"),"",IF(V873&lt;&gt;"",V873,IFERROR(IF(INDEX(Batches!$H$5:$H$64,MATCH(B873,Batches!$A$5:$A$64,0))="","",INDEX(Batches!$H$5:$H$64,MATCH(B873,Batches!$A$5:$A$64,0))),"")))</f>
        <v/>
      </c>
      <c r="X873" s="23"/>
      <c r="Y873" s="23"/>
      <c r="Z873" s="26"/>
      <c r="AA873" s="27" t="str">
        <f aca="false">IF(R873="","",IF(X873="Not accepted",R873,IF(OR(X873="Accepted",X873="Withdrawn by hospital"),IF(X873="Accepted",0,R873),IF(ISNUMBER(Z873),R873-Z873,""))))</f>
        <v/>
      </c>
      <c r="AB873" s="23"/>
      <c r="AC873" s="25"/>
      <c r="AD873" s="23"/>
      <c r="AE873" s="23"/>
      <c r="AF873" s="24"/>
      <c r="AG873" s="23"/>
      <c r="AH873" s="24"/>
      <c r="AI873" s="29" t="str">
        <f aca="false">IF(X873="Not accepted","Maintained",IF(X873="Partially accepted","Partially maintained",IF(X873="Accepted","Reversed",IF(X873="Withdrawn by hospital","Withdrawn by hospital",""))))</f>
        <v/>
      </c>
      <c r="AJ873" s="28" t="str">
        <f aca="false">IF(AI873="","",W873)</f>
        <v/>
      </c>
      <c r="AK873" s="29" t="str">
        <f aca="false">IF(AND(ISNUMBER(T873),ISNUMBER(W873)),W873-T873,"")</f>
        <v/>
      </c>
      <c r="AL873" s="29" t="str">
        <f aca="false">IF(A873="","",SUMIF(Actions!$C$5:$C$1004,A873,Actions!$F$5:$F$1004))</f>
        <v/>
      </c>
      <c r="AM873" s="25"/>
    </row>
    <row r="874" customFormat="false" ht="15" hidden="false" customHeight="false" outlineLevel="0" collapsed="false">
      <c r="A874" s="23"/>
      <c r="B874" s="23"/>
      <c r="C874" s="23"/>
      <c r="D874" s="23"/>
      <c r="E874" s="23"/>
      <c r="F874" s="23"/>
      <c r="G874" s="23"/>
      <c r="H874" s="23"/>
      <c r="I874" s="23"/>
      <c r="J874" s="23"/>
      <c r="K874" s="24"/>
      <c r="L874" s="23"/>
      <c r="M874" s="25"/>
      <c r="N874" s="25"/>
      <c r="O874" s="23"/>
      <c r="P874" s="26"/>
      <c r="Q874" s="26"/>
      <c r="R874" s="27" t="str">
        <f aca="false">IF(AND(ISNUMBER(P874),ISNUMBER(Q874)),P874-Q874,"")</f>
        <v/>
      </c>
      <c r="S874" s="24"/>
      <c r="T874" s="28" t="str">
        <f aca="false">IF(S874&lt;&gt;"",S874,IF(B874="","",IFERROR(IF(INDEX(Batches!$G$5:$G$64,MATCH(B874,Batches!$A$5:$A$64,0))="","",INDEX(Batches!$G$5:$G$64,MATCH(B874,Batches!$A$5:$A$64,0))),"")))</f>
        <v/>
      </c>
      <c r="U874" s="23"/>
      <c r="V874" s="24"/>
      <c r="W874" s="28" t="str">
        <f aca="false">IF(OR(X874="",X874="Pending"),"",IF(V874&lt;&gt;"",V874,IFERROR(IF(INDEX(Batches!$H$5:$H$64,MATCH(B874,Batches!$A$5:$A$64,0))="","",INDEX(Batches!$H$5:$H$64,MATCH(B874,Batches!$A$5:$A$64,0))),"")))</f>
        <v/>
      </c>
      <c r="X874" s="23"/>
      <c r="Y874" s="23"/>
      <c r="Z874" s="26"/>
      <c r="AA874" s="27" t="str">
        <f aca="false">IF(R874="","",IF(X874="Not accepted",R874,IF(OR(X874="Accepted",X874="Withdrawn by hospital"),IF(X874="Accepted",0,R874),IF(ISNUMBER(Z874),R874-Z874,""))))</f>
        <v/>
      </c>
      <c r="AB874" s="23"/>
      <c r="AC874" s="25"/>
      <c r="AD874" s="23"/>
      <c r="AE874" s="23"/>
      <c r="AF874" s="24"/>
      <c r="AG874" s="23"/>
      <c r="AH874" s="24"/>
      <c r="AI874" s="29" t="str">
        <f aca="false">IF(X874="Not accepted","Maintained",IF(X874="Partially accepted","Partially maintained",IF(X874="Accepted","Reversed",IF(X874="Withdrawn by hospital","Withdrawn by hospital",""))))</f>
        <v/>
      </c>
      <c r="AJ874" s="28" t="str">
        <f aca="false">IF(AI874="","",W874)</f>
        <v/>
      </c>
      <c r="AK874" s="29" t="str">
        <f aca="false">IF(AND(ISNUMBER(T874),ISNUMBER(W874)),W874-T874,"")</f>
        <v/>
      </c>
      <c r="AL874" s="29" t="str">
        <f aca="false">IF(A874="","",SUMIF(Actions!$C$5:$C$1004,A874,Actions!$F$5:$F$1004))</f>
        <v/>
      </c>
      <c r="AM874" s="25"/>
    </row>
    <row r="875" customFormat="false" ht="15" hidden="false" customHeight="false" outlineLevel="0" collapsed="false">
      <c r="A875" s="23"/>
      <c r="B875" s="23"/>
      <c r="C875" s="23"/>
      <c r="D875" s="23"/>
      <c r="E875" s="23"/>
      <c r="F875" s="23"/>
      <c r="G875" s="23"/>
      <c r="H875" s="23"/>
      <c r="I875" s="23"/>
      <c r="J875" s="23"/>
      <c r="K875" s="24"/>
      <c r="L875" s="23"/>
      <c r="M875" s="25"/>
      <c r="N875" s="25"/>
      <c r="O875" s="23"/>
      <c r="P875" s="26"/>
      <c r="Q875" s="26"/>
      <c r="R875" s="27" t="str">
        <f aca="false">IF(AND(ISNUMBER(P875),ISNUMBER(Q875)),P875-Q875,"")</f>
        <v/>
      </c>
      <c r="S875" s="24"/>
      <c r="T875" s="28" t="str">
        <f aca="false">IF(S875&lt;&gt;"",S875,IF(B875="","",IFERROR(IF(INDEX(Batches!$G$5:$G$64,MATCH(B875,Batches!$A$5:$A$64,0))="","",INDEX(Batches!$G$5:$G$64,MATCH(B875,Batches!$A$5:$A$64,0))),"")))</f>
        <v/>
      </c>
      <c r="U875" s="23"/>
      <c r="V875" s="24"/>
      <c r="W875" s="28" t="str">
        <f aca="false">IF(OR(X875="",X875="Pending"),"",IF(V875&lt;&gt;"",V875,IFERROR(IF(INDEX(Batches!$H$5:$H$64,MATCH(B875,Batches!$A$5:$A$64,0))="","",INDEX(Batches!$H$5:$H$64,MATCH(B875,Batches!$A$5:$A$64,0))),"")))</f>
        <v/>
      </c>
      <c r="X875" s="23"/>
      <c r="Y875" s="23"/>
      <c r="Z875" s="26"/>
      <c r="AA875" s="27" t="str">
        <f aca="false">IF(R875="","",IF(X875="Not accepted",R875,IF(OR(X875="Accepted",X875="Withdrawn by hospital"),IF(X875="Accepted",0,R875),IF(ISNUMBER(Z875),R875-Z875,""))))</f>
        <v/>
      </c>
      <c r="AB875" s="23"/>
      <c r="AC875" s="25"/>
      <c r="AD875" s="23"/>
      <c r="AE875" s="23"/>
      <c r="AF875" s="24"/>
      <c r="AG875" s="23"/>
      <c r="AH875" s="24"/>
      <c r="AI875" s="29" t="str">
        <f aca="false">IF(X875="Not accepted","Maintained",IF(X875="Partially accepted","Partially maintained",IF(X875="Accepted","Reversed",IF(X875="Withdrawn by hospital","Withdrawn by hospital",""))))</f>
        <v/>
      </c>
      <c r="AJ875" s="28" t="str">
        <f aca="false">IF(AI875="","",W875)</f>
        <v/>
      </c>
      <c r="AK875" s="29" t="str">
        <f aca="false">IF(AND(ISNUMBER(T875),ISNUMBER(W875)),W875-T875,"")</f>
        <v/>
      </c>
      <c r="AL875" s="29" t="str">
        <f aca="false">IF(A875="","",SUMIF(Actions!$C$5:$C$1004,A875,Actions!$F$5:$F$1004))</f>
        <v/>
      </c>
      <c r="AM875" s="25"/>
    </row>
    <row r="876" customFormat="false" ht="15" hidden="false" customHeight="false" outlineLevel="0" collapsed="false">
      <c r="A876" s="23"/>
      <c r="B876" s="23"/>
      <c r="C876" s="23"/>
      <c r="D876" s="23"/>
      <c r="E876" s="23"/>
      <c r="F876" s="23"/>
      <c r="G876" s="23"/>
      <c r="H876" s="23"/>
      <c r="I876" s="23"/>
      <c r="J876" s="23"/>
      <c r="K876" s="24"/>
      <c r="L876" s="23"/>
      <c r="M876" s="25"/>
      <c r="N876" s="25"/>
      <c r="O876" s="23"/>
      <c r="P876" s="26"/>
      <c r="Q876" s="26"/>
      <c r="R876" s="27" t="str">
        <f aca="false">IF(AND(ISNUMBER(P876),ISNUMBER(Q876)),P876-Q876,"")</f>
        <v/>
      </c>
      <c r="S876" s="24"/>
      <c r="T876" s="28" t="str">
        <f aca="false">IF(S876&lt;&gt;"",S876,IF(B876="","",IFERROR(IF(INDEX(Batches!$G$5:$G$64,MATCH(B876,Batches!$A$5:$A$64,0))="","",INDEX(Batches!$G$5:$G$64,MATCH(B876,Batches!$A$5:$A$64,0))),"")))</f>
        <v/>
      </c>
      <c r="U876" s="23"/>
      <c r="V876" s="24"/>
      <c r="W876" s="28" t="str">
        <f aca="false">IF(OR(X876="",X876="Pending"),"",IF(V876&lt;&gt;"",V876,IFERROR(IF(INDEX(Batches!$H$5:$H$64,MATCH(B876,Batches!$A$5:$A$64,0))="","",INDEX(Batches!$H$5:$H$64,MATCH(B876,Batches!$A$5:$A$64,0))),"")))</f>
        <v/>
      </c>
      <c r="X876" s="23"/>
      <c r="Y876" s="23"/>
      <c r="Z876" s="26"/>
      <c r="AA876" s="27" t="str">
        <f aca="false">IF(R876="","",IF(X876="Not accepted",R876,IF(OR(X876="Accepted",X876="Withdrawn by hospital"),IF(X876="Accepted",0,R876),IF(ISNUMBER(Z876),R876-Z876,""))))</f>
        <v/>
      </c>
      <c r="AB876" s="23"/>
      <c r="AC876" s="25"/>
      <c r="AD876" s="23"/>
      <c r="AE876" s="23"/>
      <c r="AF876" s="24"/>
      <c r="AG876" s="23"/>
      <c r="AH876" s="24"/>
      <c r="AI876" s="29" t="str">
        <f aca="false">IF(X876="Not accepted","Maintained",IF(X876="Partially accepted","Partially maintained",IF(X876="Accepted","Reversed",IF(X876="Withdrawn by hospital","Withdrawn by hospital",""))))</f>
        <v/>
      </c>
      <c r="AJ876" s="28" t="str">
        <f aca="false">IF(AI876="","",W876)</f>
        <v/>
      </c>
      <c r="AK876" s="29" t="str">
        <f aca="false">IF(AND(ISNUMBER(T876),ISNUMBER(W876)),W876-T876,"")</f>
        <v/>
      </c>
      <c r="AL876" s="29" t="str">
        <f aca="false">IF(A876="","",SUMIF(Actions!$C$5:$C$1004,A876,Actions!$F$5:$F$1004))</f>
        <v/>
      </c>
      <c r="AM876" s="25"/>
    </row>
    <row r="877" customFormat="false" ht="15" hidden="false" customHeight="false" outlineLevel="0" collapsed="false">
      <c r="A877" s="23"/>
      <c r="B877" s="23"/>
      <c r="C877" s="23"/>
      <c r="D877" s="23"/>
      <c r="E877" s="23"/>
      <c r="F877" s="23"/>
      <c r="G877" s="23"/>
      <c r="H877" s="23"/>
      <c r="I877" s="23"/>
      <c r="J877" s="23"/>
      <c r="K877" s="24"/>
      <c r="L877" s="23"/>
      <c r="M877" s="25"/>
      <c r="N877" s="25"/>
      <c r="O877" s="23"/>
      <c r="P877" s="26"/>
      <c r="Q877" s="26"/>
      <c r="R877" s="27" t="str">
        <f aca="false">IF(AND(ISNUMBER(P877),ISNUMBER(Q877)),P877-Q877,"")</f>
        <v/>
      </c>
      <c r="S877" s="24"/>
      <c r="T877" s="28" t="str">
        <f aca="false">IF(S877&lt;&gt;"",S877,IF(B877="","",IFERROR(IF(INDEX(Batches!$G$5:$G$64,MATCH(B877,Batches!$A$5:$A$64,0))="","",INDEX(Batches!$G$5:$G$64,MATCH(B877,Batches!$A$5:$A$64,0))),"")))</f>
        <v/>
      </c>
      <c r="U877" s="23"/>
      <c r="V877" s="24"/>
      <c r="W877" s="28" t="str">
        <f aca="false">IF(OR(X877="",X877="Pending"),"",IF(V877&lt;&gt;"",V877,IFERROR(IF(INDEX(Batches!$H$5:$H$64,MATCH(B877,Batches!$A$5:$A$64,0))="","",INDEX(Batches!$H$5:$H$64,MATCH(B877,Batches!$A$5:$A$64,0))),"")))</f>
        <v/>
      </c>
      <c r="X877" s="23"/>
      <c r="Y877" s="23"/>
      <c r="Z877" s="26"/>
      <c r="AA877" s="27" t="str">
        <f aca="false">IF(R877="","",IF(X877="Not accepted",R877,IF(OR(X877="Accepted",X877="Withdrawn by hospital"),IF(X877="Accepted",0,R877),IF(ISNUMBER(Z877),R877-Z877,""))))</f>
        <v/>
      </c>
      <c r="AB877" s="23"/>
      <c r="AC877" s="25"/>
      <c r="AD877" s="23"/>
      <c r="AE877" s="23"/>
      <c r="AF877" s="24"/>
      <c r="AG877" s="23"/>
      <c r="AH877" s="24"/>
      <c r="AI877" s="29" t="str">
        <f aca="false">IF(X877="Not accepted","Maintained",IF(X877="Partially accepted","Partially maintained",IF(X877="Accepted","Reversed",IF(X877="Withdrawn by hospital","Withdrawn by hospital",""))))</f>
        <v/>
      </c>
      <c r="AJ877" s="28" t="str">
        <f aca="false">IF(AI877="","",W877)</f>
        <v/>
      </c>
      <c r="AK877" s="29" t="str">
        <f aca="false">IF(AND(ISNUMBER(T877),ISNUMBER(W877)),W877-T877,"")</f>
        <v/>
      </c>
      <c r="AL877" s="29" t="str">
        <f aca="false">IF(A877="","",SUMIF(Actions!$C$5:$C$1004,A877,Actions!$F$5:$F$1004))</f>
        <v/>
      </c>
      <c r="AM877" s="25"/>
    </row>
    <row r="878" customFormat="false" ht="15" hidden="false" customHeight="false" outlineLevel="0" collapsed="false">
      <c r="A878" s="23"/>
      <c r="B878" s="23"/>
      <c r="C878" s="23"/>
      <c r="D878" s="23"/>
      <c r="E878" s="23"/>
      <c r="F878" s="23"/>
      <c r="G878" s="23"/>
      <c r="H878" s="23"/>
      <c r="I878" s="23"/>
      <c r="J878" s="23"/>
      <c r="K878" s="24"/>
      <c r="L878" s="23"/>
      <c r="M878" s="25"/>
      <c r="N878" s="25"/>
      <c r="O878" s="23"/>
      <c r="P878" s="26"/>
      <c r="Q878" s="26"/>
      <c r="R878" s="27" t="str">
        <f aca="false">IF(AND(ISNUMBER(P878),ISNUMBER(Q878)),P878-Q878,"")</f>
        <v/>
      </c>
      <c r="S878" s="24"/>
      <c r="T878" s="28" t="str">
        <f aca="false">IF(S878&lt;&gt;"",S878,IF(B878="","",IFERROR(IF(INDEX(Batches!$G$5:$G$64,MATCH(B878,Batches!$A$5:$A$64,0))="","",INDEX(Batches!$G$5:$G$64,MATCH(B878,Batches!$A$5:$A$64,0))),"")))</f>
        <v/>
      </c>
      <c r="U878" s="23"/>
      <c r="V878" s="24"/>
      <c r="W878" s="28" t="str">
        <f aca="false">IF(OR(X878="",X878="Pending"),"",IF(V878&lt;&gt;"",V878,IFERROR(IF(INDEX(Batches!$H$5:$H$64,MATCH(B878,Batches!$A$5:$A$64,0))="","",INDEX(Batches!$H$5:$H$64,MATCH(B878,Batches!$A$5:$A$64,0))),"")))</f>
        <v/>
      </c>
      <c r="X878" s="23"/>
      <c r="Y878" s="23"/>
      <c r="Z878" s="26"/>
      <c r="AA878" s="27" t="str">
        <f aca="false">IF(R878="","",IF(X878="Not accepted",R878,IF(OR(X878="Accepted",X878="Withdrawn by hospital"),IF(X878="Accepted",0,R878),IF(ISNUMBER(Z878),R878-Z878,""))))</f>
        <v/>
      </c>
      <c r="AB878" s="23"/>
      <c r="AC878" s="25"/>
      <c r="AD878" s="23"/>
      <c r="AE878" s="23"/>
      <c r="AF878" s="24"/>
      <c r="AG878" s="23"/>
      <c r="AH878" s="24"/>
      <c r="AI878" s="29" t="str">
        <f aca="false">IF(X878="Not accepted","Maintained",IF(X878="Partially accepted","Partially maintained",IF(X878="Accepted","Reversed",IF(X878="Withdrawn by hospital","Withdrawn by hospital",""))))</f>
        <v/>
      </c>
      <c r="AJ878" s="28" t="str">
        <f aca="false">IF(AI878="","",W878)</f>
        <v/>
      </c>
      <c r="AK878" s="29" t="str">
        <f aca="false">IF(AND(ISNUMBER(T878),ISNUMBER(W878)),W878-T878,"")</f>
        <v/>
      </c>
      <c r="AL878" s="29" t="str">
        <f aca="false">IF(A878="","",SUMIF(Actions!$C$5:$C$1004,A878,Actions!$F$5:$F$1004))</f>
        <v/>
      </c>
      <c r="AM878" s="25"/>
    </row>
    <row r="879" customFormat="false" ht="15" hidden="false" customHeight="false" outlineLevel="0" collapsed="false">
      <c r="A879" s="23"/>
      <c r="B879" s="23"/>
      <c r="C879" s="23"/>
      <c r="D879" s="23"/>
      <c r="E879" s="23"/>
      <c r="F879" s="23"/>
      <c r="G879" s="23"/>
      <c r="H879" s="23"/>
      <c r="I879" s="23"/>
      <c r="J879" s="23"/>
      <c r="K879" s="24"/>
      <c r="L879" s="23"/>
      <c r="M879" s="25"/>
      <c r="N879" s="25"/>
      <c r="O879" s="23"/>
      <c r="P879" s="26"/>
      <c r="Q879" s="26"/>
      <c r="R879" s="27" t="str">
        <f aca="false">IF(AND(ISNUMBER(P879),ISNUMBER(Q879)),P879-Q879,"")</f>
        <v/>
      </c>
      <c r="S879" s="24"/>
      <c r="T879" s="28" t="str">
        <f aca="false">IF(S879&lt;&gt;"",S879,IF(B879="","",IFERROR(IF(INDEX(Batches!$G$5:$G$64,MATCH(B879,Batches!$A$5:$A$64,0))="","",INDEX(Batches!$G$5:$G$64,MATCH(B879,Batches!$A$5:$A$64,0))),"")))</f>
        <v/>
      </c>
      <c r="U879" s="23"/>
      <c r="V879" s="24"/>
      <c r="W879" s="28" t="str">
        <f aca="false">IF(OR(X879="",X879="Pending"),"",IF(V879&lt;&gt;"",V879,IFERROR(IF(INDEX(Batches!$H$5:$H$64,MATCH(B879,Batches!$A$5:$A$64,0))="","",INDEX(Batches!$H$5:$H$64,MATCH(B879,Batches!$A$5:$A$64,0))),"")))</f>
        <v/>
      </c>
      <c r="X879" s="23"/>
      <c r="Y879" s="23"/>
      <c r="Z879" s="26"/>
      <c r="AA879" s="27" t="str">
        <f aca="false">IF(R879="","",IF(X879="Not accepted",R879,IF(OR(X879="Accepted",X879="Withdrawn by hospital"),IF(X879="Accepted",0,R879),IF(ISNUMBER(Z879),R879-Z879,""))))</f>
        <v/>
      </c>
      <c r="AB879" s="23"/>
      <c r="AC879" s="25"/>
      <c r="AD879" s="23"/>
      <c r="AE879" s="23"/>
      <c r="AF879" s="24"/>
      <c r="AG879" s="23"/>
      <c r="AH879" s="24"/>
      <c r="AI879" s="29" t="str">
        <f aca="false">IF(X879="Not accepted","Maintained",IF(X879="Partially accepted","Partially maintained",IF(X879="Accepted","Reversed",IF(X879="Withdrawn by hospital","Withdrawn by hospital",""))))</f>
        <v/>
      </c>
      <c r="AJ879" s="28" t="str">
        <f aca="false">IF(AI879="","",W879)</f>
        <v/>
      </c>
      <c r="AK879" s="29" t="str">
        <f aca="false">IF(AND(ISNUMBER(T879),ISNUMBER(W879)),W879-T879,"")</f>
        <v/>
      </c>
      <c r="AL879" s="29" t="str">
        <f aca="false">IF(A879="","",SUMIF(Actions!$C$5:$C$1004,A879,Actions!$F$5:$F$1004))</f>
        <v/>
      </c>
      <c r="AM879" s="25"/>
    </row>
    <row r="880" customFormat="false" ht="15" hidden="false" customHeight="false" outlineLevel="0" collapsed="false">
      <c r="A880" s="23"/>
      <c r="B880" s="23"/>
      <c r="C880" s="23"/>
      <c r="D880" s="23"/>
      <c r="E880" s="23"/>
      <c r="F880" s="23"/>
      <c r="G880" s="23"/>
      <c r="H880" s="23"/>
      <c r="I880" s="23"/>
      <c r="J880" s="23"/>
      <c r="K880" s="24"/>
      <c r="L880" s="23"/>
      <c r="M880" s="25"/>
      <c r="N880" s="25"/>
      <c r="O880" s="23"/>
      <c r="P880" s="26"/>
      <c r="Q880" s="26"/>
      <c r="R880" s="27" t="str">
        <f aca="false">IF(AND(ISNUMBER(P880),ISNUMBER(Q880)),P880-Q880,"")</f>
        <v/>
      </c>
      <c r="S880" s="24"/>
      <c r="T880" s="28" t="str">
        <f aca="false">IF(S880&lt;&gt;"",S880,IF(B880="","",IFERROR(IF(INDEX(Batches!$G$5:$G$64,MATCH(B880,Batches!$A$5:$A$64,0))="","",INDEX(Batches!$G$5:$G$64,MATCH(B880,Batches!$A$5:$A$64,0))),"")))</f>
        <v/>
      </c>
      <c r="U880" s="23"/>
      <c r="V880" s="24"/>
      <c r="W880" s="28" t="str">
        <f aca="false">IF(OR(X880="",X880="Pending"),"",IF(V880&lt;&gt;"",V880,IFERROR(IF(INDEX(Batches!$H$5:$H$64,MATCH(B880,Batches!$A$5:$A$64,0))="","",INDEX(Batches!$H$5:$H$64,MATCH(B880,Batches!$A$5:$A$64,0))),"")))</f>
        <v/>
      </c>
      <c r="X880" s="23"/>
      <c r="Y880" s="23"/>
      <c r="Z880" s="26"/>
      <c r="AA880" s="27" t="str">
        <f aca="false">IF(R880="","",IF(X880="Not accepted",R880,IF(OR(X880="Accepted",X880="Withdrawn by hospital"),IF(X880="Accepted",0,R880),IF(ISNUMBER(Z880),R880-Z880,""))))</f>
        <v/>
      </c>
      <c r="AB880" s="23"/>
      <c r="AC880" s="25"/>
      <c r="AD880" s="23"/>
      <c r="AE880" s="23"/>
      <c r="AF880" s="24"/>
      <c r="AG880" s="23"/>
      <c r="AH880" s="24"/>
      <c r="AI880" s="29" t="str">
        <f aca="false">IF(X880="Not accepted","Maintained",IF(X880="Partially accepted","Partially maintained",IF(X880="Accepted","Reversed",IF(X880="Withdrawn by hospital","Withdrawn by hospital",""))))</f>
        <v/>
      </c>
      <c r="AJ880" s="28" t="str">
        <f aca="false">IF(AI880="","",W880)</f>
        <v/>
      </c>
      <c r="AK880" s="29" t="str">
        <f aca="false">IF(AND(ISNUMBER(T880),ISNUMBER(W880)),W880-T880,"")</f>
        <v/>
      </c>
      <c r="AL880" s="29" t="str">
        <f aca="false">IF(A880="","",SUMIF(Actions!$C$5:$C$1004,A880,Actions!$F$5:$F$1004))</f>
        <v/>
      </c>
      <c r="AM880" s="25"/>
    </row>
    <row r="881" customFormat="false" ht="15" hidden="false" customHeight="false" outlineLevel="0" collapsed="false">
      <c r="A881" s="23"/>
      <c r="B881" s="23"/>
      <c r="C881" s="23"/>
      <c r="D881" s="23"/>
      <c r="E881" s="23"/>
      <c r="F881" s="23"/>
      <c r="G881" s="23"/>
      <c r="H881" s="23"/>
      <c r="I881" s="23"/>
      <c r="J881" s="23"/>
      <c r="K881" s="24"/>
      <c r="L881" s="23"/>
      <c r="M881" s="25"/>
      <c r="N881" s="25"/>
      <c r="O881" s="23"/>
      <c r="P881" s="26"/>
      <c r="Q881" s="26"/>
      <c r="R881" s="27" t="str">
        <f aca="false">IF(AND(ISNUMBER(P881),ISNUMBER(Q881)),P881-Q881,"")</f>
        <v/>
      </c>
      <c r="S881" s="24"/>
      <c r="T881" s="28" t="str">
        <f aca="false">IF(S881&lt;&gt;"",S881,IF(B881="","",IFERROR(IF(INDEX(Batches!$G$5:$G$64,MATCH(B881,Batches!$A$5:$A$64,0))="","",INDEX(Batches!$G$5:$G$64,MATCH(B881,Batches!$A$5:$A$64,0))),"")))</f>
        <v/>
      </c>
      <c r="U881" s="23"/>
      <c r="V881" s="24"/>
      <c r="W881" s="28" t="str">
        <f aca="false">IF(OR(X881="",X881="Pending"),"",IF(V881&lt;&gt;"",V881,IFERROR(IF(INDEX(Batches!$H$5:$H$64,MATCH(B881,Batches!$A$5:$A$64,0))="","",INDEX(Batches!$H$5:$H$64,MATCH(B881,Batches!$A$5:$A$64,0))),"")))</f>
        <v/>
      </c>
      <c r="X881" s="23"/>
      <c r="Y881" s="23"/>
      <c r="Z881" s="26"/>
      <c r="AA881" s="27" t="str">
        <f aca="false">IF(R881="","",IF(X881="Not accepted",R881,IF(OR(X881="Accepted",X881="Withdrawn by hospital"),IF(X881="Accepted",0,R881),IF(ISNUMBER(Z881),R881-Z881,""))))</f>
        <v/>
      </c>
      <c r="AB881" s="23"/>
      <c r="AC881" s="25"/>
      <c r="AD881" s="23"/>
      <c r="AE881" s="23"/>
      <c r="AF881" s="24"/>
      <c r="AG881" s="23"/>
      <c r="AH881" s="24"/>
      <c r="AI881" s="29" t="str">
        <f aca="false">IF(X881="Not accepted","Maintained",IF(X881="Partially accepted","Partially maintained",IF(X881="Accepted","Reversed",IF(X881="Withdrawn by hospital","Withdrawn by hospital",""))))</f>
        <v/>
      </c>
      <c r="AJ881" s="28" t="str">
        <f aca="false">IF(AI881="","",W881)</f>
        <v/>
      </c>
      <c r="AK881" s="29" t="str">
        <f aca="false">IF(AND(ISNUMBER(T881),ISNUMBER(W881)),W881-T881,"")</f>
        <v/>
      </c>
      <c r="AL881" s="29" t="str">
        <f aca="false">IF(A881="","",SUMIF(Actions!$C$5:$C$1004,A881,Actions!$F$5:$F$1004))</f>
        <v/>
      </c>
      <c r="AM881" s="25"/>
    </row>
    <row r="882" customFormat="false" ht="15" hidden="false" customHeight="false" outlineLevel="0" collapsed="false">
      <c r="A882" s="23"/>
      <c r="B882" s="23"/>
      <c r="C882" s="23"/>
      <c r="D882" s="23"/>
      <c r="E882" s="23"/>
      <c r="F882" s="23"/>
      <c r="G882" s="23"/>
      <c r="H882" s="23"/>
      <c r="I882" s="23"/>
      <c r="J882" s="23"/>
      <c r="K882" s="24"/>
      <c r="L882" s="23"/>
      <c r="M882" s="25"/>
      <c r="N882" s="25"/>
      <c r="O882" s="23"/>
      <c r="P882" s="26"/>
      <c r="Q882" s="26"/>
      <c r="R882" s="27" t="str">
        <f aca="false">IF(AND(ISNUMBER(P882),ISNUMBER(Q882)),P882-Q882,"")</f>
        <v/>
      </c>
      <c r="S882" s="24"/>
      <c r="T882" s="28" t="str">
        <f aca="false">IF(S882&lt;&gt;"",S882,IF(B882="","",IFERROR(IF(INDEX(Batches!$G$5:$G$64,MATCH(B882,Batches!$A$5:$A$64,0))="","",INDEX(Batches!$G$5:$G$64,MATCH(B882,Batches!$A$5:$A$64,0))),"")))</f>
        <v/>
      </c>
      <c r="U882" s="23"/>
      <c r="V882" s="24"/>
      <c r="W882" s="28" t="str">
        <f aca="false">IF(OR(X882="",X882="Pending"),"",IF(V882&lt;&gt;"",V882,IFERROR(IF(INDEX(Batches!$H$5:$H$64,MATCH(B882,Batches!$A$5:$A$64,0))="","",INDEX(Batches!$H$5:$H$64,MATCH(B882,Batches!$A$5:$A$64,0))),"")))</f>
        <v/>
      </c>
      <c r="X882" s="23"/>
      <c r="Y882" s="23"/>
      <c r="Z882" s="26"/>
      <c r="AA882" s="27" t="str">
        <f aca="false">IF(R882="","",IF(X882="Not accepted",R882,IF(OR(X882="Accepted",X882="Withdrawn by hospital"),IF(X882="Accepted",0,R882),IF(ISNUMBER(Z882),R882-Z882,""))))</f>
        <v/>
      </c>
      <c r="AB882" s="23"/>
      <c r="AC882" s="25"/>
      <c r="AD882" s="23"/>
      <c r="AE882" s="23"/>
      <c r="AF882" s="24"/>
      <c r="AG882" s="23"/>
      <c r="AH882" s="24"/>
      <c r="AI882" s="29" t="str">
        <f aca="false">IF(X882="Not accepted","Maintained",IF(X882="Partially accepted","Partially maintained",IF(X882="Accepted","Reversed",IF(X882="Withdrawn by hospital","Withdrawn by hospital",""))))</f>
        <v/>
      </c>
      <c r="AJ882" s="28" t="str">
        <f aca="false">IF(AI882="","",W882)</f>
        <v/>
      </c>
      <c r="AK882" s="29" t="str">
        <f aca="false">IF(AND(ISNUMBER(T882),ISNUMBER(W882)),W882-T882,"")</f>
        <v/>
      </c>
      <c r="AL882" s="29" t="str">
        <f aca="false">IF(A882="","",SUMIF(Actions!$C$5:$C$1004,A882,Actions!$F$5:$F$1004))</f>
        <v/>
      </c>
      <c r="AM882" s="25"/>
    </row>
    <row r="883" customFormat="false" ht="15" hidden="false" customHeight="false" outlineLevel="0" collapsed="false">
      <c r="A883" s="23"/>
      <c r="B883" s="23"/>
      <c r="C883" s="23"/>
      <c r="D883" s="23"/>
      <c r="E883" s="23"/>
      <c r="F883" s="23"/>
      <c r="G883" s="23"/>
      <c r="H883" s="23"/>
      <c r="I883" s="23"/>
      <c r="J883" s="23"/>
      <c r="K883" s="24"/>
      <c r="L883" s="23"/>
      <c r="M883" s="25"/>
      <c r="N883" s="25"/>
      <c r="O883" s="23"/>
      <c r="P883" s="26"/>
      <c r="Q883" s="26"/>
      <c r="R883" s="27" t="str">
        <f aca="false">IF(AND(ISNUMBER(P883),ISNUMBER(Q883)),P883-Q883,"")</f>
        <v/>
      </c>
      <c r="S883" s="24"/>
      <c r="T883" s="28" t="str">
        <f aca="false">IF(S883&lt;&gt;"",S883,IF(B883="","",IFERROR(IF(INDEX(Batches!$G$5:$G$64,MATCH(B883,Batches!$A$5:$A$64,0))="","",INDEX(Batches!$G$5:$G$64,MATCH(B883,Batches!$A$5:$A$64,0))),"")))</f>
        <v/>
      </c>
      <c r="U883" s="23"/>
      <c r="V883" s="24"/>
      <c r="W883" s="28" t="str">
        <f aca="false">IF(OR(X883="",X883="Pending"),"",IF(V883&lt;&gt;"",V883,IFERROR(IF(INDEX(Batches!$H$5:$H$64,MATCH(B883,Batches!$A$5:$A$64,0))="","",INDEX(Batches!$H$5:$H$64,MATCH(B883,Batches!$A$5:$A$64,0))),"")))</f>
        <v/>
      </c>
      <c r="X883" s="23"/>
      <c r="Y883" s="23"/>
      <c r="Z883" s="26"/>
      <c r="AA883" s="27" t="str">
        <f aca="false">IF(R883="","",IF(X883="Not accepted",R883,IF(OR(X883="Accepted",X883="Withdrawn by hospital"),IF(X883="Accepted",0,R883),IF(ISNUMBER(Z883),R883-Z883,""))))</f>
        <v/>
      </c>
      <c r="AB883" s="23"/>
      <c r="AC883" s="25"/>
      <c r="AD883" s="23"/>
      <c r="AE883" s="23"/>
      <c r="AF883" s="24"/>
      <c r="AG883" s="23"/>
      <c r="AH883" s="24"/>
      <c r="AI883" s="29" t="str">
        <f aca="false">IF(X883="Not accepted","Maintained",IF(X883="Partially accepted","Partially maintained",IF(X883="Accepted","Reversed",IF(X883="Withdrawn by hospital","Withdrawn by hospital",""))))</f>
        <v/>
      </c>
      <c r="AJ883" s="28" t="str">
        <f aca="false">IF(AI883="","",W883)</f>
        <v/>
      </c>
      <c r="AK883" s="29" t="str">
        <f aca="false">IF(AND(ISNUMBER(T883),ISNUMBER(W883)),W883-T883,"")</f>
        <v/>
      </c>
      <c r="AL883" s="29" t="str">
        <f aca="false">IF(A883="","",SUMIF(Actions!$C$5:$C$1004,A883,Actions!$F$5:$F$1004))</f>
        <v/>
      </c>
      <c r="AM883" s="25"/>
    </row>
    <row r="884" customFormat="false" ht="15" hidden="false" customHeight="false" outlineLevel="0" collapsed="false">
      <c r="A884" s="23"/>
      <c r="B884" s="23"/>
      <c r="C884" s="23"/>
      <c r="D884" s="23"/>
      <c r="E884" s="23"/>
      <c r="F884" s="23"/>
      <c r="G884" s="23"/>
      <c r="H884" s="23"/>
      <c r="I884" s="23"/>
      <c r="J884" s="23"/>
      <c r="K884" s="24"/>
      <c r="L884" s="23"/>
      <c r="M884" s="25"/>
      <c r="N884" s="25"/>
      <c r="O884" s="23"/>
      <c r="P884" s="26"/>
      <c r="Q884" s="26"/>
      <c r="R884" s="27" t="str">
        <f aca="false">IF(AND(ISNUMBER(P884),ISNUMBER(Q884)),P884-Q884,"")</f>
        <v/>
      </c>
      <c r="S884" s="24"/>
      <c r="T884" s="28" t="str">
        <f aca="false">IF(S884&lt;&gt;"",S884,IF(B884="","",IFERROR(IF(INDEX(Batches!$G$5:$G$64,MATCH(B884,Batches!$A$5:$A$64,0))="","",INDEX(Batches!$G$5:$G$64,MATCH(B884,Batches!$A$5:$A$64,0))),"")))</f>
        <v/>
      </c>
      <c r="U884" s="23"/>
      <c r="V884" s="24"/>
      <c r="W884" s="28" t="str">
        <f aca="false">IF(OR(X884="",X884="Pending"),"",IF(V884&lt;&gt;"",V884,IFERROR(IF(INDEX(Batches!$H$5:$H$64,MATCH(B884,Batches!$A$5:$A$64,0))="","",INDEX(Batches!$H$5:$H$64,MATCH(B884,Batches!$A$5:$A$64,0))),"")))</f>
        <v/>
      </c>
      <c r="X884" s="23"/>
      <c r="Y884" s="23"/>
      <c r="Z884" s="26"/>
      <c r="AA884" s="27" t="str">
        <f aca="false">IF(R884="","",IF(X884="Not accepted",R884,IF(OR(X884="Accepted",X884="Withdrawn by hospital"),IF(X884="Accepted",0,R884),IF(ISNUMBER(Z884),R884-Z884,""))))</f>
        <v/>
      </c>
      <c r="AB884" s="23"/>
      <c r="AC884" s="25"/>
      <c r="AD884" s="23"/>
      <c r="AE884" s="23"/>
      <c r="AF884" s="24"/>
      <c r="AG884" s="23"/>
      <c r="AH884" s="24"/>
      <c r="AI884" s="29" t="str">
        <f aca="false">IF(X884="Not accepted","Maintained",IF(X884="Partially accepted","Partially maintained",IF(X884="Accepted","Reversed",IF(X884="Withdrawn by hospital","Withdrawn by hospital",""))))</f>
        <v/>
      </c>
      <c r="AJ884" s="28" t="str">
        <f aca="false">IF(AI884="","",W884)</f>
        <v/>
      </c>
      <c r="AK884" s="29" t="str">
        <f aca="false">IF(AND(ISNUMBER(T884),ISNUMBER(W884)),W884-T884,"")</f>
        <v/>
      </c>
      <c r="AL884" s="29" t="str">
        <f aca="false">IF(A884="","",SUMIF(Actions!$C$5:$C$1004,A884,Actions!$F$5:$F$1004))</f>
        <v/>
      </c>
      <c r="AM884" s="25"/>
    </row>
    <row r="885" customFormat="false" ht="15" hidden="false" customHeight="false" outlineLevel="0" collapsed="false">
      <c r="A885" s="23"/>
      <c r="B885" s="23"/>
      <c r="C885" s="23"/>
      <c r="D885" s="23"/>
      <c r="E885" s="23"/>
      <c r="F885" s="23"/>
      <c r="G885" s="23"/>
      <c r="H885" s="23"/>
      <c r="I885" s="23"/>
      <c r="J885" s="23"/>
      <c r="K885" s="24"/>
      <c r="L885" s="23"/>
      <c r="M885" s="25"/>
      <c r="N885" s="25"/>
      <c r="O885" s="23"/>
      <c r="P885" s="26"/>
      <c r="Q885" s="26"/>
      <c r="R885" s="27" t="str">
        <f aca="false">IF(AND(ISNUMBER(P885),ISNUMBER(Q885)),P885-Q885,"")</f>
        <v/>
      </c>
      <c r="S885" s="24"/>
      <c r="T885" s="28" t="str">
        <f aca="false">IF(S885&lt;&gt;"",S885,IF(B885="","",IFERROR(IF(INDEX(Batches!$G$5:$G$64,MATCH(B885,Batches!$A$5:$A$64,0))="","",INDEX(Batches!$G$5:$G$64,MATCH(B885,Batches!$A$5:$A$64,0))),"")))</f>
        <v/>
      </c>
      <c r="U885" s="23"/>
      <c r="V885" s="24"/>
      <c r="W885" s="28" t="str">
        <f aca="false">IF(OR(X885="",X885="Pending"),"",IF(V885&lt;&gt;"",V885,IFERROR(IF(INDEX(Batches!$H$5:$H$64,MATCH(B885,Batches!$A$5:$A$64,0))="","",INDEX(Batches!$H$5:$H$64,MATCH(B885,Batches!$A$5:$A$64,0))),"")))</f>
        <v/>
      </c>
      <c r="X885" s="23"/>
      <c r="Y885" s="23"/>
      <c r="Z885" s="26"/>
      <c r="AA885" s="27" t="str">
        <f aca="false">IF(R885="","",IF(X885="Not accepted",R885,IF(OR(X885="Accepted",X885="Withdrawn by hospital"),IF(X885="Accepted",0,R885),IF(ISNUMBER(Z885),R885-Z885,""))))</f>
        <v/>
      </c>
      <c r="AB885" s="23"/>
      <c r="AC885" s="25"/>
      <c r="AD885" s="23"/>
      <c r="AE885" s="23"/>
      <c r="AF885" s="24"/>
      <c r="AG885" s="23"/>
      <c r="AH885" s="24"/>
      <c r="AI885" s="29" t="str">
        <f aca="false">IF(X885="Not accepted","Maintained",IF(X885="Partially accepted","Partially maintained",IF(X885="Accepted","Reversed",IF(X885="Withdrawn by hospital","Withdrawn by hospital",""))))</f>
        <v/>
      </c>
      <c r="AJ885" s="28" t="str">
        <f aca="false">IF(AI885="","",W885)</f>
        <v/>
      </c>
      <c r="AK885" s="29" t="str">
        <f aca="false">IF(AND(ISNUMBER(T885),ISNUMBER(W885)),W885-T885,"")</f>
        <v/>
      </c>
      <c r="AL885" s="29" t="str">
        <f aca="false">IF(A885="","",SUMIF(Actions!$C$5:$C$1004,A885,Actions!$F$5:$F$1004))</f>
        <v/>
      </c>
      <c r="AM885" s="25"/>
    </row>
    <row r="886" customFormat="false" ht="15" hidden="false" customHeight="false" outlineLevel="0" collapsed="false">
      <c r="A886" s="23"/>
      <c r="B886" s="23"/>
      <c r="C886" s="23"/>
      <c r="D886" s="23"/>
      <c r="E886" s="23"/>
      <c r="F886" s="23"/>
      <c r="G886" s="23"/>
      <c r="H886" s="23"/>
      <c r="I886" s="23"/>
      <c r="J886" s="23"/>
      <c r="K886" s="24"/>
      <c r="L886" s="23"/>
      <c r="M886" s="25"/>
      <c r="N886" s="25"/>
      <c r="O886" s="23"/>
      <c r="P886" s="26"/>
      <c r="Q886" s="26"/>
      <c r="R886" s="27" t="str">
        <f aca="false">IF(AND(ISNUMBER(P886),ISNUMBER(Q886)),P886-Q886,"")</f>
        <v/>
      </c>
      <c r="S886" s="24"/>
      <c r="T886" s="28" t="str">
        <f aca="false">IF(S886&lt;&gt;"",S886,IF(B886="","",IFERROR(IF(INDEX(Batches!$G$5:$G$64,MATCH(B886,Batches!$A$5:$A$64,0))="","",INDEX(Batches!$G$5:$G$64,MATCH(B886,Batches!$A$5:$A$64,0))),"")))</f>
        <v/>
      </c>
      <c r="U886" s="23"/>
      <c r="V886" s="24"/>
      <c r="W886" s="28" t="str">
        <f aca="false">IF(OR(X886="",X886="Pending"),"",IF(V886&lt;&gt;"",V886,IFERROR(IF(INDEX(Batches!$H$5:$H$64,MATCH(B886,Batches!$A$5:$A$64,0))="","",INDEX(Batches!$H$5:$H$64,MATCH(B886,Batches!$A$5:$A$64,0))),"")))</f>
        <v/>
      </c>
      <c r="X886" s="23"/>
      <c r="Y886" s="23"/>
      <c r="Z886" s="26"/>
      <c r="AA886" s="27" t="str">
        <f aca="false">IF(R886="","",IF(X886="Not accepted",R886,IF(OR(X886="Accepted",X886="Withdrawn by hospital"),IF(X886="Accepted",0,R886),IF(ISNUMBER(Z886),R886-Z886,""))))</f>
        <v/>
      </c>
      <c r="AB886" s="23"/>
      <c r="AC886" s="25"/>
      <c r="AD886" s="23"/>
      <c r="AE886" s="23"/>
      <c r="AF886" s="24"/>
      <c r="AG886" s="23"/>
      <c r="AH886" s="24"/>
      <c r="AI886" s="29" t="str">
        <f aca="false">IF(X886="Not accepted","Maintained",IF(X886="Partially accepted","Partially maintained",IF(X886="Accepted","Reversed",IF(X886="Withdrawn by hospital","Withdrawn by hospital",""))))</f>
        <v/>
      </c>
      <c r="AJ886" s="28" t="str">
        <f aca="false">IF(AI886="","",W886)</f>
        <v/>
      </c>
      <c r="AK886" s="29" t="str">
        <f aca="false">IF(AND(ISNUMBER(T886),ISNUMBER(W886)),W886-T886,"")</f>
        <v/>
      </c>
      <c r="AL886" s="29" t="str">
        <f aca="false">IF(A886="","",SUMIF(Actions!$C$5:$C$1004,A886,Actions!$F$5:$F$1004))</f>
        <v/>
      </c>
      <c r="AM886" s="25"/>
    </row>
    <row r="887" customFormat="false" ht="15" hidden="false" customHeight="false" outlineLevel="0" collapsed="false">
      <c r="A887" s="23"/>
      <c r="B887" s="23"/>
      <c r="C887" s="23"/>
      <c r="D887" s="23"/>
      <c r="E887" s="23"/>
      <c r="F887" s="23"/>
      <c r="G887" s="23"/>
      <c r="H887" s="23"/>
      <c r="I887" s="23"/>
      <c r="J887" s="23"/>
      <c r="K887" s="24"/>
      <c r="L887" s="23"/>
      <c r="M887" s="25"/>
      <c r="N887" s="25"/>
      <c r="O887" s="23"/>
      <c r="P887" s="26"/>
      <c r="Q887" s="26"/>
      <c r="R887" s="27" t="str">
        <f aca="false">IF(AND(ISNUMBER(P887),ISNUMBER(Q887)),P887-Q887,"")</f>
        <v/>
      </c>
      <c r="S887" s="24"/>
      <c r="T887" s="28" t="str">
        <f aca="false">IF(S887&lt;&gt;"",S887,IF(B887="","",IFERROR(IF(INDEX(Batches!$G$5:$G$64,MATCH(B887,Batches!$A$5:$A$64,0))="","",INDEX(Batches!$G$5:$G$64,MATCH(B887,Batches!$A$5:$A$64,0))),"")))</f>
        <v/>
      </c>
      <c r="U887" s="23"/>
      <c r="V887" s="24"/>
      <c r="W887" s="28" t="str">
        <f aca="false">IF(OR(X887="",X887="Pending"),"",IF(V887&lt;&gt;"",V887,IFERROR(IF(INDEX(Batches!$H$5:$H$64,MATCH(B887,Batches!$A$5:$A$64,0))="","",INDEX(Batches!$H$5:$H$64,MATCH(B887,Batches!$A$5:$A$64,0))),"")))</f>
        <v/>
      </c>
      <c r="X887" s="23"/>
      <c r="Y887" s="23"/>
      <c r="Z887" s="26"/>
      <c r="AA887" s="27" t="str">
        <f aca="false">IF(R887="","",IF(X887="Not accepted",R887,IF(OR(X887="Accepted",X887="Withdrawn by hospital"),IF(X887="Accepted",0,R887),IF(ISNUMBER(Z887),R887-Z887,""))))</f>
        <v/>
      </c>
      <c r="AB887" s="23"/>
      <c r="AC887" s="25"/>
      <c r="AD887" s="23"/>
      <c r="AE887" s="23"/>
      <c r="AF887" s="24"/>
      <c r="AG887" s="23"/>
      <c r="AH887" s="24"/>
      <c r="AI887" s="29" t="str">
        <f aca="false">IF(X887="Not accepted","Maintained",IF(X887="Partially accepted","Partially maintained",IF(X887="Accepted","Reversed",IF(X887="Withdrawn by hospital","Withdrawn by hospital",""))))</f>
        <v/>
      </c>
      <c r="AJ887" s="28" t="str">
        <f aca="false">IF(AI887="","",W887)</f>
        <v/>
      </c>
      <c r="AK887" s="29" t="str">
        <f aca="false">IF(AND(ISNUMBER(T887),ISNUMBER(W887)),W887-T887,"")</f>
        <v/>
      </c>
      <c r="AL887" s="29" t="str">
        <f aca="false">IF(A887="","",SUMIF(Actions!$C$5:$C$1004,A887,Actions!$F$5:$F$1004))</f>
        <v/>
      </c>
      <c r="AM887" s="25"/>
    </row>
    <row r="888" customFormat="false" ht="15" hidden="false" customHeight="false" outlineLevel="0" collapsed="false">
      <c r="A888" s="23"/>
      <c r="B888" s="23"/>
      <c r="C888" s="23"/>
      <c r="D888" s="23"/>
      <c r="E888" s="23"/>
      <c r="F888" s="23"/>
      <c r="G888" s="23"/>
      <c r="H888" s="23"/>
      <c r="I888" s="23"/>
      <c r="J888" s="23"/>
      <c r="K888" s="24"/>
      <c r="L888" s="23"/>
      <c r="M888" s="25"/>
      <c r="N888" s="25"/>
      <c r="O888" s="23"/>
      <c r="P888" s="26"/>
      <c r="Q888" s="26"/>
      <c r="R888" s="27" t="str">
        <f aca="false">IF(AND(ISNUMBER(P888),ISNUMBER(Q888)),P888-Q888,"")</f>
        <v/>
      </c>
      <c r="S888" s="24"/>
      <c r="T888" s="28" t="str">
        <f aca="false">IF(S888&lt;&gt;"",S888,IF(B888="","",IFERROR(IF(INDEX(Batches!$G$5:$G$64,MATCH(B888,Batches!$A$5:$A$64,0))="","",INDEX(Batches!$G$5:$G$64,MATCH(B888,Batches!$A$5:$A$64,0))),"")))</f>
        <v/>
      </c>
      <c r="U888" s="23"/>
      <c r="V888" s="24"/>
      <c r="W888" s="28" t="str">
        <f aca="false">IF(OR(X888="",X888="Pending"),"",IF(V888&lt;&gt;"",V888,IFERROR(IF(INDEX(Batches!$H$5:$H$64,MATCH(B888,Batches!$A$5:$A$64,0))="","",INDEX(Batches!$H$5:$H$64,MATCH(B888,Batches!$A$5:$A$64,0))),"")))</f>
        <v/>
      </c>
      <c r="X888" s="23"/>
      <c r="Y888" s="23"/>
      <c r="Z888" s="26"/>
      <c r="AA888" s="27" t="str">
        <f aca="false">IF(R888="","",IF(X888="Not accepted",R888,IF(OR(X888="Accepted",X888="Withdrawn by hospital"),IF(X888="Accepted",0,R888),IF(ISNUMBER(Z888),R888-Z888,""))))</f>
        <v/>
      </c>
      <c r="AB888" s="23"/>
      <c r="AC888" s="25"/>
      <c r="AD888" s="23"/>
      <c r="AE888" s="23"/>
      <c r="AF888" s="24"/>
      <c r="AG888" s="23"/>
      <c r="AH888" s="24"/>
      <c r="AI888" s="29" t="str">
        <f aca="false">IF(X888="Not accepted","Maintained",IF(X888="Partially accepted","Partially maintained",IF(X888="Accepted","Reversed",IF(X888="Withdrawn by hospital","Withdrawn by hospital",""))))</f>
        <v/>
      </c>
      <c r="AJ888" s="28" t="str">
        <f aca="false">IF(AI888="","",W888)</f>
        <v/>
      </c>
      <c r="AK888" s="29" t="str">
        <f aca="false">IF(AND(ISNUMBER(T888),ISNUMBER(W888)),W888-T888,"")</f>
        <v/>
      </c>
      <c r="AL888" s="29" t="str">
        <f aca="false">IF(A888="","",SUMIF(Actions!$C$5:$C$1004,A888,Actions!$F$5:$F$1004))</f>
        <v/>
      </c>
      <c r="AM888" s="25"/>
    </row>
    <row r="889" customFormat="false" ht="15" hidden="false" customHeight="false" outlineLevel="0" collapsed="false">
      <c r="A889" s="23"/>
      <c r="B889" s="23"/>
      <c r="C889" s="23"/>
      <c r="D889" s="23"/>
      <c r="E889" s="23"/>
      <c r="F889" s="23"/>
      <c r="G889" s="23"/>
      <c r="H889" s="23"/>
      <c r="I889" s="23"/>
      <c r="J889" s="23"/>
      <c r="K889" s="24"/>
      <c r="L889" s="23"/>
      <c r="M889" s="25"/>
      <c r="N889" s="25"/>
      <c r="O889" s="23"/>
      <c r="P889" s="26"/>
      <c r="Q889" s="26"/>
      <c r="R889" s="27" t="str">
        <f aca="false">IF(AND(ISNUMBER(P889),ISNUMBER(Q889)),P889-Q889,"")</f>
        <v/>
      </c>
      <c r="S889" s="24"/>
      <c r="T889" s="28" t="str">
        <f aca="false">IF(S889&lt;&gt;"",S889,IF(B889="","",IFERROR(IF(INDEX(Batches!$G$5:$G$64,MATCH(B889,Batches!$A$5:$A$64,0))="","",INDEX(Batches!$G$5:$G$64,MATCH(B889,Batches!$A$5:$A$64,0))),"")))</f>
        <v/>
      </c>
      <c r="U889" s="23"/>
      <c r="V889" s="24"/>
      <c r="W889" s="28" t="str">
        <f aca="false">IF(OR(X889="",X889="Pending"),"",IF(V889&lt;&gt;"",V889,IFERROR(IF(INDEX(Batches!$H$5:$H$64,MATCH(B889,Batches!$A$5:$A$64,0))="","",INDEX(Batches!$H$5:$H$64,MATCH(B889,Batches!$A$5:$A$64,0))),"")))</f>
        <v/>
      </c>
      <c r="X889" s="23"/>
      <c r="Y889" s="23"/>
      <c r="Z889" s="26"/>
      <c r="AA889" s="27" t="str">
        <f aca="false">IF(R889="","",IF(X889="Not accepted",R889,IF(OR(X889="Accepted",X889="Withdrawn by hospital"),IF(X889="Accepted",0,R889),IF(ISNUMBER(Z889),R889-Z889,""))))</f>
        <v/>
      </c>
      <c r="AB889" s="23"/>
      <c r="AC889" s="25"/>
      <c r="AD889" s="23"/>
      <c r="AE889" s="23"/>
      <c r="AF889" s="24"/>
      <c r="AG889" s="23"/>
      <c r="AH889" s="24"/>
      <c r="AI889" s="29" t="str">
        <f aca="false">IF(X889="Not accepted","Maintained",IF(X889="Partially accepted","Partially maintained",IF(X889="Accepted","Reversed",IF(X889="Withdrawn by hospital","Withdrawn by hospital",""))))</f>
        <v/>
      </c>
      <c r="AJ889" s="28" t="str">
        <f aca="false">IF(AI889="","",W889)</f>
        <v/>
      </c>
      <c r="AK889" s="29" t="str">
        <f aca="false">IF(AND(ISNUMBER(T889),ISNUMBER(W889)),W889-T889,"")</f>
        <v/>
      </c>
      <c r="AL889" s="29" t="str">
        <f aca="false">IF(A889="","",SUMIF(Actions!$C$5:$C$1004,A889,Actions!$F$5:$F$1004))</f>
        <v/>
      </c>
      <c r="AM889" s="25"/>
    </row>
    <row r="890" customFormat="false" ht="15" hidden="false" customHeight="false" outlineLevel="0" collapsed="false">
      <c r="A890" s="23"/>
      <c r="B890" s="23"/>
      <c r="C890" s="23"/>
      <c r="D890" s="23"/>
      <c r="E890" s="23"/>
      <c r="F890" s="23"/>
      <c r="G890" s="23"/>
      <c r="H890" s="23"/>
      <c r="I890" s="23"/>
      <c r="J890" s="23"/>
      <c r="K890" s="24"/>
      <c r="L890" s="23"/>
      <c r="M890" s="25"/>
      <c r="N890" s="25"/>
      <c r="O890" s="23"/>
      <c r="P890" s="26"/>
      <c r="Q890" s="26"/>
      <c r="R890" s="27" t="str">
        <f aca="false">IF(AND(ISNUMBER(P890),ISNUMBER(Q890)),P890-Q890,"")</f>
        <v/>
      </c>
      <c r="S890" s="24"/>
      <c r="T890" s="28" t="str">
        <f aca="false">IF(S890&lt;&gt;"",S890,IF(B890="","",IFERROR(IF(INDEX(Batches!$G$5:$G$64,MATCH(B890,Batches!$A$5:$A$64,0))="","",INDEX(Batches!$G$5:$G$64,MATCH(B890,Batches!$A$5:$A$64,0))),"")))</f>
        <v/>
      </c>
      <c r="U890" s="23"/>
      <c r="V890" s="24"/>
      <c r="W890" s="28" t="str">
        <f aca="false">IF(OR(X890="",X890="Pending"),"",IF(V890&lt;&gt;"",V890,IFERROR(IF(INDEX(Batches!$H$5:$H$64,MATCH(B890,Batches!$A$5:$A$64,0))="","",INDEX(Batches!$H$5:$H$64,MATCH(B890,Batches!$A$5:$A$64,0))),"")))</f>
        <v/>
      </c>
      <c r="X890" s="23"/>
      <c r="Y890" s="23"/>
      <c r="Z890" s="26"/>
      <c r="AA890" s="27" t="str">
        <f aca="false">IF(R890="","",IF(X890="Not accepted",R890,IF(OR(X890="Accepted",X890="Withdrawn by hospital"),IF(X890="Accepted",0,R890),IF(ISNUMBER(Z890),R890-Z890,""))))</f>
        <v/>
      </c>
      <c r="AB890" s="23"/>
      <c r="AC890" s="25"/>
      <c r="AD890" s="23"/>
      <c r="AE890" s="23"/>
      <c r="AF890" s="24"/>
      <c r="AG890" s="23"/>
      <c r="AH890" s="24"/>
      <c r="AI890" s="29" t="str">
        <f aca="false">IF(X890="Not accepted","Maintained",IF(X890="Partially accepted","Partially maintained",IF(X890="Accepted","Reversed",IF(X890="Withdrawn by hospital","Withdrawn by hospital",""))))</f>
        <v/>
      </c>
      <c r="AJ890" s="28" t="str">
        <f aca="false">IF(AI890="","",W890)</f>
        <v/>
      </c>
      <c r="AK890" s="29" t="str">
        <f aca="false">IF(AND(ISNUMBER(T890),ISNUMBER(W890)),W890-T890,"")</f>
        <v/>
      </c>
      <c r="AL890" s="29" t="str">
        <f aca="false">IF(A890="","",SUMIF(Actions!$C$5:$C$1004,A890,Actions!$F$5:$F$1004))</f>
        <v/>
      </c>
      <c r="AM890" s="25"/>
    </row>
    <row r="891" customFormat="false" ht="15" hidden="false" customHeight="false" outlineLevel="0" collapsed="false">
      <c r="A891" s="23"/>
      <c r="B891" s="23"/>
      <c r="C891" s="23"/>
      <c r="D891" s="23"/>
      <c r="E891" s="23"/>
      <c r="F891" s="23"/>
      <c r="G891" s="23"/>
      <c r="H891" s="23"/>
      <c r="I891" s="23"/>
      <c r="J891" s="23"/>
      <c r="K891" s="24"/>
      <c r="L891" s="23"/>
      <c r="M891" s="25"/>
      <c r="N891" s="25"/>
      <c r="O891" s="23"/>
      <c r="P891" s="26"/>
      <c r="Q891" s="26"/>
      <c r="R891" s="27" t="str">
        <f aca="false">IF(AND(ISNUMBER(P891),ISNUMBER(Q891)),P891-Q891,"")</f>
        <v/>
      </c>
      <c r="S891" s="24"/>
      <c r="T891" s="28" t="str">
        <f aca="false">IF(S891&lt;&gt;"",S891,IF(B891="","",IFERROR(IF(INDEX(Batches!$G$5:$G$64,MATCH(B891,Batches!$A$5:$A$64,0))="","",INDEX(Batches!$G$5:$G$64,MATCH(B891,Batches!$A$5:$A$64,0))),"")))</f>
        <v/>
      </c>
      <c r="U891" s="23"/>
      <c r="V891" s="24"/>
      <c r="W891" s="28" t="str">
        <f aca="false">IF(OR(X891="",X891="Pending"),"",IF(V891&lt;&gt;"",V891,IFERROR(IF(INDEX(Batches!$H$5:$H$64,MATCH(B891,Batches!$A$5:$A$64,0))="","",INDEX(Batches!$H$5:$H$64,MATCH(B891,Batches!$A$5:$A$64,0))),"")))</f>
        <v/>
      </c>
      <c r="X891" s="23"/>
      <c r="Y891" s="23"/>
      <c r="Z891" s="26"/>
      <c r="AA891" s="27" t="str">
        <f aca="false">IF(R891="","",IF(X891="Not accepted",R891,IF(OR(X891="Accepted",X891="Withdrawn by hospital"),IF(X891="Accepted",0,R891),IF(ISNUMBER(Z891),R891-Z891,""))))</f>
        <v/>
      </c>
      <c r="AB891" s="23"/>
      <c r="AC891" s="25"/>
      <c r="AD891" s="23"/>
      <c r="AE891" s="23"/>
      <c r="AF891" s="24"/>
      <c r="AG891" s="23"/>
      <c r="AH891" s="24"/>
      <c r="AI891" s="29" t="str">
        <f aca="false">IF(X891="Not accepted","Maintained",IF(X891="Partially accepted","Partially maintained",IF(X891="Accepted","Reversed",IF(X891="Withdrawn by hospital","Withdrawn by hospital",""))))</f>
        <v/>
      </c>
      <c r="AJ891" s="28" t="str">
        <f aca="false">IF(AI891="","",W891)</f>
        <v/>
      </c>
      <c r="AK891" s="29" t="str">
        <f aca="false">IF(AND(ISNUMBER(T891),ISNUMBER(W891)),W891-T891,"")</f>
        <v/>
      </c>
      <c r="AL891" s="29" t="str">
        <f aca="false">IF(A891="","",SUMIF(Actions!$C$5:$C$1004,A891,Actions!$F$5:$F$1004))</f>
        <v/>
      </c>
      <c r="AM891" s="25"/>
    </row>
    <row r="892" customFormat="false" ht="15" hidden="false" customHeight="false" outlineLevel="0" collapsed="false">
      <c r="A892" s="23"/>
      <c r="B892" s="23"/>
      <c r="C892" s="23"/>
      <c r="D892" s="23"/>
      <c r="E892" s="23"/>
      <c r="F892" s="23"/>
      <c r="G892" s="23"/>
      <c r="H892" s="23"/>
      <c r="I892" s="23"/>
      <c r="J892" s="23"/>
      <c r="K892" s="24"/>
      <c r="L892" s="23"/>
      <c r="M892" s="25"/>
      <c r="N892" s="25"/>
      <c r="O892" s="23"/>
      <c r="P892" s="26"/>
      <c r="Q892" s="26"/>
      <c r="R892" s="27" t="str">
        <f aca="false">IF(AND(ISNUMBER(P892),ISNUMBER(Q892)),P892-Q892,"")</f>
        <v/>
      </c>
      <c r="S892" s="24"/>
      <c r="T892" s="28" t="str">
        <f aca="false">IF(S892&lt;&gt;"",S892,IF(B892="","",IFERROR(IF(INDEX(Batches!$G$5:$G$64,MATCH(B892,Batches!$A$5:$A$64,0))="","",INDEX(Batches!$G$5:$G$64,MATCH(B892,Batches!$A$5:$A$64,0))),"")))</f>
        <v/>
      </c>
      <c r="U892" s="23"/>
      <c r="V892" s="24"/>
      <c r="W892" s="28" t="str">
        <f aca="false">IF(OR(X892="",X892="Pending"),"",IF(V892&lt;&gt;"",V892,IFERROR(IF(INDEX(Batches!$H$5:$H$64,MATCH(B892,Batches!$A$5:$A$64,0))="","",INDEX(Batches!$H$5:$H$64,MATCH(B892,Batches!$A$5:$A$64,0))),"")))</f>
        <v/>
      </c>
      <c r="X892" s="23"/>
      <c r="Y892" s="23"/>
      <c r="Z892" s="26"/>
      <c r="AA892" s="27" t="str">
        <f aca="false">IF(R892="","",IF(X892="Not accepted",R892,IF(OR(X892="Accepted",X892="Withdrawn by hospital"),IF(X892="Accepted",0,R892),IF(ISNUMBER(Z892),R892-Z892,""))))</f>
        <v/>
      </c>
      <c r="AB892" s="23"/>
      <c r="AC892" s="25"/>
      <c r="AD892" s="23"/>
      <c r="AE892" s="23"/>
      <c r="AF892" s="24"/>
      <c r="AG892" s="23"/>
      <c r="AH892" s="24"/>
      <c r="AI892" s="29" t="str">
        <f aca="false">IF(X892="Not accepted","Maintained",IF(X892="Partially accepted","Partially maintained",IF(X892="Accepted","Reversed",IF(X892="Withdrawn by hospital","Withdrawn by hospital",""))))</f>
        <v/>
      </c>
      <c r="AJ892" s="28" t="str">
        <f aca="false">IF(AI892="","",W892)</f>
        <v/>
      </c>
      <c r="AK892" s="29" t="str">
        <f aca="false">IF(AND(ISNUMBER(T892),ISNUMBER(W892)),W892-T892,"")</f>
        <v/>
      </c>
      <c r="AL892" s="29" t="str">
        <f aca="false">IF(A892="","",SUMIF(Actions!$C$5:$C$1004,A892,Actions!$F$5:$F$1004))</f>
        <v/>
      </c>
      <c r="AM892" s="25"/>
    </row>
    <row r="893" customFormat="false" ht="15" hidden="false" customHeight="false" outlineLevel="0" collapsed="false">
      <c r="A893" s="23"/>
      <c r="B893" s="23"/>
      <c r="C893" s="23"/>
      <c r="D893" s="23"/>
      <c r="E893" s="23"/>
      <c r="F893" s="23"/>
      <c r="G893" s="23"/>
      <c r="H893" s="23"/>
      <c r="I893" s="23"/>
      <c r="J893" s="23"/>
      <c r="K893" s="24"/>
      <c r="L893" s="23"/>
      <c r="M893" s="25"/>
      <c r="N893" s="25"/>
      <c r="O893" s="23"/>
      <c r="P893" s="26"/>
      <c r="Q893" s="26"/>
      <c r="R893" s="27" t="str">
        <f aca="false">IF(AND(ISNUMBER(P893),ISNUMBER(Q893)),P893-Q893,"")</f>
        <v/>
      </c>
      <c r="S893" s="24"/>
      <c r="T893" s="28" t="str">
        <f aca="false">IF(S893&lt;&gt;"",S893,IF(B893="","",IFERROR(IF(INDEX(Batches!$G$5:$G$64,MATCH(B893,Batches!$A$5:$A$64,0))="","",INDEX(Batches!$G$5:$G$64,MATCH(B893,Batches!$A$5:$A$64,0))),"")))</f>
        <v/>
      </c>
      <c r="U893" s="23"/>
      <c r="V893" s="24"/>
      <c r="W893" s="28" t="str">
        <f aca="false">IF(OR(X893="",X893="Pending"),"",IF(V893&lt;&gt;"",V893,IFERROR(IF(INDEX(Batches!$H$5:$H$64,MATCH(B893,Batches!$A$5:$A$64,0))="","",INDEX(Batches!$H$5:$H$64,MATCH(B893,Batches!$A$5:$A$64,0))),"")))</f>
        <v/>
      </c>
      <c r="X893" s="23"/>
      <c r="Y893" s="23"/>
      <c r="Z893" s="26"/>
      <c r="AA893" s="27" t="str">
        <f aca="false">IF(R893="","",IF(X893="Not accepted",R893,IF(OR(X893="Accepted",X893="Withdrawn by hospital"),IF(X893="Accepted",0,R893),IF(ISNUMBER(Z893),R893-Z893,""))))</f>
        <v/>
      </c>
      <c r="AB893" s="23"/>
      <c r="AC893" s="25"/>
      <c r="AD893" s="23"/>
      <c r="AE893" s="23"/>
      <c r="AF893" s="24"/>
      <c r="AG893" s="23"/>
      <c r="AH893" s="24"/>
      <c r="AI893" s="29" t="str">
        <f aca="false">IF(X893="Not accepted","Maintained",IF(X893="Partially accepted","Partially maintained",IF(X893="Accepted","Reversed",IF(X893="Withdrawn by hospital","Withdrawn by hospital",""))))</f>
        <v/>
      </c>
      <c r="AJ893" s="28" t="str">
        <f aca="false">IF(AI893="","",W893)</f>
        <v/>
      </c>
      <c r="AK893" s="29" t="str">
        <f aca="false">IF(AND(ISNUMBER(T893),ISNUMBER(W893)),W893-T893,"")</f>
        <v/>
      </c>
      <c r="AL893" s="29" t="str">
        <f aca="false">IF(A893="","",SUMIF(Actions!$C$5:$C$1004,A893,Actions!$F$5:$F$1004))</f>
        <v/>
      </c>
      <c r="AM893" s="25"/>
    </row>
    <row r="894" customFormat="false" ht="15" hidden="false" customHeight="false" outlineLevel="0" collapsed="false">
      <c r="A894" s="23"/>
      <c r="B894" s="23"/>
      <c r="C894" s="23"/>
      <c r="D894" s="23"/>
      <c r="E894" s="23"/>
      <c r="F894" s="23"/>
      <c r="G894" s="23"/>
      <c r="H894" s="23"/>
      <c r="I894" s="23"/>
      <c r="J894" s="23"/>
      <c r="K894" s="24"/>
      <c r="L894" s="23"/>
      <c r="M894" s="25"/>
      <c r="N894" s="25"/>
      <c r="O894" s="23"/>
      <c r="P894" s="26"/>
      <c r="Q894" s="26"/>
      <c r="R894" s="27" t="str">
        <f aca="false">IF(AND(ISNUMBER(P894),ISNUMBER(Q894)),P894-Q894,"")</f>
        <v/>
      </c>
      <c r="S894" s="24"/>
      <c r="T894" s="28" t="str">
        <f aca="false">IF(S894&lt;&gt;"",S894,IF(B894="","",IFERROR(IF(INDEX(Batches!$G$5:$G$64,MATCH(B894,Batches!$A$5:$A$64,0))="","",INDEX(Batches!$G$5:$G$64,MATCH(B894,Batches!$A$5:$A$64,0))),"")))</f>
        <v/>
      </c>
      <c r="U894" s="23"/>
      <c r="V894" s="24"/>
      <c r="W894" s="28" t="str">
        <f aca="false">IF(OR(X894="",X894="Pending"),"",IF(V894&lt;&gt;"",V894,IFERROR(IF(INDEX(Batches!$H$5:$H$64,MATCH(B894,Batches!$A$5:$A$64,0))="","",INDEX(Batches!$H$5:$H$64,MATCH(B894,Batches!$A$5:$A$64,0))),"")))</f>
        <v/>
      </c>
      <c r="X894" s="23"/>
      <c r="Y894" s="23"/>
      <c r="Z894" s="26"/>
      <c r="AA894" s="27" t="str">
        <f aca="false">IF(R894="","",IF(X894="Not accepted",R894,IF(OR(X894="Accepted",X894="Withdrawn by hospital"),IF(X894="Accepted",0,R894),IF(ISNUMBER(Z894),R894-Z894,""))))</f>
        <v/>
      </c>
      <c r="AB894" s="23"/>
      <c r="AC894" s="25"/>
      <c r="AD894" s="23"/>
      <c r="AE894" s="23"/>
      <c r="AF894" s="24"/>
      <c r="AG894" s="23"/>
      <c r="AH894" s="24"/>
      <c r="AI894" s="29" t="str">
        <f aca="false">IF(X894="Not accepted","Maintained",IF(X894="Partially accepted","Partially maintained",IF(X894="Accepted","Reversed",IF(X894="Withdrawn by hospital","Withdrawn by hospital",""))))</f>
        <v/>
      </c>
      <c r="AJ894" s="28" t="str">
        <f aca="false">IF(AI894="","",W894)</f>
        <v/>
      </c>
      <c r="AK894" s="29" t="str">
        <f aca="false">IF(AND(ISNUMBER(T894),ISNUMBER(W894)),W894-T894,"")</f>
        <v/>
      </c>
      <c r="AL894" s="29" t="str">
        <f aca="false">IF(A894="","",SUMIF(Actions!$C$5:$C$1004,A894,Actions!$F$5:$F$1004))</f>
        <v/>
      </c>
      <c r="AM894" s="25"/>
    </row>
    <row r="895" customFormat="false" ht="15" hidden="false" customHeight="false" outlineLevel="0" collapsed="false">
      <c r="A895" s="23"/>
      <c r="B895" s="23"/>
      <c r="C895" s="23"/>
      <c r="D895" s="23"/>
      <c r="E895" s="23"/>
      <c r="F895" s="23"/>
      <c r="G895" s="23"/>
      <c r="H895" s="23"/>
      <c r="I895" s="23"/>
      <c r="J895" s="23"/>
      <c r="K895" s="24"/>
      <c r="L895" s="23"/>
      <c r="M895" s="25"/>
      <c r="N895" s="25"/>
      <c r="O895" s="23"/>
      <c r="P895" s="26"/>
      <c r="Q895" s="26"/>
      <c r="R895" s="27" t="str">
        <f aca="false">IF(AND(ISNUMBER(P895),ISNUMBER(Q895)),P895-Q895,"")</f>
        <v/>
      </c>
      <c r="S895" s="24"/>
      <c r="T895" s="28" t="str">
        <f aca="false">IF(S895&lt;&gt;"",S895,IF(B895="","",IFERROR(IF(INDEX(Batches!$G$5:$G$64,MATCH(B895,Batches!$A$5:$A$64,0))="","",INDEX(Batches!$G$5:$G$64,MATCH(B895,Batches!$A$5:$A$64,0))),"")))</f>
        <v/>
      </c>
      <c r="U895" s="23"/>
      <c r="V895" s="24"/>
      <c r="W895" s="28" t="str">
        <f aca="false">IF(OR(X895="",X895="Pending"),"",IF(V895&lt;&gt;"",V895,IFERROR(IF(INDEX(Batches!$H$5:$H$64,MATCH(B895,Batches!$A$5:$A$64,0))="","",INDEX(Batches!$H$5:$H$64,MATCH(B895,Batches!$A$5:$A$64,0))),"")))</f>
        <v/>
      </c>
      <c r="X895" s="23"/>
      <c r="Y895" s="23"/>
      <c r="Z895" s="26"/>
      <c r="AA895" s="27" t="str">
        <f aca="false">IF(R895="","",IF(X895="Not accepted",R895,IF(OR(X895="Accepted",X895="Withdrawn by hospital"),IF(X895="Accepted",0,R895),IF(ISNUMBER(Z895),R895-Z895,""))))</f>
        <v/>
      </c>
      <c r="AB895" s="23"/>
      <c r="AC895" s="25"/>
      <c r="AD895" s="23"/>
      <c r="AE895" s="23"/>
      <c r="AF895" s="24"/>
      <c r="AG895" s="23"/>
      <c r="AH895" s="24"/>
      <c r="AI895" s="29" t="str">
        <f aca="false">IF(X895="Not accepted","Maintained",IF(X895="Partially accepted","Partially maintained",IF(X895="Accepted","Reversed",IF(X895="Withdrawn by hospital","Withdrawn by hospital",""))))</f>
        <v/>
      </c>
      <c r="AJ895" s="28" t="str">
        <f aca="false">IF(AI895="","",W895)</f>
        <v/>
      </c>
      <c r="AK895" s="29" t="str">
        <f aca="false">IF(AND(ISNUMBER(T895),ISNUMBER(W895)),W895-T895,"")</f>
        <v/>
      </c>
      <c r="AL895" s="29" t="str">
        <f aca="false">IF(A895="","",SUMIF(Actions!$C$5:$C$1004,A895,Actions!$F$5:$F$1004))</f>
        <v/>
      </c>
      <c r="AM895" s="25"/>
    </row>
    <row r="896" customFormat="false" ht="15" hidden="false" customHeight="false" outlineLevel="0" collapsed="false">
      <c r="A896" s="23"/>
      <c r="B896" s="23"/>
      <c r="C896" s="23"/>
      <c r="D896" s="23"/>
      <c r="E896" s="23"/>
      <c r="F896" s="23"/>
      <c r="G896" s="23"/>
      <c r="H896" s="23"/>
      <c r="I896" s="23"/>
      <c r="J896" s="23"/>
      <c r="K896" s="24"/>
      <c r="L896" s="23"/>
      <c r="M896" s="25"/>
      <c r="N896" s="25"/>
      <c r="O896" s="23"/>
      <c r="P896" s="26"/>
      <c r="Q896" s="26"/>
      <c r="R896" s="27" t="str">
        <f aca="false">IF(AND(ISNUMBER(P896),ISNUMBER(Q896)),P896-Q896,"")</f>
        <v/>
      </c>
      <c r="S896" s="24"/>
      <c r="T896" s="28" t="str">
        <f aca="false">IF(S896&lt;&gt;"",S896,IF(B896="","",IFERROR(IF(INDEX(Batches!$G$5:$G$64,MATCH(B896,Batches!$A$5:$A$64,0))="","",INDEX(Batches!$G$5:$G$64,MATCH(B896,Batches!$A$5:$A$64,0))),"")))</f>
        <v/>
      </c>
      <c r="U896" s="23"/>
      <c r="V896" s="24"/>
      <c r="W896" s="28" t="str">
        <f aca="false">IF(OR(X896="",X896="Pending"),"",IF(V896&lt;&gt;"",V896,IFERROR(IF(INDEX(Batches!$H$5:$H$64,MATCH(B896,Batches!$A$5:$A$64,0))="","",INDEX(Batches!$H$5:$H$64,MATCH(B896,Batches!$A$5:$A$64,0))),"")))</f>
        <v/>
      </c>
      <c r="X896" s="23"/>
      <c r="Y896" s="23"/>
      <c r="Z896" s="26"/>
      <c r="AA896" s="27" t="str">
        <f aca="false">IF(R896="","",IF(X896="Not accepted",R896,IF(OR(X896="Accepted",X896="Withdrawn by hospital"),IF(X896="Accepted",0,R896),IF(ISNUMBER(Z896),R896-Z896,""))))</f>
        <v/>
      </c>
      <c r="AB896" s="23"/>
      <c r="AC896" s="25"/>
      <c r="AD896" s="23"/>
      <c r="AE896" s="23"/>
      <c r="AF896" s="24"/>
      <c r="AG896" s="23"/>
      <c r="AH896" s="24"/>
      <c r="AI896" s="29" t="str">
        <f aca="false">IF(X896="Not accepted","Maintained",IF(X896="Partially accepted","Partially maintained",IF(X896="Accepted","Reversed",IF(X896="Withdrawn by hospital","Withdrawn by hospital",""))))</f>
        <v/>
      </c>
      <c r="AJ896" s="28" t="str">
        <f aca="false">IF(AI896="","",W896)</f>
        <v/>
      </c>
      <c r="AK896" s="29" t="str">
        <f aca="false">IF(AND(ISNUMBER(T896),ISNUMBER(W896)),W896-T896,"")</f>
        <v/>
      </c>
      <c r="AL896" s="29" t="str">
        <f aca="false">IF(A896="","",SUMIF(Actions!$C$5:$C$1004,A896,Actions!$F$5:$F$1004))</f>
        <v/>
      </c>
      <c r="AM896" s="25"/>
    </row>
    <row r="897" customFormat="false" ht="15" hidden="false" customHeight="false" outlineLevel="0" collapsed="false">
      <c r="A897" s="23"/>
      <c r="B897" s="23"/>
      <c r="C897" s="23"/>
      <c r="D897" s="23"/>
      <c r="E897" s="23"/>
      <c r="F897" s="23"/>
      <c r="G897" s="23"/>
      <c r="H897" s="23"/>
      <c r="I897" s="23"/>
      <c r="J897" s="23"/>
      <c r="K897" s="24"/>
      <c r="L897" s="23"/>
      <c r="M897" s="25"/>
      <c r="N897" s="25"/>
      <c r="O897" s="23"/>
      <c r="P897" s="26"/>
      <c r="Q897" s="26"/>
      <c r="R897" s="27" t="str">
        <f aca="false">IF(AND(ISNUMBER(P897),ISNUMBER(Q897)),P897-Q897,"")</f>
        <v/>
      </c>
      <c r="S897" s="24"/>
      <c r="T897" s="28" t="str">
        <f aca="false">IF(S897&lt;&gt;"",S897,IF(B897="","",IFERROR(IF(INDEX(Batches!$G$5:$G$64,MATCH(B897,Batches!$A$5:$A$64,0))="","",INDEX(Batches!$G$5:$G$64,MATCH(B897,Batches!$A$5:$A$64,0))),"")))</f>
        <v/>
      </c>
      <c r="U897" s="23"/>
      <c r="V897" s="24"/>
      <c r="W897" s="28" t="str">
        <f aca="false">IF(OR(X897="",X897="Pending"),"",IF(V897&lt;&gt;"",V897,IFERROR(IF(INDEX(Batches!$H$5:$H$64,MATCH(B897,Batches!$A$5:$A$64,0))="","",INDEX(Batches!$H$5:$H$64,MATCH(B897,Batches!$A$5:$A$64,0))),"")))</f>
        <v/>
      </c>
      <c r="X897" s="23"/>
      <c r="Y897" s="23"/>
      <c r="Z897" s="26"/>
      <c r="AA897" s="27" t="str">
        <f aca="false">IF(R897="","",IF(X897="Not accepted",R897,IF(OR(X897="Accepted",X897="Withdrawn by hospital"),IF(X897="Accepted",0,R897),IF(ISNUMBER(Z897),R897-Z897,""))))</f>
        <v/>
      </c>
      <c r="AB897" s="23"/>
      <c r="AC897" s="25"/>
      <c r="AD897" s="23"/>
      <c r="AE897" s="23"/>
      <c r="AF897" s="24"/>
      <c r="AG897" s="23"/>
      <c r="AH897" s="24"/>
      <c r="AI897" s="29" t="str">
        <f aca="false">IF(X897="Not accepted","Maintained",IF(X897="Partially accepted","Partially maintained",IF(X897="Accepted","Reversed",IF(X897="Withdrawn by hospital","Withdrawn by hospital",""))))</f>
        <v/>
      </c>
      <c r="AJ897" s="28" t="str">
        <f aca="false">IF(AI897="","",W897)</f>
        <v/>
      </c>
      <c r="AK897" s="29" t="str">
        <f aca="false">IF(AND(ISNUMBER(T897),ISNUMBER(W897)),W897-T897,"")</f>
        <v/>
      </c>
      <c r="AL897" s="29" t="str">
        <f aca="false">IF(A897="","",SUMIF(Actions!$C$5:$C$1004,A897,Actions!$F$5:$F$1004))</f>
        <v/>
      </c>
      <c r="AM897" s="25"/>
    </row>
    <row r="898" customFormat="false" ht="15" hidden="false" customHeight="false" outlineLevel="0" collapsed="false">
      <c r="A898" s="23"/>
      <c r="B898" s="23"/>
      <c r="C898" s="23"/>
      <c r="D898" s="23"/>
      <c r="E898" s="23"/>
      <c r="F898" s="23"/>
      <c r="G898" s="23"/>
      <c r="H898" s="23"/>
      <c r="I898" s="23"/>
      <c r="J898" s="23"/>
      <c r="K898" s="24"/>
      <c r="L898" s="23"/>
      <c r="M898" s="25"/>
      <c r="N898" s="25"/>
      <c r="O898" s="23"/>
      <c r="P898" s="26"/>
      <c r="Q898" s="26"/>
      <c r="R898" s="27" t="str">
        <f aca="false">IF(AND(ISNUMBER(P898),ISNUMBER(Q898)),P898-Q898,"")</f>
        <v/>
      </c>
      <c r="S898" s="24"/>
      <c r="T898" s="28" t="str">
        <f aca="false">IF(S898&lt;&gt;"",S898,IF(B898="","",IFERROR(IF(INDEX(Batches!$G$5:$G$64,MATCH(B898,Batches!$A$5:$A$64,0))="","",INDEX(Batches!$G$5:$G$64,MATCH(B898,Batches!$A$5:$A$64,0))),"")))</f>
        <v/>
      </c>
      <c r="U898" s="23"/>
      <c r="V898" s="24"/>
      <c r="W898" s="28" t="str">
        <f aca="false">IF(OR(X898="",X898="Pending"),"",IF(V898&lt;&gt;"",V898,IFERROR(IF(INDEX(Batches!$H$5:$H$64,MATCH(B898,Batches!$A$5:$A$64,0))="","",INDEX(Batches!$H$5:$H$64,MATCH(B898,Batches!$A$5:$A$64,0))),"")))</f>
        <v/>
      </c>
      <c r="X898" s="23"/>
      <c r="Y898" s="23"/>
      <c r="Z898" s="26"/>
      <c r="AA898" s="27" t="str">
        <f aca="false">IF(R898="","",IF(X898="Not accepted",R898,IF(OR(X898="Accepted",X898="Withdrawn by hospital"),IF(X898="Accepted",0,R898),IF(ISNUMBER(Z898),R898-Z898,""))))</f>
        <v/>
      </c>
      <c r="AB898" s="23"/>
      <c r="AC898" s="25"/>
      <c r="AD898" s="23"/>
      <c r="AE898" s="23"/>
      <c r="AF898" s="24"/>
      <c r="AG898" s="23"/>
      <c r="AH898" s="24"/>
      <c r="AI898" s="29" t="str">
        <f aca="false">IF(X898="Not accepted","Maintained",IF(X898="Partially accepted","Partially maintained",IF(X898="Accepted","Reversed",IF(X898="Withdrawn by hospital","Withdrawn by hospital",""))))</f>
        <v/>
      </c>
      <c r="AJ898" s="28" t="str">
        <f aca="false">IF(AI898="","",W898)</f>
        <v/>
      </c>
      <c r="AK898" s="29" t="str">
        <f aca="false">IF(AND(ISNUMBER(T898),ISNUMBER(W898)),W898-T898,"")</f>
        <v/>
      </c>
      <c r="AL898" s="29" t="str">
        <f aca="false">IF(A898="","",SUMIF(Actions!$C$5:$C$1004,A898,Actions!$F$5:$F$1004))</f>
        <v/>
      </c>
      <c r="AM898" s="25"/>
    </row>
    <row r="899" customFormat="false" ht="15" hidden="false" customHeight="false" outlineLevel="0" collapsed="false">
      <c r="A899" s="23"/>
      <c r="B899" s="23"/>
      <c r="C899" s="23"/>
      <c r="D899" s="23"/>
      <c r="E899" s="23"/>
      <c r="F899" s="23"/>
      <c r="G899" s="23"/>
      <c r="H899" s="23"/>
      <c r="I899" s="23"/>
      <c r="J899" s="23"/>
      <c r="K899" s="24"/>
      <c r="L899" s="23"/>
      <c r="M899" s="25"/>
      <c r="N899" s="25"/>
      <c r="O899" s="23"/>
      <c r="P899" s="26"/>
      <c r="Q899" s="26"/>
      <c r="R899" s="27" t="str">
        <f aca="false">IF(AND(ISNUMBER(P899),ISNUMBER(Q899)),P899-Q899,"")</f>
        <v/>
      </c>
      <c r="S899" s="24"/>
      <c r="T899" s="28" t="str">
        <f aca="false">IF(S899&lt;&gt;"",S899,IF(B899="","",IFERROR(IF(INDEX(Batches!$G$5:$G$64,MATCH(B899,Batches!$A$5:$A$64,0))="","",INDEX(Batches!$G$5:$G$64,MATCH(B899,Batches!$A$5:$A$64,0))),"")))</f>
        <v/>
      </c>
      <c r="U899" s="23"/>
      <c r="V899" s="24"/>
      <c r="W899" s="28" t="str">
        <f aca="false">IF(OR(X899="",X899="Pending"),"",IF(V899&lt;&gt;"",V899,IFERROR(IF(INDEX(Batches!$H$5:$H$64,MATCH(B899,Batches!$A$5:$A$64,0))="","",INDEX(Batches!$H$5:$H$64,MATCH(B899,Batches!$A$5:$A$64,0))),"")))</f>
        <v/>
      </c>
      <c r="X899" s="23"/>
      <c r="Y899" s="23"/>
      <c r="Z899" s="26"/>
      <c r="AA899" s="27" t="str">
        <f aca="false">IF(R899="","",IF(X899="Not accepted",R899,IF(OR(X899="Accepted",X899="Withdrawn by hospital"),IF(X899="Accepted",0,R899),IF(ISNUMBER(Z899),R899-Z899,""))))</f>
        <v/>
      </c>
      <c r="AB899" s="23"/>
      <c r="AC899" s="25"/>
      <c r="AD899" s="23"/>
      <c r="AE899" s="23"/>
      <c r="AF899" s="24"/>
      <c r="AG899" s="23"/>
      <c r="AH899" s="24"/>
      <c r="AI899" s="29" t="str">
        <f aca="false">IF(X899="Not accepted","Maintained",IF(X899="Partially accepted","Partially maintained",IF(X899="Accepted","Reversed",IF(X899="Withdrawn by hospital","Withdrawn by hospital",""))))</f>
        <v/>
      </c>
      <c r="AJ899" s="28" t="str">
        <f aca="false">IF(AI899="","",W899)</f>
        <v/>
      </c>
      <c r="AK899" s="29" t="str">
        <f aca="false">IF(AND(ISNUMBER(T899),ISNUMBER(W899)),W899-T899,"")</f>
        <v/>
      </c>
      <c r="AL899" s="29" t="str">
        <f aca="false">IF(A899="","",SUMIF(Actions!$C$5:$C$1004,A899,Actions!$F$5:$F$1004))</f>
        <v/>
      </c>
      <c r="AM899" s="25"/>
    </row>
    <row r="900" customFormat="false" ht="15" hidden="false" customHeight="false" outlineLevel="0" collapsed="false">
      <c r="A900" s="23"/>
      <c r="B900" s="23"/>
      <c r="C900" s="23"/>
      <c r="D900" s="23"/>
      <c r="E900" s="23"/>
      <c r="F900" s="23"/>
      <c r="G900" s="23"/>
      <c r="H900" s="23"/>
      <c r="I900" s="23"/>
      <c r="J900" s="23"/>
      <c r="K900" s="24"/>
      <c r="L900" s="23"/>
      <c r="M900" s="25"/>
      <c r="N900" s="25"/>
      <c r="O900" s="23"/>
      <c r="P900" s="26"/>
      <c r="Q900" s="26"/>
      <c r="R900" s="27" t="str">
        <f aca="false">IF(AND(ISNUMBER(P900),ISNUMBER(Q900)),P900-Q900,"")</f>
        <v/>
      </c>
      <c r="S900" s="24"/>
      <c r="T900" s="28" t="str">
        <f aca="false">IF(S900&lt;&gt;"",S900,IF(B900="","",IFERROR(IF(INDEX(Batches!$G$5:$G$64,MATCH(B900,Batches!$A$5:$A$64,0))="","",INDEX(Batches!$G$5:$G$64,MATCH(B900,Batches!$A$5:$A$64,0))),"")))</f>
        <v/>
      </c>
      <c r="U900" s="23"/>
      <c r="V900" s="24"/>
      <c r="W900" s="28" t="str">
        <f aca="false">IF(OR(X900="",X900="Pending"),"",IF(V900&lt;&gt;"",V900,IFERROR(IF(INDEX(Batches!$H$5:$H$64,MATCH(B900,Batches!$A$5:$A$64,0))="","",INDEX(Batches!$H$5:$H$64,MATCH(B900,Batches!$A$5:$A$64,0))),"")))</f>
        <v/>
      </c>
      <c r="X900" s="23"/>
      <c r="Y900" s="23"/>
      <c r="Z900" s="26"/>
      <c r="AA900" s="27" t="str">
        <f aca="false">IF(R900="","",IF(X900="Not accepted",R900,IF(OR(X900="Accepted",X900="Withdrawn by hospital"),IF(X900="Accepted",0,R900),IF(ISNUMBER(Z900),R900-Z900,""))))</f>
        <v/>
      </c>
      <c r="AB900" s="23"/>
      <c r="AC900" s="25"/>
      <c r="AD900" s="23"/>
      <c r="AE900" s="23"/>
      <c r="AF900" s="24"/>
      <c r="AG900" s="23"/>
      <c r="AH900" s="24"/>
      <c r="AI900" s="29" t="str">
        <f aca="false">IF(X900="Not accepted","Maintained",IF(X900="Partially accepted","Partially maintained",IF(X900="Accepted","Reversed",IF(X900="Withdrawn by hospital","Withdrawn by hospital",""))))</f>
        <v/>
      </c>
      <c r="AJ900" s="28" t="str">
        <f aca="false">IF(AI900="","",W900)</f>
        <v/>
      </c>
      <c r="AK900" s="29" t="str">
        <f aca="false">IF(AND(ISNUMBER(T900),ISNUMBER(W900)),W900-T900,"")</f>
        <v/>
      </c>
      <c r="AL900" s="29" t="str">
        <f aca="false">IF(A900="","",SUMIF(Actions!$C$5:$C$1004,A900,Actions!$F$5:$F$1004))</f>
        <v/>
      </c>
      <c r="AM900" s="25"/>
    </row>
    <row r="901" customFormat="false" ht="15" hidden="false" customHeight="false" outlineLevel="0" collapsed="false">
      <c r="A901" s="23"/>
      <c r="B901" s="23"/>
      <c r="C901" s="23"/>
      <c r="D901" s="23"/>
      <c r="E901" s="23"/>
      <c r="F901" s="23"/>
      <c r="G901" s="23"/>
      <c r="H901" s="23"/>
      <c r="I901" s="23"/>
      <c r="J901" s="23"/>
      <c r="K901" s="24"/>
      <c r="L901" s="23"/>
      <c r="M901" s="25"/>
      <c r="N901" s="25"/>
      <c r="O901" s="23"/>
      <c r="P901" s="26"/>
      <c r="Q901" s="26"/>
      <c r="R901" s="27" t="str">
        <f aca="false">IF(AND(ISNUMBER(P901),ISNUMBER(Q901)),P901-Q901,"")</f>
        <v/>
      </c>
      <c r="S901" s="24"/>
      <c r="T901" s="28" t="str">
        <f aca="false">IF(S901&lt;&gt;"",S901,IF(B901="","",IFERROR(IF(INDEX(Batches!$G$5:$G$64,MATCH(B901,Batches!$A$5:$A$64,0))="","",INDEX(Batches!$G$5:$G$64,MATCH(B901,Batches!$A$5:$A$64,0))),"")))</f>
        <v/>
      </c>
      <c r="U901" s="23"/>
      <c r="V901" s="24"/>
      <c r="W901" s="28" t="str">
        <f aca="false">IF(OR(X901="",X901="Pending"),"",IF(V901&lt;&gt;"",V901,IFERROR(IF(INDEX(Batches!$H$5:$H$64,MATCH(B901,Batches!$A$5:$A$64,0))="","",INDEX(Batches!$H$5:$H$64,MATCH(B901,Batches!$A$5:$A$64,0))),"")))</f>
        <v/>
      </c>
      <c r="X901" s="23"/>
      <c r="Y901" s="23"/>
      <c r="Z901" s="26"/>
      <c r="AA901" s="27" t="str">
        <f aca="false">IF(R901="","",IF(X901="Not accepted",R901,IF(OR(X901="Accepted",X901="Withdrawn by hospital"),IF(X901="Accepted",0,R901),IF(ISNUMBER(Z901),R901-Z901,""))))</f>
        <v/>
      </c>
      <c r="AB901" s="23"/>
      <c r="AC901" s="25"/>
      <c r="AD901" s="23"/>
      <c r="AE901" s="23"/>
      <c r="AF901" s="24"/>
      <c r="AG901" s="23"/>
      <c r="AH901" s="24"/>
      <c r="AI901" s="29" t="str">
        <f aca="false">IF(X901="Not accepted","Maintained",IF(X901="Partially accepted","Partially maintained",IF(X901="Accepted","Reversed",IF(X901="Withdrawn by hospital","Withdrawn by hospital",""))))</f>
        <v/>
      </c>
      <c r="AJ901" s="28" t="str">
        <f aca="false">IF(AI901="","",W901)</f>
        <v/>
      </c>
      <c r="AK901" s="29" t="str">
        <f aca="false">IF(AND(ISNUMBER(T901),ISNUMBER(W901)),W901-T901,"")</f>
        <v/>
      </c>
      <c r="AL901" s="29" t="str">
        <f aca="false">IF(A901="","",SUMIF(Actions!$C$5:$C$1004,A901,Actions!$F$5:$F$1004))</f>
        <v/>
      </c>
      <c r="AM901" s="25"/>
    </row>
    <row r="902" customFormat="false" ht="15" hidden="false" customHeight="false" outlineLevel="0" collapsed="false">
      <c r="A902" s="23"/>
      <c r="B902" s="23"/>
      <c r="C902" s="23"/>
      <c r="D902" s="23"/>
      <c r="E902" s="23"/>
      <c r="F902" s="23"/>
      <c r="G902" s="23"/>
      <c r="H902" s="23"/>
      <c r="I902" s="23"/>
      <c r="J902" s="23"/>
      <c r="K902" s="24"/>
      <c r="L902" s="23"/>
      <c r="M902" s="25"/>
      <c r="N902" s="25"/>
      <c r="O902" s="23"/>
      <c r="P902" s="26"/>
      <c r="Q902" s="26"/>
      <c r="R902" s="27" t="str">
        <f aca="false">IF(AND(ISNUMBER(P902),ISNUMBER(Q902)),P902-Q902,"")</f>
        <v/>
      </c>
      <c r="S902" s="24"/>
      <c r="T902" s="28" t="str">
        <f aca="false">IF(S902&lt;&gt;"",S902,IF(B902="","",IFERROR(IF(INDEX(Batches!$G$5:$G$64,MATCH(B902,Batches!$A$5:$A$64,0))="","",INDEX(Batches!$G$5:$G$64,MATCH(B902,Batches!$A$5:$A$64,0))),"")))</f>
        <v/>
      </c>
      <c r="U902" s="23"/>
      <c r="V902" s="24"/>
      <c r="W902" s="28" t="str">
        <f aca="false">IF(OR(X902="",X902="Pending"),"",IF(V902&lt;&gt;"",V902,IFERROR(IF(INDEX(Batches!$H$5:$H$64,MATCH(B902,Batches!$A$5:$A$64,0))="","",INDEX(Batches!$H$5:$H$64,MATCH(B902,Batches!$A$5:$A$64,0))),"")))</f>
        <v/>
      </c>
      <c r="X902" s="23"/>
      <c r="Y902" s="23"/>
      <c r="Z902" s="26"/>
      <c r="AA902" s="27" t="str">
        <f aca="false">IF(R902="","",IF(X902="Not accepted",R902,IF(OR(X902="Accepted",X902="Withdrawn by hospital"),IF(X902="Accepted",0,R902),IF(ISNUMBER(Z902),R902-Z902,""))))</f>
        <v/>
      </c>
      <c r="AB902" s="23"/>
      <c r="AC902" s="25"/>
      <c r="AD902" s="23"/>
      <c r="AE902" s="23"/>
      <c r="AF902" s="24"/>
      <c r="AG902" s="23"/>
      <c r="AH902" s="24"/>
      <c r="AI902" s="29" t="str">
        <f aca="false">IF(X902="Not accepted","Maintained",IF(X902="Partially accepted","Partially maintained",IF(X902="Accepted","Reversed",IF(X902="Withdrawn by hospital","Withdrawn by hospital",""))))</f>
        <v/>
      </c>
      <c r="AJ902" s="28" t="str">
        <f aca="false">IF(AI902="","",W902)</f>
        <v/>
      </c>
      <c r="AK902" s="29" t="str">
        <f aca="false">IF(AND(ISNUMBER(T902),ISNUMBER(W902)),W902-T902,"")</f>
        <v/>
      </c>
      <c r="AL902" s="29" t="str">
        <f aca="false">IF(A902="","",SUMIF(Actions!$C$5:$C$1004,A902,Actions!$F$5:$F$1004))</f>
        <v/>
      </c>
      <c r="AM902" s="25"/>
    </row>
    <row r="903" customFormat="false" ht="15" hidden="false" customHeight="false" outlineLevel="0" collapsed="false">
      <c r="A903" s="23"/>
      <c r="B903" s="23"/>
      <c r="C903" s="23"/>
      <c r="D903" s="23"/>
      <c r="E903" s="23"/>
      <c r="F903" s="23"/>
      <c r="G903" s="23"/>
      <c r="H903" s="23"/>
      <c r="I903" s="23"/>
      <c r="J903" s="23"/>
      <c r="K903" s="24"/>
      <c r="L903" s="23"/>
      <c r="M903" s="25"/>
      <c r="N903" s="25"/>
      <c r="O903" s="23"/>
      <c r="P903" s="26"/>
      <c r="Q903" s="26"/>
      <c r="R903" s="27" t="str">
        <f aca="false">IF(AND(ISNUMBER(P903),ISNUMBER(Q903)),P903-Q903,"")</f>
        <v/>
      </c>
      <c r="S903" s="24"/>
      <c r="T903" s="28" t="str">
        <f aca="false">IF(S903&lt;&gt;"",S903,IF(B903="","",IFERROR(IF(INDEX(Batches!$G$5:$G$64,MATCH(B903,Batches!$A$5:$A$64,0))="","",INDEX(Batches!$G$5:$G$64,MATCH(B903,Batches!$A$5:$A$64,0))),"")))</f>
        <v/>
      </c>
      <c r="U903" s="23"/>
      <c r="V903" s="24"/>
      <c r="W903" s="28" t="str">
        <f aca="false">IF(OR(X903="",X903="Pending"),"",IF(V903&lt;&gt;"",V903,IFERROR(IF(INDEX(Batches!$H$5:$H$64,MATCH(B903,Batches!$A$5:$A$64,0))="","",INDEX(Batches!$H$5:$H$64,MATCH(B903,Batches!$A$5:$A$64,0))),"")))</f>
        <v/>
      </c>
      <c r="X903" s="23"/>
      <c r="Y903" s="23"/>
      <c r="Z903" s="26"/>
      <c r="AA903" s="27" t="str">
        <f aca="false">IF(R903="","",IF(X903="Not accepted",R903,IF(OR(X903="Accepted",X903="Withdrawn by hospital"),IF(X903="Accepted",0,R903),IF(ISNUMBER(Z903),R903-Z903,""))))</f>
        <v/>
      </c>
      <c r="AB903" s="23"/>
      <c r="AC903" s="25"/>
      <c r="AD903" s="23"/>
      <c r="AE903" s="23"/>
      <c r="AF903" s="24"/>
      <c r="AG903" s="23"/>
      <c r="AH903" s="24"/>
      <c r="AI903" s="29" t="str">
        <f aca="false">IF(X903="Not accepted","Maintained",IF(X903="Partially accepted","Partially maintained",IF(X903="Accepted","Reversed",IF(X903="Withdrawn by hospital","Withdrawn by hospital",""))))</f>
        <v/>
      </c>
      <c r="AJ903" s="28" t="str">
        <f aca="false">IF(AI903="","",W903)</f>
        <v/>
      </c>
      <c r="AK903" s="29" t="str">
        <f aca="false">IF(AND(ISNUMBER(T903),ISNUMBER(W903)),W903-T903,"")</f>
        <v/>
      </c>
      <c r="AL903" s="29" t="str">
        <f aca="false">IF(A903="","",SUMIF(Actions!$C$5:$C$1004,A903,Actions!$F$5:$F$1004))</f>
        <v/>
      </c>
      <c r="AM903" s="25"/>
    </row>
    <row r="904" customFormat="false" ht="15" hidden="false" customHeight="false" outlineLevel="0" collapsed="false">
      <c r="A904" s="23"/>
      <c r="B904" s="23"/>
      <c r="C904" s="23"/>
      <c r="D904" s="23"/>
      <c r="E904" s="23"/>
      <c r="F904" s="23"/>
      <c r="G904" s="23"/>
      <c r="H904" s="23"/>
      <c r="I904" s="23"/>
      <c r="J904" s="23"/>
      <c r="K904" s="24"/>
      <c r="L904" s="23"/>
      <c r="M904" s="25"/>
      <c r="N904" s="25"/>
      <c r="O904" s="23"/>
      <c r="P904" s="26"/>
      <c r="Q904" s="26"/>
      <c r="R904" s="27" t="str">
        <f aca="false">IF(AND(ISNUMBER(P904),ISNUMBER(Q904)),P904-Q904,"")</f>
        <v/>
      </c>
      <c r="S904" s="24"/>
      <c r="T904" s="28" t="str">
        <f aca="false">IF(S904&lt;&gt;"",S904,IF(B904="","",IFERROR(IF(INDEX(Batches!$G$5:$G$64,MATCH(B904,Batches!$A$5:$A$64,0))="","",INDEX(Batches!$G$5:$G$64,MATCH(B904,Batches!$A$5:$A$64,0))),"")))</f>
        <v/>
      </c>
      <c r="U904" s="23"/>
      <c r="V904" s="24"/>
      <c r="W904" s="28" t="str">
        <f aca="false">IF(OR(X904="",X904="Pending"),"",IF(V904&lt;&gt;"",V904,IFERROR(IF(INDEX(Batches!$H$5:$H$64,MATCH(B904,Batches!$A$5:$A$64,0))="","",INDEX(Batches!$H$5:$H$64,MATCH(B904,Batches!$A$5:$A$64,0))),"")))</f>
        <v/>
      </c>
      <c r="X904" s="23"/>
      <c r="Y904" s="23"/>
      <c r="Z904" s="26"/>
      <c r="AA904" s="27" t="str">
        <f aca="false">IF(R904="","",IF(X904="Not accepted",R904,IF(OR(X904="Accepted",X904="Withdrawn by hospital"),IF(X904="Accepted",0,R904),IF(ISNUMBER(Z904),R904-Z904,""))))</f>
        <v/>
      </c>
      <c r="AB904" s="23"/>
      <c r="AC904" s="25"/>
      <c r="AD904" s="23"/>
      <c r="AE904" s="23"/>
      <c r="AF904" s="24"/>
      <c r="AG904" s="23"/>
      <c r="AH904" s="24"/>
      <c r="AI904" s="29" t="str">
        <f aca="false">IF(X904="Not accepted","Maintained",IF(X904="Partially accepted","Partially maintained",IF(X904="Accepted","Reversed",IF(X904="Withdrawn by hospital","Withdrawn by hospital",""))))</f>
        <v/>
      </c>
      <c r="AJ904" s="28" t="str">
        <f aca="false">IF(AI904="","",W904)</f>
        <v/>
      </c>
      <c r="AK904" s="29" t="str">
        <f aca="false">IF(AND(ISNUMBER(T904),ISNUMBER(W904)),W904-T904,"")</f>
        <v/>
      </c>
      <c r="AL904" s="29" t="str">
        <f aca="false">IF(A904="","",SUMIF(Actions!$C$5:$C$1004,A904,Actions!$F$5:$F$1004))</f>
        <v/>
      </c>
      <c r="AM904" s="25"/>
    </row>
    <row r="905" customFormat="false" ht="15" hidden="false" customHeight="false" outlineLevel="0" collapsed="false">
      <c r="A905" s="23"/>
      <c r="B905" s="23"/>
      <c r="C905" s="23"/>
      <c r="D905" s="23"/>
      <c r="E905" s="23"/>
      <c r="F905" s="23"/>
      <c r="G905" s="23"/>
      <c r="H905" s="23"/>
      <c r="I905" s="23"/>
      <c r="J905" s="23"/>
      <c r="K905" s="24"/>
      <c r="L905" s="23"/>
      <c r="M905" s="25"/>
      <c r="N905" s="25"/>
      <c r="O905" s="23"/>
      <c r="P905" s="26"/>
      <c r="Q905" s="26"/>
      <c r="R905" s="27" t="str">
        <f aca="false">IF(AND(ISNUMBER(P905),ISNUMBER(Q905)),P905-Q905,"")</f>
        <v/>
      </c>
      <c r="S905" s="24"/>
      <c r="T905" s="28" t="str">
        <f aca="false">IF(S905&lt;&gt;"",S905,IF(B905="","",IFERROR(IF(INDEX(Batches!$G$5:$G$64,MATCH(B905,Batches!$A$5:$A$64,0))="","",INDEX(Batches!$G$5:$G$64,MATCH(B905,Batches!$A$5:$A$64,0))),"")))</f>
        <v/>
      </c>
      <c r="U905" s="23"/>
      <c r="V905" s="24"/>
      <c r="W905" s="28" t="str">
        <f aca="false">IF(OR(X905="",X905="Pending"),"",IF(V905&lt;&gt;"",V905,IFERROR(IF(INDEX(Batches!$H$5:$H$64,MATCH(B905,Batches!$A$5:$A$64,0))="","",INDEX(Batches!$H$5:$H$64,MATCH(B905,Batches!$A$5:$A$64,0))),"")))</f>
        <v/>
      </c>
      <c r="X905" s="23"/>
      <c r="Y905" s="23"/>
      <c r="Z905" s="26"/>
      <c r="AA905" s="27" t="str">
        <f aca="false">IF(R905="","",IF(X905="Not accepted",R905,IF(OR(X905="Accepted",X905="Withdrawn by hospital"),IF(X905="Accepted",0,R905),IF(ISNUMBER(Z905),R905-Z905,""))))</f>
        <v/>
      </c>
      <c r="AB905" s="23"/>
      <c r="AC905" s="25"/>
      <c r="AD905" s="23"/>
      <c r="AE905" s="23"/>
      <c r="AF905" s="24"/>
      <c r="AG905" s="23"/>
      <c r="AH905" s="24"/>
      <c r="AI905" s="29" t="str">
        <f aca="false">IF(X905="Not accepted","Maintained",IF(X905="Partially accepted","Partially maintained",IF(X905="Accepted","Reversed",IF(X905="Withdrawn by hospital","Withdrawn by hospital",""))))</f>
        <v/>
      </c>
      <c r="AJ905" s="28" t="str">
        <f aca="false">IF(AI905="","",W905)</f>
        <v/>
      </c>
      <c r="AK905" s="29" t="str">
        <f aca="false">IF(AND(ISNUMBER(T905),ISNUMBER(W905)),W905-T905,"")</f>
        <v/>
      </c>
      <c r="AL905" s="29" t="str">
        <f aca="false">IF(A905="","",SUMIF(Actions!$C$5:$C$1004,A905,Actions!$F$5:$F$1004))</f>
        <v/>
      </c>
      <c r="AM905" s="25"/>
    </row>
    <row r="906" customFormat="false" ht="15" hidden="false" customHeight="false" outlineLevel="0" collapsed="false">
      <c r="A906" s="23"/>
      <c r="B906" s="23"/>
      <c r="C906" s="23"/>
      <c r="D906" s="23"/>
      <c r="E906" s="23"/>
      <c r="F906" s="23"/>
      <c r="G906" s="23"/>
      <c r="H906" s="23"/>
      <c r="I906" s="23"/>
      <c r="J906" s="23"/>
      <c r="K906" s="24"/>
      <c r="L906" s="23"/>
      <c r="M906" s="25"/>
      <c r="N906" s="25"/>
      <c r="O906" s="23"/>
      <c r="P906" s="26"/>
      <c r="Q906" s="26"/>
      <c r="R906" s="27" t="str">
        <f aca="false">IF(AND(ISNUMBER(P906),ISNUMBER(Q906)),P906-Q906,"")</f>
        <v/>
      </c>
      <c r="S906" s="24"/>
      <c r="T906" s="28" t="str">
        <f aca="false">IF(S906&lt;&gt;"",S906,IF(B906="","",IFERROR(IF(INDEX(Batches!$G$5:$G$64,MATCH(B906,Batches!$A$5:$A$64,0))="","",INDEX(Batches!$G$5:$G$64,MATCH(B906,Batches!$A$5:$A$64,0))),"")))</f>
        <v/>
      </c>
      <c r="U906" s="23"/>
      <c r="V906" s="24"/>
      <c r="W906" s="28" t="str">
        <f aca="false">IF(OR(X906="",X906="Pending"),"",IF(V906&lt;&gt;"",V906,IFERROR(IF(INDEX(Batches!$H$5:$H$64,MATCH(B906,Batches!$A$5:$A$64,0))="","",INDEX(Batches!$H$5:$H$64,MATCH(B906,Batches!$A$5:$A$64,0))),"")))</f>
        <v/>
      </c>
      <c r="X906" s="23"/>
      <c r="Y906" s="23"/>
      <c r="Z906" s="26"/>
      <c r="AA906" s="27" t="str">
        <f aca="false">IF(R906="","",IF(X906="Not accepted",R906,IF(OR(X906="Accepted",X906="Withdrawn by hospital"),IF(X906="Accepted",0,R906),IF(ISNUMBER(Z906),R906-Z906,""))))</f>
        <v/>
      </c>
      <c r="AB906" s="23"/>
      <c r="AC906" s="25"/>
      <c r="AD906" s="23"/>
      <c r="AE906" s="23"/>
      <c r="AF906" s="24"/>
      <c r="AG906" s="23"/>
      <c r="AH906" s="24"/>
      <c r="AI906" s="29" t="str">
        <f aca="false">IF(X906="Not accepted","Maintained",IF(X906="Partially accepted","Partially maintained",IF(X906="Accepted","Reversed",IF(X906="Withdrawn by hospital","Withdrawn by hospital",""))))</f>
        <v/>
      </c>
      <c r="AJ906" s="28" t="str">
        <f aca="false">IF(AI906="","",W906)</f>
        <v/>
      </c>
      <c r="AK906" s="29" t="str">
        <f aca="false">IF(AND(ISNUMBER(T906),ISNUMBER(W906)),W906-T906,"")</f>
        <v/>
      </c>
      <c r="AL906" s="29" t="str">
        <f aca="false">IF(A906="","",SUMIF(Actions!$C$5:$C$1004,A906,Actions!$F$5:$F$1004))</f>
        <v/>
      </c>
      <c r="AM906" s="25"/>
    </row>
    <row r="907" customFormat="false" ht="15" hidden="false" customHeight="false" outlineLevel="0" collapsed="false">
      <c r="A907" s="23"/>
      <c r="B907" s="23"/>
      <c r="C907" s="23"/>
      <c r="D907" s="23"/>
      <c r="E907" s="23"/>
      <c r="F907" s="23"/>
      <c r="G907" s="23"/>
      <c r="H907" s="23"/>
      <c r="I907" s="23"/>
      <c r="J907" s="23"/>
      <c r="K907" s="24"/>
      <c r="L907" s="23"/>
      <c r="M907" s="25"/>
      <c r="N907" s="25"/>
      <c r="O907" s="23"/>
      <c r="P907" s="26"/>
      <c r="Q907" s="26"/>
      <c r="R907" s="27" t="str">
        <f aca="false">IF(AND(ISNUMBER(P907),ISNUMBER(Q907)),P907-Q907,"")</f>
        <v/>
      </c>
      <c r="S907" s="24"/>
      <c r="T907" s="28" t="str">
        <f aca="false">IF(S907&lt;&gt;"",S907,IF(B907="","",IFERROR(IF(INDEX(Batches!$G$5:$G$64,MATCH(B907,Batches!$A$5:$A$64,0))="","",INDEX(Batches!$G$5:$G$64,MATCH(B907,Batches!$A$5:$A$64,0))),"")))</f>
        <v/>
      </c>
      <c r="U907" s="23"/>
      <c r="V907" s="24"/>
      <c r="W907" s="28" t="str">
        <f aca="false">IF(OR(X907="",X907="Pending"),"",IF(V907&lt;&gt;"",V907,IFERROR(IF(INDEX(Batches!$H$5:$H$64,MATCH(B907,Batches!$A$5:$A$64,0))="","",INDEX(Batches!$H$5:$H$64,MATCH(B907,Batches!$A$5:$A$64,0))),"")))</f>
        <v/>
      </c>
      <c r="X907" s="23"/>
      <c r="Y907" s="23"/>
      <c r="Z907" s="26"/>
      <c r="AA907" s="27" t="str">
        <f aca="false">IF(R907="","",IF(X907="Not accepted",R907,IF(OR(X907="Accepted",X907="Withdrawn by hospital"),IF(X907="Accepted",0,R907),IF(ISNUMBER(Z907),R907-Z907,""))))</f>
        <v/>
      </c>
      <c r="AB907" s="23"/>
      <c r="AC907" s="25"/>
      <c r="AD907" s="23"/>
      <c r="AE907" s="23"/>
      <c r="AF907" s="24"/>
      <c r="AG907" s="23"/>
      <c r="AH907" s="24"/>
      <c r="AI907" s="29" t="str">
        <f aca="false">IF(X907="Not accepted","Maintained",IF(X907="Partially accepted","Partially maintained",IF(X907="Accepted","Reversed",IF(X907="Withdrawn by hospital","Withdrawn by hospital",""))))</f>
        <v/>
      </c>
      <c r="AJ907" s="28" t="str">
        <f aca="false">IF(AI907="","",W907)</f>
        <v/>
      </c>
      <c r="AK907" s="29" t="str">
        <f aca="false">IF(AND(ISNUMBER(T907),ISNUMBER(W907)),W907-T907,"")</f>
        <v/>
      </c>
      <c r="AL907" s="29" t="str">
        <f aca="false">IF(A907="","",SUMIF(Actions!$C$5:$C$1004,A907,Actions!$F$5:$F$1004))</f>
        <v/>
      </c>
      <c r="AM907" s="25"/>
    </row>
    <row r="908" customFormat="false" ht="15" hidden="false" customHeight="false" outlineLevel="0" collapsed="false">
      <c r="A908" s="23"/>
      <c r="B908" s="23"/>
      <c r="C908" s="23"/>
      <c r="D908" s="23"/>
      <c r="E908" s="23"/>
      <c r="F908" s="23"/>
      <c r="G908" s="23"/>
      <c r="H908" s="23"/>
      <c r="I908" s="23"/>
      <c r="J908" s="23"/>
      <c r="K908" s="24"/>
      <c r="L908" s="23"/>
      <c r="M908" s="25"/>
      <c r="N908" s="25"/>
      <c r="O908" s="23"/>
      <c r="P908" s="26"/>
      <c r="Q908" s="26"/>
      <c r="R908" s="27" t="str">
        <f aca="false">IF(AND(ISNUMBER(P908),ISNUMBER(Q908)),P908-Q908,"")</f>
        <v/>
      </c>
      <c r="S908" s="24"/>
      <c r="T908" s="28" t="str">
        <f aca="false">IF(S908&lt;&gt;"",S908,IF(B908="","",IFERROR(IF(INDEX(Batches!$G$5:$G$64,MATCH(B908,Batches!$A$5:$A$64,0))="","",INDEX(Batches!$G$5:$G$64,MATCH(B908,Batches!$A$5:$A$64,0))),"")))</f>
        <v/>
      </c>
      <c r="U908" s="23"/>
      <c r="V908" s="24"/>
      <c r="W908" s="28" t="str">
        <f aca="false">IF(OR(X908="",X908="Pending"),"",IF(V908&lt;&gt;"",V908,IFERROR(IF(INDEX(Batches!$H$5:$H$64,MATCH(B908,Batches!$A$5:$A$64,0))="","",INDEX(Batches!$H$5:$H$64,MATCH(B908,Batches!$A$5:$A$64,0))),"")))</f>
        <v/>
      </c>
      <c r="X908" s="23"/>
      <c r="Y908" s="23"/>
      <c r="Z908" s="26"/>
      <c r="AA908" s="27" t="str">
        <f aca="false">IF(R908="","",IF(X908="Not accepted",R908,IF(OR(X908="Accepted",X908="Withdrawn by hospital"),IF(X908="Accepted",0,R908),IF(ISNUMBER(Z908),R908-Z908,""))))</f>
        <v/>
      </c>
      <c r="AB908" s="23"/>
      <c r="AC908" s="25"/>
      <c r="AD908" s="23"/>
      <c r="AE908" s="23"/>
      <c r="AF908" s="24"/>
      <c r="AG908" s="23"/>
      <c r="AH908" s="24"/>
      <c r="AI908" s="29" t="str">
        <f aca="false">IF(X908="Not accepted","Maintained",IF(X908="Partially accepted","Partially maintained",IF(X908="Accepted","Reversed",IF(X908="Withdrawn by hospital","Withdrawn by hospital",""))))</f>
        <v/>
      </c>
      <c r="AJ908" s="28" t="str">
        <f aca="false">IF(AI908="","",W908)</f>
        <v/>
      </c>
      <c r="AK908" s="29" t="str">
        <f aca="false">IF(AND(ISNUMBER(T908),ISNUMBER(W908)),W908-T908,"")</f>
        <v/>
      </c>
      <c r="AL908" s="29" t="str">
        <f aca="false">IF(A908="","",SUMIF(Actions!$C$5:$C$1004,A908,Actions!$F$5:$F$1004))</f>
        <v/>
      </c>
      <c r="AM908" s="25"/>
    </row>
    <row r="909" customFormat="false" ht="15" hidden="false" customHeight="false" outlineLevel="0" collapsed="false">
      <c r="A909" s="23"/>
      <c r="B909" s="23"/>
      <c r="C909" s="23"/>
      <c r="D909" s="23"/>
      <c r="E909" s="23"/>
      <c r="F909" s="23"/>
      <c r="G909" s="23"/>
      <c r="H909" s="23"/>
      <c r="I909" s="23"/>
      <c r="J909" s="23"/>
      <c r="K909" s="24"/>
      <c r="L909" s="23"/>
      <c r="M909" s="25"/>
      <c r="N909" s="25"/>
      <c r="O909" s="23"/>
      <c r="P909" s="26"/>
      <c r="Q909" s="26"/>
      <c r="R909" s="27" t="str">
        <f aca="false">IF(AND(ISNUMBER(P909),ISNUMBER(Q909)),P909-Q909,"")</f>
        <v/>
      </c>
      <c r="S909" s="24"/>
      <c r="T909" s="28" t="str">
        <f aca="false">IF(S909&lt;&gt;"",S909,IF(B909="","",IFERROR(IF(INDEX(Batches!$G$5:$G$64,MATCH(B909,Batches!$A$5:$A$64,0))="","",INDEX(Batches!$G$5:$G$64,MATCH(B909,Batches!$A$5:$A$64,0))),"")))</f>
        <v/>
      </c>
      <c r="U909" s="23"/>
      <c r="V909" s="24"/>
      <c r="W909" s="28" t="str">
        <f aca="false">IF(OR(X909="",X909="Pending"),"",IF(V909&lt;&gt;"",V909,IFERROR(IF(INDEX(Batches!$H$5:$H$64,MATCH(B909,Batches!$A$5:$A$64,0))="","",INDEX(Batches!$H$5:$H$64,MATCH(B909,Batches!$A$5:$A$64,0))),"")))</f>
        <v/>
      </c>
      <c r="X909" s="23"/>
      <c r="Y909" s="23"/>
      <c r="Z909" s="26"/>
      <c r="AA909" s="27" t="str">
        <f aca="false">IF(R909="","",IF(X909="Not accepted",R909,IF(OR(X909="Accepted",X909="Withdrawn by hospital"),IF(X909="Accepted",0,R909),IF(ISNUMBER(Z909),R909-Z909,""))))</f>
        <v/>
      </c>
      <c r="AB909" s="23"/>
      <c r="AC909" s="25"/>
      <c r="AD909" s="23"/>
      <c r="AE909" s="23"/>
      <c r="AF909" s="24"/>
      <c r="AG909" s="23"/>
      <c r="AH909" s="24"/>
      <c r="AI909" s="29" t="str">
        <f aca="false">IF(X909="Not accepted","Maintained",IF(X909="Partially accepted","Partially maintained",IF(X909="Accepted","Reversed",IF(X909="Withdrawn by hospital","Withdrawn by hospital",""))))</f>
        <v/>
      </c>
      <c r="AJ909" s="28" t="str">
        <f aca="false">IF(AI909="","",W909)</f>
        <v/>
      </c>
      <c r="AK909" s="29" t="str">
        <f aca="false">IF(AND(ISNUMBER(T909),ISNUMBER(W909)),W909-T909,"")</f>
        <v/>
      </c>
      <c r="AL909" s="29" t="str">
        <f aca="false">IF(A909="","",SUMIF(Actions!$C$5:$C$1004,A909,Actions!$F$5:$F$1004))</f>
        <v/>
      </c>
      <c r="AM909" s="25"/>
    </row>
    <row r="910" customFormat="false" ht="15" hidden="false" customHeight="false" outlineLevel="0" collapsed="false">
      <c r="A910" s="23"/>
      <c r="B910" s="23"/>
      <c r="C910" s="23"/>
      <c r="D910" s="23"/>
      <c r="E910" s="23"/>
      <c r="F910" s="23"/>
      <c r="G910" s="23"/>
      <c r="H910" s="23"/>
      <c r="I910" s="23"/>
      <c r="J910" s="23"/>
      <c r="K910" s="24"/>
      <c r="L910" s="23"/>
      <c r="M910" s="25"/>
      <c r="N910" s="25"/>
      <c r="O910" s="23"/>
      <c r="P910" s="26"/>
      <c r="Q910" s="26"/>
      <c r="R910" s="27" t="str">
        <f aca="false">IF(AND(ISNUMBER(P910),ISNUMBER(Q910)),P910-Q910,"")</f>
        <v/>
      </c>
      <c r="S910" s="24"/>
      <c r="T910" s="28" t="str">
        <f aca="false">IF(S910&lt;&gt;"",S910,IF(B910="","",IFERROR(IF(INDEX(Batches!$G$5:$G$64,MATCH(B910,Batches!$A$5:$A$64,0))="","",INDEX(Batches!$G$5:$G$64,MATCH(B910,Batches!$A$5:$A$64,0))),"")))</f>
        <v/>
      </c>
      <c r="U910" s="23"/>
      <c r="V910" s="24"/>
      <c r="W910" s="28" t="str">
        <f aca="false">IF(OR(X910="",X910="Pending"),"",IF(V910&lt;&gt;"",V910,IFERROR(IF(INDEX(Batches!$H$5:$H$64,MATCH(B910,Batches!$A$5:$A$64,0))="","",INDEX(Batches!$H$5:$H$64,MATCH(B910,Batches!$A$5:$A$64,0))),"")))</f>
        <v/>
      </c>
      <c r="X910" s="23"/>
      <c r="Y910" s="23"/>
      <c r="Z910" s="26"/>
      <c r="AA910" s="27" t="str">
        <f aca="false">IF(R910="","",IF(X910="Not accepted",R910,IF(OR(X910="Accepted",X910="Withdrawn by hospital"),IF(X910="Accepted",0,R910),IF(ISNUMBER(Z910),R910-Z910,""))))</f>
        <v/>
      </c>
      <c r="AB910" s="23"/>
      <c r="AC910" s="25"/>
      <c r="AD910" s="23"/>
      <c r="AE910" s="23"/>
      <c r="AF910" s="24"/>
      <c r="AG910" s="23"/>
      <c r="AH910" s="24"/>
      <c r="AI910" s="29" t="str">
        <f aca="false">IF(X910="Not accepted","Maintained",IF(X910="Partially accepted","Partially maintained",IF(X910="Accepted","Reversed",IF(X910="Withdrawn by hospital","Withdrawn by hospital",""))))</f>
        <v/>
      </c>
      <c r="AJ910" s="28" t="str">
        <f aca="false">IF(AI910="","",W910)</f>
        <v/>
      </c>
      <c r="AK910" s="29" t="str">
        <f aca="false">IF(AND(ISNUMBER(T910),ISNUMBER(W910)),W910-T910,"")</f>
        <v/>
      </c>
      <c r="AL910" s="29" t="str">
        <f aca="false">IF(A910="","",SUMIF(Actions!$C$5:$C$1004,A910,Actions!$F$5:$F$1004))</f>
        <v/>
      </c>
      <c r="AM910" s="25"/>
    </row>
    <row r="911" customFormat="false" ht="15" hidden="false" customHeight="false" outlineLevel="0" collapsed="false">
      <c r="A911" s="23"/>
      <c r="B911" s="23"/>
      <c r="C911" s="23"/>
      <c r="D911" s="23"/>
      <c r="E911" s="23"/>
      <c r="F911" s="23"/>
      <c r="G911" s="23"/>
      <c r="H911" s="23"/>
      <c r="I911" s="23"/>
      <c r="J911" s="23"/>
      <c r="K911" s="24"/>
      <c r="L911" s="23"/>
      <c r="M911" s="25"/>
      <c r="N911" s="25"/>
      <c r="O911" s="23"/>
      <c r="P911" s="26"/>
      <c r="Q911" s="26"/>
      <c r="R911" s="27" t="str">
        <f aca="false">IF(AND(ISNUMBER(P911),ISNUMBER(Q911)),P911-Q911,"")</f>
        <v/>
      </c>
      <c r="S911" s="24"/>
      <c r="T911" s="28" t="str">
        <f aca="false">IF(S911&lt;&gt;"",S911,IF(B911="","",IFERROR(IF(INDEX(Batches!$G$5:$G$64,MATCH(B911,Batches!$A$5:$A$64,0))="","",INDEX(Batches!$G$5:$G$64,MATCH(B911,Batches!$A$5:$A$64,0))),"")))</f>
        <v/>
      </c>
      <c r="U911" s="23"/>
      <c r="V911" s="24"/>
      <c r="W911" s="28" t="str">
        <f aca="false">IF(OR(X911="",X911="Pending"),"",IF(V911&lt;&gt;"",V911,IFERROR(IF(INDEX(Batches!$H$5:$H$64,MATCH(B911,Batches!$A$5:$A$64,0))="","",INDEX(Batches!$H$5:$H$64,MATCH(B911,Batches!$A$5:$A$64,0))),"")))</f>
        <v/>
      </c>
      <c r="X911" s="23"/>
      <c r="Y911" s="23"/>
      <c r="Z911" s="26"/>
      <c r="AA911" s="27" t="str">
        <f aca="false">IF(R911="","",IF(X911="Not accepted",R911,IF(OR(X911="Accepted",X911="Withdrawn by hospital"),IF(X911="Accepted",0,R911),IF(ISNUMBER(Z911),R911-Z911,""))))</f>
        <v/>
      </c>
      <c r="AB911" s="23"/>
      <c r="AC911" s="25"/>
      <c r="AD911" s="23"/>
      <c r="AE911" s="23"/>
      <c r="AF911" s="24"/>
      <c r="AG911" s="23"/>
      <c r="AH911" s="24"/>
      <c r="AI911" s="29" t="str">
        <f aca="false">IF(X911="Not accepted","Maintained",IF(X911="Partially accepted","Partially maintained",IF(X911="Accepted","Reversed",IF(X911="Withdrawn by hospital","Withdrawn by hospital",""))))</f>
        <v/>
      </c>
      <c r="AJ911" s="28" t="str">
        <f aca="false">IF(AI911="","",W911)</f>
        <v/>
      </c>
      <c r="AK911" s="29" t="str">
        <f aca="false">IF(AND(ISNUMBER(T911),ISNUMBER(W911)),W911-T911,"")</f>
        <v/>
      </c>
      <c r="AL911" s="29" t="str">
        <f aca="false">IF(A911="","",SUMIF(Actions!$C$5:$C$1004,A911,Actions!$F$5:$F$1004))</f>
        <v/>
      </c>
      <c r="AM911" s="25"/>
    </row>
    <row r="912" customFormat="false" ht="15" hidden="false" customHeight="false" outlineLevel="0" collapsed="false">
      <c r="A912" s="23"/>
      <c r="B912" s="23"/>
      <c r="C912" s="23"/>
      <c r="D912" s="23"/>
      <c r="E912" s="23"/>
      <c r="F912" s="23"/>
      <c r="G912" s="23"/>
      <c r="H912" s="23"/>
      <c r="I912" s="23"/>
      <c r="J912" s="23"/>
      <c r="K912" s="24"/>
      <c r="L912" s="23"/>
      <c r="M912" s="25"/>
      <c r="N912" s="25"/>
      <c r="O912" s="23"/>
      <c r="P912" s="26"/>
      <c r="Q912" s="26"/>
      <c r="R912" s="27" t="str">
        <f aca="false">IF(AND(ISNUMBER(P912),ISNUMBER(Q912)),P912-Q912,"")</f>
        <v/>
      </c>
      <c r="S912" s="24"/>
      <c r="T912" s="28" t="str">
        <f aca="false">IF(S912&lt;&gt;"",S912,IF(B912="","",IFERROR(IF(INDEX(Batches!$G$5:$G$64,MATCH(B912,Batches!$A$5:$A$64,0))="","",INDEX(Batches!$G$5:$G$64,MATCH(B912,Batches!$A$5:$A$64,0))),"")))</f>
        <v/>
      </c>
      <c r="U912" s="23"/>
      <c r="V912" s="24"/>
      <c r="W912" s="28" t="str">
        <f aca="false">IF(OR(X912="",X912="Pending"),"",IF(V912&lt;&gt;"",V912,IFERROR(IF(INDEX(Batches!$H$5:$H$64,MATCH(B912,Batches!$A$5:$A$64,0))="","",INDEX(Batches!$H$5:$H$64,MATCH(B912,Batches!$A$5:$A$64,0))),"")))</f>
        <v/>
      </c>
      <c r="X912" s="23"/>
      <c r="Y912" s="23"/>
      <c r="Z912" s="26"/>
      <c r="AA912" s="27" t="str">
        <f aca="false">IF(R912="","",IF(X912="Not accepted",R912,IF(OR(X912="Accepted",X912="Withdrawn by hospital"),IF(X912="Accepted",0,R912),IF(ISNUMBER(Z912),R912-Z912,""))))</f>
        <v/>
      </c>
      <c r="AB912" s="23"/>
      <c r="AC912" s="25"/>
      <c r="AD912" s="23"/>
      <c r="AE912" s="23"/>
      <c r="AF912" s="24"/>
      <c r="AG912" s="23"/>
      <c r="AH912" s="24"/>
      <c r="AI912" s="29" t="str">
        <f aca="false">IF(X912="Not accepted","Maintained",IF(X912="Partially accepted","Partially maintained",IF(X912="Accepted","Reversed",IF(X912="Withdrawn by hospital","Withdrawn by hospital",""))))</f>
        <v/>
      </c>
      <c r="AJ912" s="28" t="str">
        <f aca="false">IF(AI912="","",W912)</f>
        <v/>
      </c>
      <c r="AK912" s="29" t="str">
        <f aca="false">IF(AND(ISNUMBER(T912),ISNUMBER(W912)),W912-T912,"")</f>
        <v/>
      </c>
      <c r="AL912" s="29" t="str">
        <f aca="false">IF(A912="","",SUMIF(Actions!$C$5:$C$1004,A912,Actions!$F$5:$F$1004))</f>
        <v/>
      </c>
      <c r="AM912" s="25"/>
    </row>
    <row r="913" customFormat="false" ht="15" hidden="false" customHeight="false" outlineLevel="0" collapsed="false">
      <c r="A913" s="23"/>
      <c r="B913" s="23"/>
      <c r="C913" s="23"/>
      <c r="D913" s="23"/>
      <c r="E913" s="23"/>
      <c r="F913" s="23"/>
      <c r="G913" s="23"/>
      <c r="H913" s="23"/>
      <c r="I913" s="23"/>
      <c r="J913" s="23"/>
      <c r="K913" s="24"/>
      <c r="L913" s="23"/>
      <c r="M913" s="25"/>
      <c r="N913" s="25"/>
      <c r="O913" s="23"/>
      <c r="P913" s="26"/>
      <c r="Q913" s="26"/>
      <c r="R913" s="27" t="str">
        <f aca="false">IF(AND(ISNUMBER(P913),ISNUMBER(Q913)),P913-Q913,"")</f>
        <v/>
      </c>
      <c r="S913" s="24"/>
      <c r="T913" s="28" t="str">
        <f aca="false">IF(S913&lt;&gt;"",S913,IF(B913="","",IFERROR(IF(INDEX(Batches!$G$5:$G$64,MATCH(B913,Batches!$A$5:$A$64,0))="","",INDEX(Batches!$G$5:$G$64,MATCH(B913,Batches!$A$5:$A$64,0))),"")))</f>
        <v/>
      </c>
      <c r="U913" s="23"/>
      <c r="V913" s="24"/>
      <c r="W913" s="28" t="str">
        <f aca="false">IF(OR(X913="",X913="Pending"),"",IF(V913&lt;&gt;"",V913,IFERROR(IF(INDEX(Batches!$H$5:$H$64,MATCH(B913,Batches!$A$5:$A$64,0))="","",INDEX(Batches!$H$5:$H$64,MATCH(B913,Batches!$A$5:$A$64,0))),"")))</f>
        <v/>
      </c>
      <c r="X913" s="23"/>
      <c r="Y913" s="23"/>
      <c r="Z913" s="26"/>
      <c r="AA913" s="27" t="str">
        <f aca="false">IF(R913="","",IF(X913="Not accepted",R913,IF(OR(X913="Accepted",X913="Withdrawn by hospital"),IF(X913="Accepted",0,R913),IF(ISNUMBER(Z913),R913-Z913,""))))</f>
        <v/>
      </c>
      <c r="AB913" s="23"/>
      <c r="AC913" s="25"/>
      <c r="AD913" s="23"/>
      <c r="AE913" s="23"/>
      <c r="AF913" s="24"/>
      <c r="AG913" s="23"/>
      <c r="AH913" s="24"/>
      <c r="AI913" s="29" t="str">
        <f aca="false">IF(X913="Not accepted","Maintained",IF(X913="Partially accepted","Partially maintained",IF(X913="Accepted","Reversed",IF(X913="Withdrawn by hospital","Withdrawn by hospital",""))))</f>
        <v/>
      </c>
      <c r="AJ913" s="28" t="str">
        <f aca="false">IF(AI913="","",W913)</f>
        <v/>
      </c>
      <c r="AK913" s="29" t="str">
        <f aca="false">IF(AND(ISNUMBER(T913),ISNUMBER(W913)),W913-T913,"")</f>
        <v/>
      </c>
      <c r="AL913" s="29" t="str">
        <f aca="false">IF(A913="","",SUMIF(Actions!$C$5:$C$1004,A913,Actions!$F$5:$F$1004))</f>
        <v/>
      </c>
      <c r="AM913" s="25"/>
    </row>
    <row r="914" customFormat="false" ht="15" hidden="false" customHeight="false" outlineLevel="0" collapsed="false">
      <c r="A914" s="23"/>
      <c r="B914" s="23"/>
      <c r="C914" s="23"/>
      <c r="D914" s="23"/>
      <c r="E914" s="23"/>
      <c r="F914" s="23"/>
      <c r="G914" s="23"/>
      <c r="H914" s="23"/>
      <c r="I914" s="23"/>
      <c r="J914" s="23"/>
      <c r="K914" s="24"/>
      <c r="L914" s="23"/>
      <c r="M914" s="25"/>
      <c r="N914" s="25"/>
      <c r="O914" s="23"/>
      <c r="P914" s="26"/>
      <c r="Q914" s="26"/>
      <c r="R914" s="27" t="str">
        <f aca="false">IF(AND(ISNUMBER(P914),ISNUMBER(Q914)),P914-Q914,"")</f>
        <v/>
      </c>
      <c r="S914" s="24"/>
      <c r="T914" s="28" t="str">
        <f aca="false">IF(S914&lt;&gt;"",S914,IF(B914="","",IFERROR(IF(INDEX(Batches!$G$5:$G$64,MATCH(B914,Batches!$A$5:$A$64,0))="","",INDEX(Batches!$G$5:$G$64,MATCH(B914,Batches!$A$5:$A$64,0))),"")))</f>
        <v/>
      </c>
      <c r="U914" s="23"/>
      <c r="V914" s="24"/>
      <c r="W914" s="28" t="str">
        <f aca="false">IF(OR(X914="",X914="Pending"),"",IF(V914&lt;&gt;"",V914,IFERROR(IF(INDEX(Batches!$H$5:$H$64,MATCH(B914,Batches!$A$5:$A$64,0))="","",INDEX(Batches!$H$5:$H$64,MATCH(B914,Batches!$A$5:$A$64,0))),"")))</f>
        <v/>
      </c>
      <c r="X914" s="23"/>
      <c r="Y914" s="23"/>
      <c r="Z914" s="26"/>
      <c r="AA914" s="27" t="str">
        <f aca="false">IF(R914="","",IF(X914="Not accepted",R914,IF(OR(X914="Accepted",X914="Withdrawn by hospital"),IF(X914="Accepted",0,R914),IF(ISNUMBER(Z914),R914-Z914,""))))</f>
        <v/>
      </c>
      <c r="AB914" s="23"/>
      <c r="AC914" s="25"/>
      <c r="AD914" s="23"/>
      <c r="AE914" s="23"/>
      <c r="AF914" s="24"/>
      <c r="AG914" s="23"/>
      <c r="AH914" s="24"/>
      <c r="AI914" s="29" t="str">
        <f aca="false">IF(X914="Not accepted","Maintained",IF(X914="Partially accepted","Partially maintained",IF(X914="Accepted","Reversed",IF(X914="Withdrawn by hospital","Withdrawn by hospital",""))))</f>
        <v/>
      </c>
      <c r="AJ914" s="28" t="str">
        <f aca="false">IF(AI914="","",W914)</f>
        <v/>
      </c>
      <c r="AK914" s="29" t="str">
        <f aca="false">IF(AND(ISNUMBER(T914),ISNUMBER(W914)),W914-T914,"")</f>
        <v/>
      </c>
      <c r="AL914" s="29" t="str">
        <f aca="false">IF(A914="","",SUMIF(Actions!$C$5:$C$1004,A914,Actions!$F$5:$F$1004))</f>
        <v/>
      </c>
      <c r="AM914" s="25"/>
    </row>
    <row r="915" customFormat="false" ht="15" hidden="false" customHeight="false" outlineLevel="0" collapsed="false">
      <c r="A915" s="23"/>
      <c r="B915" s="23"/>
      <c r="C915" s="23"/>
      <c r="D915" s="23"/>
      <c r="E915" s="23"/>
      <c r="F915" s="23"/>
      <c r="G915" s="23"/>
      <c r="H915" s="23"/>
      <c r="I915" s="23"/>
      <c r="J915" s="23"/>
      <c r="K915" s="24"/>
      <c r="L915" s="23"/>
      <c r="M915" s="25"/>
      <c r="N915" s="25"/>
      <c r="O915" s="23"/>
      <c r="P915" s="26"/>
      <c r="Q915" s="26"/>
      <c r="R915" s="27" t="str">
        <f aca="false">IF(AND(ISNUMBER(P915),ISNUMBER(Q915)),P915-Q915,"")</f>
        <v/>
      </c>
      <c r="S915" s="24"/>
      <c r="T915" s="28" t="str">
        <f aca="false">IF(S915&lt;&gt;"",S915,IF(B915="","",IFERROR(IF(INDEX(Batches!$G$5:$G$64,MATCH(B915,Batches!$A$5:$A$64,0))="","",INDEX(Batches!$G$5:$G$64,MATCH(B915,Batches!$A$5:$A$64,0))),"")))</f>
        <v/>
      </c>
      <c r="U915" s="23"/>
      <c r="V915" s="24"/>
      <c r="W915" s="28" t="str">
        <f aca="false">IF(OR(X915="",X915="Pending"),"",IF(V915&lt;&gt;"",V915,IFERROR(IF(INDEX(Batches!$H$5:$H$64,MATCH(B915,Batches!$A$5:$A$64,0))="","",INDEX(Batches!$H$5:$H$64,MATCH(B915,Batches!$A$5:$A$64,0))),"")))</f>
        <v/>
      </c>
      <c r="X915" s="23"/>
      <c r="Y915" s="23"/>
      <c r="Z915" s="26"/>
      <c r="AA915" s="27" t="str">
        <f aca="false">IF(R915="","",IF(X915="Not accepted",R915,IF(OR(X915="Accepted",X915="Withdrawn by hospital"),IF(X915="Accepted",0,R915),IF(ISNUMBER(Z915),R915-Z915,""))))</f>
        <v/>
      </c>
      <c r="AB915" s="23"/>
      <c r="AC915" s="25"/>
      <c r="AD915" s="23"/>
      <c r="AE915" s="23"/>
      <c r="AF915" s="24"/>
      <c r="AG915" s="23"/>
      <c r="AH915" s="24"/>
      <c r="AI915" s="29" t="str">
        <f aca="false">IF(X915="Not accepted","Maintained",IF(X915="Partially accepted","Partially maintained",IF(X915="Accepted","Reversed",IF(X915="Withdrawn by hospital","Withdrawn by hospital",""))))</f>
        <v/>
      </c>
      <c r="AJ915" s="28" t="str">
        <f aca="false">IF(AI915="","",W915)</f>
        <v/>
      </c>
      <c r="AK915" s="29" t="str">
        <f aca="false">IF(AND(ISNUMBER(T915),ISNUMBER(W915)),W915-T915,"")</f>
        <v/>
      </c>
      <c r="AL915" s="29" t="str">
        <f aca="false">IF(A915="","",SUMIF(Actions!$C$5:$C$1004,A915,Actions!$F$5:$F$1004))</f>
        <v/>
      </c>
      <c r="AM915" s="25"/>
    </row>
    <row r="916" customFormat="false" ht="15" hidden="false" customHeight="false" outlineLevel="0" collapsed="false">
      <c r="A916" s="23"/>
      <c r="B916" s="23"/>
      <c r="C916" s="23"/>
      <c r="D916" s="23"/>
      <c r="E916" s="23"/>
      <c r="F916" s="23"/>
      <c r="G916" s="23"/>
      <c r="H916" s="23"/>
      <c r="I916" s="23"/>
      <c r="J916" s="23"/>
      <c r="K916" s="24"/>
      <c r="L916" s="23"/>
      <c r="M916" s="25"/>
      <c r="N916" s="25"/>
      <c r="O916" s="23"/>
      <c r="P916" s="26"/>
      <c r="Q916" s="26"/>
      <c r="R916" s="27" t="str">
        <f aca="false">IF(AND(ISNUMBER(P916),ISNUMBER(Q916)),P916-Q916,"")</f>
        <v/>
      </c>
      <c r="S916" s="24"/>
      <c r="T916" s="28" t="str">
        <f aca="false">IF(S916&lt;&gt;"",S916,IF(B916="","",IFERROR(IF(INDEX(Batches!$G$5:$G$64,MATCH(B916,Batches!$A$5:$A$64,0))="","",INDEX(Batches!$G$5:$G$64,MATCH(B916,Batches!$A$5:$A$64,0))),"")))</f>
        <v/>
      </c>
      <c r="U916" s="23"/>
      <c r="V916" s="24"/>
      <c r="W916" s="28" t="str">
        <f aca="false">IF(OR(X916="",X916="Pending"),"",IF(V916&lt;&gt;"",V916,IFERROR(IF(INDEX(Batches!$H$5:$H$64,MATCH(B916,Batches!$A$5:$A$64,0))="","",INDEX(Batches!$H$5:$H$64,MATCH(B916,Batches!$A$5:$A$64,0))),"")))</f>
        <v/>
      </c>
      <c r="X916" s="23"/>
      <c r="Y916" s="23"/>
      <c r="Z916" s="26"/>
      <c r="AA916" s="27" t="str">
        <f aca="false">IF(R916="","",IF(X916="Not accepted",R916,IF(OR(X916="Accepted",X916="Withdrawn by hospital"),IF(X916="Accepted",0,R916),IF(ISNUMBER(Z916),R916-Z916,""))))</f>
        <v/>
      </c>
      <c r="AB916" s="23"/>
      <c r="AC916" s="25"/>
      <c r="AD916" s="23"/>
      <c r="AE916" s="23"/>
      <c r="AF916" s="24"/>
      <c r="AG916" s="23"/>
      <c r="AH916" s="24"/>
      <c r="AI916" s="29" t="str">
        <f aca="false">IF(X916="Not accepted","Maintained",IF(X916="Partially accepted","Partially maintained",IF(X916="Accepted","Reversed",IF(X916="Withdrawn by hospital","Withdrawn by hospital",""))))</f>
        <v/>
      </c>
      <c r="AJ916" s="28" t="str">
        <f aca="false">IF(AI916="","",W916)</f>
        <v/>
      </c>
      <c r="AK916" s="29" t="str">
        <f aca="false">IF(AND(ISNUMBER(T916),ISNUMBER(W916)),W916-T916,"")</f>
        <v/>
      </c>
      <c r="AL916" s="29" t="str">
        <f aca="false">IF(A916="","",SUMIF(Actions!$C$5:$C$1004,A916,Actions!$F$5:$F$1004))</f>
        <v/>
      </c>
      <c r="AM916" s="25"/>
    </row>
    <row r="917" customFormat="false" ht="15" hidden="false" customHeight="false" outlineLevel="0" collapsed="false">
      <c r="A917" s="23"/>
      <c r="B917" s="23"/>
      <c r="C917" s="23"/>
      <c r="D917" s="23"/>
      <c r="E917" s="23"/>
      <c r="F917" s="23"/>
      <c r="G917" s="23"/>
      <c r="H917" s="23"/>
      <c r="I917" s="23"/>
      <c r="J917" s="23"/>
      <c r="K917" s="24"/>
      <c r="L917" s="23"/>
      <c r="M917" s="25"/>
      <c r="N917" s="25"/>
      <c r="O917" s="23"/>
      <c r="P917" s="26"/>
      <c r="Q917" s="26"/>
      <c r="R917" s="27" t="str">
        <f aca="false">IF(AND(ISNUMBER(P917),ISNUMBER(Q917)),P917-Q917,"")</f>
        <v/>
      </c>
      <c r="S917" s="24"/>
      <c r="T917" s="28" t="str">
        <f aca="false">IF(S917&lt;&gt;"",S917,IF(B917="","",IFERROR(IF(INDEX(Batches!$G$5:$G$64,MATCH(B917,Batches!$A$5:$A$64,0))="","",INDEX(Batches!$G$5:$G$64,MATCH(B917,Batches!$A$5:$A$64,0))),"")))</f>
        <v/>
      </c>
      <c r="U917" s="23"/>
      <c r="V917" s="24"/>
      <c r="W917" s="28" t="str">
        <f aca="false">IF(OR(X917="",X917="Pending"),"",IF(V917&lt;&gt;"",V917,IFERROR(IF(INDEX(Batches!$H$5:$H$64,MATCH(B917,Batches!$A$5:$A$64,0))="","",INDEX(Batches!$H$5:$H$64,MATCH(B917,Batches!$A$5:$A$64,0))),"")))</f>
        <v/>
      </c>
      <c r="X917" s="23"/>
      <c r="Y917" s="23"/>
      <c r="Z917" s="26"/>
      <c r="AA917" s="27" t="str">
        <f aca="false">IF(R917="","",IF(X917="Not accepted",R917,IF(OR(X917="Accepted",X917="Withdrawn by hospital"),IF(X917="Accepted",0,R917),IF(ISNUMBER(Z917),R917-Z917,""))))</f>
        <v/>
      </c>
      <c r="AB917" s="23"/>
      <c r="AC917" s="25"/>
      <c r="AD917" s="23"/>
      <c r="AE917" s="23"/>
      <c r="AF917" s="24"/>
      <c r="AG917" s="23"/>
      <c r="AH917" s="24"/>
      <c r="AI917" s="29" t="str">
        <f aca="false">IF(X917="Not accepted","Maintained",IF(X917="Partially accepted","Partially maintained",IF(X917="Accepted","Reversed",IF(X917="Withdrawn by hospital","Withdrawn by hospital",""))))</f>
        <v/>
      </c>
      <c r="AJ917" s="28" t="str">
        <f aca="false">IF(AI917="","",W917)</f>
        <v/>
      </c>
      <c r="AK917" s="29" t="str">
        <f aca="false">IF(AND(ISNUMBER(T917),ISNUMBER(W917)),W917-T917,"")</f>
        <v/>
      </c>
      <c r="AL917" s="29" t="str">
        <f aca="false">IF(A917="","",SUMIF(Actions!$C$5:$C$1004,A917,Actions!$F$5:$F$1004))</f>
        <v/>
      </c>
      <c r="AM917" s="25"/>
    </row>
    <row r="918" customFormat="false" ht="15" hidden="false" customHeight="false" outlineLevel="0" collapsed="false">
      <c r="A918" s="23"/>
      <c r="B918" s="23"/>
      <c r="C918" s="23"/>
      <c r="D918" s="23"/>
      <c r="E918" s="23"/>
      <c r="F918" s="23"/>
      <c r="G918" s="23"/>
      <c r="H918" s="23"/>
      <c r="I918" s="23"/>
      <c r="J918" s="23"/>
      <c r="K918" s="24"/>
      <c r="L918" s="23"/>
      <c r="M918" s="25"/>
      <c r="N918" s="25"/>
      <c r="O918" s="23"/>
      <c r="P918" s="26"/>
      <c r="Q918" s="26"/>
      <c r="R918" s="27" t="str">
        <f aca="false">IF(AND(ISNUMBER(P918),ISNUMBER(Q918)),P918-Q918,"")</f>
        <v/>
      </c>
      <c r="S918" s="24"/>
      <c r="T918" s="28" t="str">
        <f aca="false">IF(S918&lt;&gt;"",S918,IF(B918="","",IFERROR(IF(INDEX(Batches!$G$5:$G$64,MATCH(B918,Batches!$A$5:$A$64,0))="","",INDEX(Batches!$G$5:$G$64,MATCH(B918,Batches!$A$5:$A$64,0))),"")))</f>
        <v/>
      </c>
      <c r="U918" s="23"/>
      <c r="V918" s="24"/>
      <c r="W918" s="28" t="str">
        <f aca="false">IF(OR(X918="",X918="Pending"),"",IF(V918&lt;&gt;"",V918,IFERROR(IF(INDEX(Batches!$H$5:$H$64,MATCH(B918,Batches!$A$5:$A$64,0))="","",INDEX(Batches!$H$5:$H$64,MATCH(B918,Batches!$A$5:$A$64,0))),"")))</f>
        <v/>
      </c>
      <c r="X918" s="23"/>
      <c r="Y918" s="23"/>
      <c r="Z918" s="26"/>
      <c r="AA918" s="27" t="str">
        <f aca="false">IF(R918="","",IF(X918="Not accepted",R918,IF(OR(X918="Accepted",X918="Withdrawn by hospital"),IF(X918="Accepted",0,R918),IF(ISNUMBER(Z918),R918-Z918,""))))</f>
        <v/>
      </c>
      <c r="AB918" s="23"/>
      <c r="AC918" s="25"/>
      <c r="AD918" s="23"/>
      <c r="AE918" s="23"/>
      <c r="AF918" s="24"/>
      <c r="AG918" s="23"/>
      <c r="AH918" s="24"/>
      <c r="AI918" s="29" t="str">
        <f aca="false">IF(X918="Not accepted","Maintained",IF(X918="Partially accepted","Partially maintained",IF(X918="Accepted","Reversed",IF(X918="Withdrawn by hospital","Withdrawn by hospital",""))))</f>
        <v/>
      </c>
      <c r="AJ918" s="28" t="str">
        <f aca="false">IF(AI918="","",W918)</f>
        <v/>
      </c>
      <c r="AK918" s="29" t="str">
        <f aca="false">IF(AND(ISNUMBER(T918),ISNUMBER(W918)),W918-T918,"")</f>
        <v/>
      </c>
      <c r="AL918" s="29" t="str">
        <f aca="false">IF(A918="","",SUMIF(Actions!$C$5:$C$1004,A918,Actions!$F$5:$F$1004))</f>
        <v/>
      </c>
      <c r="AM918" s="25"/>
    </row>
    <row r="919" customFormat="false" ht="15" hidden="false" customHeight="false" outlineLevel="0" collapsed="false">
      <c r="A919" s="23"/>
      <c r="B919" s="23"/>
      <c r="C919" s="23"/>
      <c r="D919" s="23"/>
      <c r="E919" s="23"/>
      <c r="F919" s="23"/>
      <c r="G919" s="23"/>
      <c r="H919" s="23"/>
      <c r="I919" s="23"/>
      <c r="J919" s="23"/>
      <c r="K919" s="24"/>
      <c r="L919" s="23"/>
      <c r="M919" s="25"/>
      <c r="N919" s="25"/>
      <c r="O919" s="23"/>
      <c r="P919" s="26"/>
      <c r="Q919" s="26"/>
      <c r="R919" s="27" t="str">
        <f aca="false">IF(AND(ISNUMBER(P919),ISNUMBER(Q919)),P919-Q919,"")</f>
        <v/>
      </c>
      <c r="S919" s="24"/>
      <c r="T919" s="28" t="str">
        <f aca="false">IF(S919&lt;&gt;"",S919,IF(B919="","",IFERROR(IF(INDEX(Batches!$G$5:$G$64,MATCH(B919,Batches!$A$5:$A$64,0))="","",INDEX(Batches!$G$5:$G$64,MATCH(B919,Batches!$A$5:$A$64,0))),"")))</f>
        <v/>
      </c>
      <c r="U919" s="23"/>
      <c r="V919" s="24"/>
      <c r="W919" s="28" t="str">
        <f aca="false">IF(OR(X919="",X919="Pending"),"",IF(V919&lt;&gt;"",V919,IFERROR(IF(INDEX(Batches!$H$5:$H$64,MATCH(B919,Batches!$A$5:$A$64,0))="","",INDEX(Batches!$H$5:$H$64,MATCH(B919,Batches!$A$5:$A$64,0))),"")))</f>
        <v/>
      </c>
      <c r="X919" s="23"/>
      <c r="Y919" s="23"/>
      <c r="Z919" s="26"/>
      <c r="AA919" s="27" t="str">
        <f aca="false">IF(R919="","",IF(X919="Not accepted",R919,IF(OR(X919="Accepted",X919="Withdrawn by hospital"),IF(X919="Accepted",0,R919),IF(ISNUMBER(Z919),R919-Z919,""))))</f>
        <v/>
      </c>
      <c r="AB919" s="23"/>
      <c r="AC919" s="25"/>
      <c r="AD919" s="23"/>
      <c r="AE919" s="23"/>
      <c r="AF919" s="24"/>
      <c r="AG919" s="23"/>
      <c r="AH919" s="24"/>
      <c r="AI919" s="29" t="str">
        <f aca="false">IF(X919="Not accepted","Maintained",IF(X919="Partially accepted","Partially maintained",IF(X919="Accepted","Reversed",IF(X919="Withdrawn by hospital","Withdrawn by hospital",""))))</f>
        <v/>
      </c>
      <c r="AJ919" s="28" t="str">
        <f aca="false">IF(AI919="","",W919)</f>
        <v/>
      </c>
      <c r="AK919" s="29" t="str">
        <f aca="false">IF(AND(ISNUMBER(T919),ISNUMBER(W919)),W919-T919,"")</f>
        <v/>
      </c>
      <c r="AL919" s="29" t="str">
        <f aca="false">IF(A919="","",SUMIF(Actions!$C$5:$C$1004,A919,Actions!$F$5:$F$1004))</f>
        <v/>
      </c>
      <c r="AM919" s="25"/>
    </row>
    <row r="920" customFormat="false" ht="15" hidden="false" customHeight="false" outlineLevel="0" collapsed="false">
      <c r="A920" s="23"/>
      <c r="B920" s="23"/>
      <c r="C920" s="23"/>
      <c r="D920" s="23"/>
      <c r="E920" s="23"/>
      <c r="F920" s="23"/>
      <c r="G920" s="23"/>
      <c r="H920" s="23"/>
      <c r="I920" s="23"/>
      <c r="J920" s="23"/>
      <c r="K920" s="24"/>
      <c r="L920" s="23"/>
      <c r="M920" s="25"/>
      <c r="N920" s="25"/>
      <c r="O920" s="23"/>
      <c r="P920" s="26"/>
      <c r="Q920" s="26"/>
      <c r="R920" s="27" t="str">
        <f aca="false">IF(AND(ISNUMBER(P920),ISNUMBER(Q920)),P920-Q920,"")</f>
        <v/>
      </c>
      <c r="S920" s="24"/>
      <c r="T920" s="28" t="str">
        <f aca="false">IF(S920&lt;&gt;"",S920,IF(B920="","",IFERROR(IF(INDEX(Batches!$G$5:$G$64,MATCH(B920,Batches!$A$5:$A$64,0))="","",INDEX(Batches!$G$5:$G$64,MATCH(B920,Batches!$A$5:$A$64,0))),"")))</f>
        <v/>
      </c>
      <c r="U920" s="23"/>
      <c r="V920" s="24"/>
      <c r="W920" s="28" t="str">
        <f aca="false">IF(OR(X920="",X920="Pending"),"",IF(V920&lt;&gt;"",V920,IFERROR(IF(INDEX(Batches!$H$5:$H$64,MATCH(B920,Batches!$A$5:$A$64,0))="","",INDEX(Batches!$H$5:$H$64,MATCH(B920,Batches!$A$5:$A$64,0))),"")))</f>
        <v/>
      </c>
      <c r="X920" s="23"/>
      <c r="Y920" s="23"/>
      <c r="Z920" s="26"/>
      <c r="AA920" s="27" t="str">
        <f aca="false">IF(R920="","",IF(X920="Not accepted",R920,IF(OR(X920="Accepted",X920="Withdrawn by hospital"),IF(X920="Accepted",0,R920),IF(ISNUMBER(Z920),R920-Z920,""))))</f>
        <v/>
      </c>
      <c r="AB920" s="23"/>
      <c r="AC920" s="25"/>
      <c r="AD920" s="23"/>
      <c r="AE920" s="23"/>
      <c r="AF920" s="24"/>
      <c r="AG920" s="23"/>
      <c r="AH920" s="24"/>
      <c r="AI920" s="29" t="str">
        <f aca="false">IF(X920="Not accepted","Maintained",IF(X920="Partially accepted","Partially maintained",IF(X920="Accepted","Reversed",IF(X920="Withdrawn by hospital","Withdrawn by hospital",""))))</f>
        <v/>
      </c>
      <c r="AJ920" s="28" t="str">
        <f aca="false">IF(AI920="","",W920)</f>
        <v/>
      </c>
      <c r="AK920" s="29" t="str">
        <f aca="false">IF(AND(ISNUMBER(T920),ISNUMBER(W920)),W920-T920,"")</f>
        <v/>
      </c>
      <c r="AL920" s="29" t="str">
        <f aca="false">IF(A920="","",SUMIF(Actions!$C$5:$C$1004,A920,Actions!$F$5:$F$1004))</f>
        <v/>
      </c>
      <c r="AM920" s="25"/>
    </row>
    <row r="921" customFormat="false" ht="15" hidden="false" customHeight="false" outlineLevel="0" collapsed="false">
      <c r="A921" s="23"/>
      <c r="B921" s="23"/>
      <c r="C921" s="23"/>
      <c r="D921" s="23"/>
      <c r="E921" s="23"/>
      <c r="F921" s="23"/>
      <c r="G921" s="23"/>
      <c r="H921" s="23"/>
      <c r="I921" s="23"/>
      <c r="J921" s="23"/>
      <c r="K921" s="24"/>
      <c r="L921" s="23"/>
      <c r="M921" s="25"/>
      <c r="N921" s="25"/>
      <c r="O921" s="23"/>
      <c r="P921" s="26"/>
      <c r="Q921" s="26"/>
      <c r="R921" s="27" t="str">
        <f aca="false">IF(AND(ISNUMBER(P921),ISNUMBER(Q921)),P921-Q921,"")</f>
        <v/>
      </c>
      <c r="S921" s="24"/>
      <c r="T921" s="28" t="str">
        <f aca="false">IF(S921&lt;&gt;"",S921,IF(B921="","",IFERROR(IF(INDEX(Batches!$G$5:$G$64,MATCH(B921,Batches!$A$5:$A$64,0))="","",INDEX(Batches!$G$5:$G$64,MATCH(B921,Batches!$A$5:$A$64,0))),"")))</f>
        <v/>
      </c>
      <c r="U921" s="23"/>
      <c r="V921" s="24"/>
      <c r="W921" s="28" t="str">
        <f aca="false">IF(OR(X921="",X921="Pending"),"",IF(V921&lt;&gt;"",V921,IFERROR(IF(INDEX(Batches!$H$5:$H$64,MATCH(B921,Batches!$A$5:$A$64,0))="","",INDEX(Batches!$H$5:$H$64,MATCH(B921,Batches!$A$5:$A$64,0))),"")))</f>
        <v/>
      </c>
      <c r="X921" s="23"/>
      <c r="Y921" s="23"/>
      <c r="Z921" s="26"/>
      <c r="AA921" s="27" t="str">
        <f aca="false">IF(R921="","",IF(X921="Not accepted",R921,IF(OR(X921="Accepted",X921="Withdrawn by hospital"),IF(X921="Accepted",0,R921),IF(ISNUMBER(Z921),R921-Z921,""))))</f>
        <v/>
      </c>
      <c r="AB921" s="23"/>
      <c r="AC921" s="25"/>
      <c r="AD921" s="23"/>
      <c r="AE921" s="23"/>
      <c r="AF921" s="24"/>
      <c r="AG921" s="23"/>
      <c r="AH921" s="24"/>
      <c r="AI921" s="29" t="str">
        <f aca="false">IF(X921="Not accepted","Maintained",IF(X921="Partially accepted","Partially maintained",IF(X921="Accepted","Reversed",IF(X921="Withdrawn by hospital","Withdrawn by hospital",""))))</f>
        <v/>
      </c>
      <c r="AJ921" s="28" t="str">
        <f aca="false">IF(AI921="","",W921)</f>
        <v/>
      </c>
      <c r="AK921" s="29" t="str">
        <f aca="false">IF(AND(ISNUMBER(T921),ISNUMBER(W921)),W921-T921,"")</f>
        <v/>
      </c>
      <c r="AL921" s="29" t="str">
        <f aca="false">IF(A921="","",SUMIF(Actions!$C$5:$C$1004,A921,Actions!$F$5:$F$1004))</f>
        <v/>
      </c>
      <c r="AM921" s="25"/>
    </row>
    <row r="922" customFormat="false" ht="15" hidden="false" customHeight="false" outlineLevel="0" collapsed="false">
      <c r="A922" s="23"/>
      <c r="B922" s="23"/>
      <c r="C922" s="23"/>
      <c r="D922" s="23"/>
      <c r="E922" s="23"/>
      <c r="F922" s="23"/>
      <c r="G922" s="23"/>
      <c r="H922" s="23"/>
      <c r="I922" s="23"/>
      <c r="J922" s="23"/>
      <c r="K922" s="24"/>
      <c r="L922" s="23"/>
      <c r="M922" s="25"/>
      <c r="N922" s="25"/>
      <c r="O922" s="23"/>
      <c r="P922" s="26"/>
      <c r="Q922" s="26"/>
      <c r="R922" s="27" t="str">
        <f aca="false">IF(AND(ISNUMBER(P922),ISNUMBER(Q922)),P922-Q922,"")</f>
        <v/>
      </c>
      <c r="S922" s="24"/>
      <c r="T922" s="28" t="str">
        <f aca="false">IF(S922&lt;&gt;"",S922,IF(B922="","",IFERROR(IF(INDEX(Batches!$G$5:$G$64,MATCH(B922,Batches!$A$5:$A$64,0))="","",INDEX(Batches!$G$5:$G$64,MATCH(B922,Batches!$A$5:$A$64,0))),"")))</f>
        <v/>
      </c>
      <c r="U922" s="23"/>
      <c r="V922" s="24"/>
      <c r="W922" s="28" t="str">
        <f aca="false">IF(OR(X922="",X922="Pending"),"",IF(V922&lt;&gt;"",V922,IFERROR(IF(INDEX(Batches!$H$5:$H$64,MATCH(B922,Batches!$A$5:$A$64,0))="","",INDEX(Batches!$H$5:$H$64,MATCH(B922,Batches!$A$5:$A$64,0))),"")))</f>
        <v/>
      </c>
      <c r="X922" s="23"/>
      <c r="Y922" s="23"/>
      <c r="Z922" s="26"/>
      <c r="AA922" s="27" t="str">
        <f aca="false">IF(R922="","",IF(X922="Not accepted",R922,IF(OR(X922="Accepted",X922="Withdrawn by hospital"),IF(X922="Accepted",0,R922),IF(ISNUMBER(Z922),R922-Z922,""))))</f>
        <v/>
      </c>
      <c r="AB922" s="23"/>
      <c r="AC922" s="25"/>
      <c r="AD922" s="23"/>
      <c r="AE922" s="23"/>
      <c r="AF922" s="24"/>
      <c r="AG922" s="23"/>
      <c r="AH922" s="24"/>
      <c r="AI922" s="29" t="str">
        <f aca="false">IF(X922="Not accepted","Maintained",IF(X922="Partially accepted","Partially maintained",IF(X922="Accepted","Reversed",IF(X922="Withdrawn by hospital","Withdrawn by hospital",""))))</f>
        <v/>
      </c>
      <c r="AJ922" s="28" t="str">
        <f aca="false">IF(AI922="","",W922)</f>
        <v/>
      </c>
      <c r="AK922" s="29" t="str">
        <f aca="false">IF(AND(ISNUMBER(T922),ISNUMBER(W922)),W922-T922,"")</f>
        <v/>
      </c>
      <c r="AL922" s="29" t="str">
        <f aca="false">IF(A922="","",SUMIF(Actions!$C$5:$C$1004,A922,Actions!$F$5:$F$1004))</f>
        <v/>
      </c>
      <c r="AM922" s="25"/>
    </row>
    <row r="923" customFormat="false" ht="15" hidden="false" customHeight="false" outlineLevel="0" collapsed="false">
      <c r="A923" s="23"/>
      <c r="B923" s="23"/>
      <c r="C923" s="23"/>
      <c r="D923" s="23"/>
      <c r="E923" s="23"/>
      <c r="F923" s="23"/>
      <c r="G923" s="23"/>
      <c r="H923" s="23"/>
      <c r="I923" s="23"/>
      <c r="J923" s="23"/>
      <c r="K923" s="24"/>
      <c r="L923" s="23"/>
      <c r="M923" s="25"/>
      <c r="N923" s="25"/>
      <c r="O923" s="23"/>
      <c r="P923" s="26"/>
      <c r="Q923" s="26"/>
      <c r="R923" s="27" t="str">
        <f aca="false">IF(AND(ISNUMBER(P923),ISNUMBER(Q923)),P923-Q923,"")</f>
        <v/>
      </c>
      <c r="S923" s="24"/>
      <c r="T923" s="28" t="str">
        <f aca="false">IF(S923&lt;&gt;"",S923,IF(B923="","",IFERROR(IF(INDEX(Batches!$G$5:$G$64,MATCH(B923,Batches!$A$5:$A$64,0))="","",INDEX(Batches!$G$5:$G$64,MATCH(B923,Batches!$A$5:$A$64,0))),"")))</f>
        <v/>
      </c>
      <c r="U923" s="23"/>
      <c r="V923" s="24"/>
      <c r="W923" s="28" t="str">
        <f aca="false">IF(OR(X923="",X923="Pending"),"",IF(V923&lt;&gt;"",V923,IFERROR(IF(INDEX(Batches!$H$5:$H$64,MATCH(B923,Batches!$A$5:$A$64,0))="","",INDEX(Batches!$H$5:$H$64,MATCH(B923,Batches!$A$5:$A$64,0))),"")))</f>
        <v/>
      </c>
      <c r="X923" s="23"/>
      <c r="Y923" s="23"/>
      <c r="Z923" s="26"/>
      <c r="AA923" s="27" t="str">
        <f aca="false">IF(R923="","",IF(X923="Not accepted",R923,IF(OR(X923="Accepted",X923="Withdrawn by hospital"),IF(X923="Accepted",0,R923),IF(ISNUMBER(Z923),R923-Z923,""))))</f>
        <v/>
      </c>
      <c r="AB923" s="23"/>
      <c r="AC923" s="25"/>
      <c r="AD923" s="23"/>
      <c r="AE923" s="23"/>
      <c r="AF923" s="24"/>
      <c r="AG923" s="23"/>
      <c r="AH923" s="24"/>
      <c r="AI923" s="29" t="str">
        <f aca="false">IF(X923="Not accepted","Maintained",IF(X923="Partially accepted","Partially maintained",IF(X923="Accepted","Reversed",IF(X923="Withdrawn by hospital","Withdrawn by hospital",""))))</f>
        <v/>
      </c>
      <c r="AJ923" s="28" t="str">
        <f aca="false">IF(AI923="","",W923)</f>
        <v/>
      </c>
      <c r="AK923" s="29" t="str">
        <f aca="false">IF(AND(ISNUMBER(T923),ISNUMBER(W923)),W923-T923,"")</f>
        <v/>
      </c>
      <c r="AL923" s="29" t="str">
        <f aca="false">IF(A923="","",SUMIF(Actions!$C$5:$C$1004,A923,Actions!$F$5:$F$1004))</f>
        <v/>
      </c>
      <c r="AM923" s="25"/>
    </row>
    <row r="924" customFormat="false" ht="15" hidden="false" customHeight="false" outlineLevel="0" collapsed="false">
      <c r="A924" s="23"/>
      <c r="B924" s="23"/>
      <c r="C924" s="23"/>
      <c r="D924" s="23"/>
      <c r="E924" s="23"/>
      <c r="F924" s="23"/>
      <c r="G924" s="23"/>
      <c r="H924" s="23"/>
      <c r="I924" s="23"/>
      <c r="J924" s="23"/>
      <c r="K924" s="24"/>
      <c r="L924" s="23"/>
      <c r="M924" s="25"/>
      <c r="N924" s="25"/>
      <c r="O924" s="23"/>
      <c r="P924" s="26"/>
      <c r="Q924" s="26"/>
      <c r="R924" s="27" t="str">
        <f aca="false">IF(AND(ISNUMBER(P924),ISNUMBER(Q924)),P924-Q924,"")</f>
        <v/>
      </c>
      <c r="S924" s="24"/>
      <c r="T924" s="28" t="str">
        <f aca="false">IF(S924&lt;&gt;"",S924,IF(B924="","",IFERROR(IF(INDEX(Batches!$G$5:$G$64,MATCH(B924,Batches!$A$5:$A$64,0))="","",INDEX(Batches!$G$5:$G$64,MATCH(B924,Batches!$A$5:$A$64,0))),"")))</f>
        <v/>
      </c>
      <c r="U924" s="23"/>
      <c r="V924" s="24"/>
      <c r="W924" s="28" t="str">
        <f aca="false">IF(OR(X924="",X924="Pending"),"",IF(V924&lt;&gt;"",V924,IFERROR(IF(INDEX(Batches!$H$5:$H$64,MATCH(B924,Batches!$A$5:$A$64,0))="","",INDEX(Batches!$H$5:$H$64,MATCH(B924,Batches!$A$5:$A$64,0))),"")))</f>
        <v/>
      </c>
      <c r="X924" s="23"/>
      <c r="Y924" s="23"/>
      <c r="Z924" s="26"/>
      <c r="AA924" s="27" t="str">
        <f aca="false">IF(R924="","",IF(X924="Not accepted",R924,IF(OR(X924="Accepted",X924="Withdrawn by hospital"),IF(X924="Accepted",0,R924),IF(ISNUMBER(Z924),R924-Z924,""))))</f>
        <v/>
      </c>
      <c r="AB924" s="23"/>
      <c r="AC924" s="25"/>
      <c r="AD924" s="23"/>
      <c r="AE924" s="23"/>
      <c r="AF924" s="24"/>
      <c r="AG924" s="23"/>
      <c r="AH924" s="24"/>
      <c r="AI924" s="29" t="str">
        <f aca="false">IF(X924="Not accepted","Maintained",IF(X924="Partially accepted","Partially maintained",IF(X924="Accepted","Reversed",IF(X924="Withdrawn by hospital","Withdrawn by hospital",""))))</f>
        <v/>
      </c>
      <c r="AJ924" s="28" t="str">
        <f aca="false">IF(AI924="","",W924)</f>
        <v/>
      </c>
      <c r="AK924" s="29" t="str">
        <f aca="false">IF(AND(ISNUMBER(T924),ISNUMBER(W924)),W924-T924,"")</f>
        <v/>
      </c>
      <c r="AL924" s="29" t="str">
        <f aca="false">IF(A924="","",SUMIF(Actions!$C$5:$C$1004,A924,Actions!$F$5:$F$1004))</f>
        <v/>
      </c>
      <c r="AM924" s="25"/>
    </row>
    <row r="925" customFormat="false" ht="15" hidden="false" customHeight="false" outlineLevel="0" collapsed="false">
      <c r="A925" s="23"/>
      <c r="B925" s="23"/>
      <c r="C925" s="23"/>
      <c r="D925" s="23"/>
      <c r="E925" s="23"/>
      <c r="F925" s="23"/>
      <c r="G925" s="23"/>
      <c r="H925" s="23"/>
      <c r="I925" s="23"/>
      <c r="J925" s="23"/>
      <c r="K925" s="24"/>
      <c r="L925" s="23"/>
      <c r="M925" s="25"/>
      <c r="N925" s="25"/>
      <c r="O925" s="23"/>
      <c r="P925" s="26"/>
      <c r="Q925" s="26"/>
      <c r="R925" s="27" t="str">
        <f aca="false">IF(AND(ISNUMBER(P925),ISNUMBER(Q925)),P925-Q925,"")</f>
        <v/>
      </c>
      <c r="S925" s="24"/>
      <c r="T925" s="28" t="str">
        <f aca="false">IF(S925&lt;&gt;"",S925,IF(B925="","",IFERROR(IF(INDEX(Batches!$G$5:$G$64,MATCH(B925,Batches!$A$5:$A$64,0))="","",INDEX(Batches!$G$5:$G$64,MATCH(B925,Batches!$A$5:$A$64,0))),"")))</f>
        <v/>
      </c>
      <c r="U925" s="23"/>
      <c r="V925" s="24"/>
      <c r="W925" s="28" t="str">
        <f aca="false">IF(OR(X925="",X925="Pending"),"",IF(V925&lt;&gt;"",V925,IFERROR(IF(INDEX(Batches!$H$5:$H$64,MATCH(B925,Batches!$A$5:$A$64,0))="","",INDEX(Batches!$H$5:$H$64,MATCH(B925,Batches!$A$5:$A$64,0))),"")))</f>
        <v/>
      </c>
      <c r="X925" s="23"/>
      <c r="Y925" s="23"/>
      <c r="Z925" s="26"/>
      <c r="AA925" s="27" t="str">
        <f aca="false">IF(R925="","",IF(X925="Not accepted",R925,IF(OR(X925="Accepted",X925="Withdrawn by hospital"),IF(X925="Accepted",0,R925),IF(ISNUMBER(Z925),R925-Z925,""))))</f>
        <v/>
      </c>
      <c r="AB925" s="23"/>
      <c r="AC925" s="25"/>
      <c r="AD925" s="23"/>
      <c r="AE925" s="23"/>
      <c r="AF925" s="24"/>
      <c r="AG925" s="23"/>
      <c r="AH925" s="24"/>
      <c r="AI925" s="29" t="str">
        <f aca="false">IF(X925="Not accepted","Maintained",IF(X925="Partially accepted","Partially maintained",IF(X925="Accepted","Reversed",IF(X925="Withdrawn by hospital","Withdrawn by hospital",""))))</f>
        <v/>
      </c>
      <c r="AJ925" s="28" t="str">
        <f aca="false">IF(AI925="","",W925)</f>
        <v/>
      </c>
      <c r="AK925" s="29" t="str">
        <f aca="false">IF(AND(ISNUMBER(T925),ISNUMBER(W925)),W925-T925,"")</f>
        <v/>
      </c>
      <c r="AL925" s="29" t="str">
        <f aca="false">IF(A925="","",SUMIF(Actions!$C$5:$C$1004,A925,Actions!$F$5:$F$1004))</f>
        <v/>
      </c>
      <c r="AM925" s="25"/>
    </row>
    <row r="926" customFormat="false" ht="15" hidden="false" customHeight="false" outlineLevel="0" collapsed="false">
      <c r="A926" s="23"/>
      <c r="B926" s="23"/>
      <c r="C926" s="23"/>
      <c r="D926" s="23"/>
      <c r="E926" s="23"/>
      <c r="F926" s="23"/>
      <c r="G926" s="23"/>
      <c r="H926" s="23"/>
      <c r="I926" s="23"/>
      <c r="J926" s="23"/>
      <c r="K926" s="24"/>
      <c r="L926" s="23"/>
      <c r="M926" s="25"/>
      <c r="N926" s="25"/>
      <c r="O926" s="23"/>
      <c r="P926" s="26"/>
      <c r="Q926" s="26"/>
      <c r="R926" s="27" t="str">
        <f aca="false">IF(AND(ISNUMBER(P926),ISNUMBER(Q926)),P926-Q926,"")</f>
        <v/>
      </c>
      <c r="S926" s="24"/>
      <c r="T926" s="28" t="str">
        <f aca="false">IF(S926&lt;&gt;"",S926,IF(B926="","",IFERROR(IF(INDEX(Batches!$G$5:$G$64,MATCH(B926,Batches!$A$5:$A$64,0))="","",INDEX(Batches!$G$5:$G$64,MATCH(B926,Batches!$A$5:$A$64,0))),"")))</f>
        <v/>
      </c>
      <c r="U926" s="23"/>
      <c r="V926" s="24"/>
      <c r="W926" s="28" t="str">
        <f aca="false">IF(OR(X926="",X926="Pending"),"",IF(V926&lt;&gt;"",V926,IFERROR(IF(INDEX(Batches!$H$5:$H$64,MATCH(B926,Batches!$A$5:$A$64,0))="","",INDEX(Batches!$H$5:$H$64,MATCH(B926,Batches!$A$5:$A$64,0))),"")))</f>
        <v/>
      </c>
      <c r="X926" s="23"/>
      <c r="Y926" s="23"/>
      <c r="Z926" s="26"/>
      <c r="AA926" s="27" t="str">
        <f aca="false">IF(R926="","",IF(X926="Not accepted",R926,IF(OR(X926="Accepted",X926="Withdrawn by hospital"),IF(X926="Accepted",0,R926),IF(ISNUMBER(Z926),R926-Z926,""))))</f>
        <v/>
      </c>
      <c r="AB926" s="23"/>
      <c r="AC926" s="25"/>
      <c r="AD926" s="23"/>
      <c r="AE926" s="23"/>
      <c r="AF926" s="24"/>
      <c r="AG926" s="23"/>
      <c r="AH926" s="24"/>
      <c r="AI926" s="29" t="str">
        <f aca="false">IF(X926="Not accepted","Maintained",IF(X926="Partially accepted","Partially maintained",IF(X926="Accepted","Reversed",IF(X926="Withdrawn by hospital","Withdrawn by hospital",""))))</f>
        <v/>
      </c>
      <c r="AJ926" s="28" t="str">
        <f aca="false">IF(AI926="","",W926)</f>
        <v/>
      </c>
      <c r="AK926" s="29" t="str">
        <f aca="false">IF(AND(ISNUMBER(T926),ISNUMBER(W926)),W926-T926,"")</f>
        <v/>
      </c>
      <c r="AL926" s="29" t="str">
        <f aca="false">IF(A926="","",SUMIF(Actions!$C$5:$C$1004,A926,Actions!$F$5:$F$1004))</f>
        <v/>
      </c>
      <c r="AM926" s="25"/>
    </row>
    <row r="927" customFormat="false" ht="15" hidden="false" customHeight="false" outlineLevel="0" collapsed="false">
      <c r="A927" s="23"/>
      <c r="B927" s="23"/>
      <c r="C927" s="23"/>
      <c r="D927" s="23"/>
      <c r="E927" s="23"/>
      <c r="F927" s="23"/>
      <c r="G927" s="23"/>
      <c r="H927" s="23"/>
      <c r="I927" s="23"/>
      <c r="J927" s="23"/>
      <c r="K927" s="24"/>
      <c r="L927" s="23"/>
      <c r="M927" s="25"/>
      <c r="N927" s="25"/>
      <c r="O927" s="23"/>
      <c r="P927" s="26"/>
      <c r="Q927" s="26"/>
      <c r="R927" s="27" t="str">
        <f aca="false">IF(AND(ISNUMBER(P927),ISNUMBER(Q927)),P927-Q927,"")</f>
        <v/>
      </c>
      <c r="S927" s="24"/>
      <c r="T927" s="28" t="str">
        <f aca="false">IF(S927&lt;&gt;"",S927,IF(B927="","",IFERROR(IF(INDEX(Batches!$G$5:$G$64,MATCH(B927,Batches!$A$5:$A$64,0))="","",INDEX(Batches!$G$5:$G$64,MATCH(B927,Batches!$A$5:$A$64,0))),"")))</f>
        <v/>
      </c>
      <c r="U927" s="23"/>
      <c r="V927" s="24"/>
      <c r="W927" s="28" t="str">
        <f aca="false">IF(OR(X927="",X927="Pending"),"",IF(V927&lt;&gt;"",V927,IFERROR(IF(INDEX(Batches!$H$5:$H$64,MATCH(B927,Batches!$A$5:$A$64,0))="","",INDEX(Batches!$H$5:$H$64,MATCH(B927,Batches!$A$5:$A$64,0))),"")))</f>
        <v/>
      </c>
      <c r="X927" s="23"/>
      <c r="Y927" s="23"/>
      <c r="Z927" s="26"/>
      <c r="AA927" s="27" t="str">
        <f aca="false">IF(R927="","",IF(X927="Not accepted",R927,IF(OR(X927="Accepted",X927="Withdrawn by hospital"),IF(X927="Accepted",0,R927),IF(ISNUMBER(Z927),R927-Z927,""))))</f>
        <v/>
      </c>
      <c r="AB927" s="23"/>
      <c r="AC927" s="25"/>
      <c r="AD927" s="23"/>
      <c r="AE927" s="23"/>
      <c r="AF927" s="24"/>
      <c r="AG927" s="23"/>
      <c r="AH927" s="24"/>
      <c r="AI927" s="29" t="str">
        <f aca="false">IF(X927="Not accepted","Maintained",IF(X927="Partially accepted","Partially maintained",IF(X927="Accepted","Reversed",IF(X927="Withdrawn by hospital","Withdrawn by hospital",""))))</f>
        <v/>
      </c>
      <c r="AJ927" s="28" t="str">
        <f aca="false">IF(AI927="","",W927)</f>
        <v/>
      </c>
      <c r="AK927" s="29" t="str">
        <f aca="false">IF(AND(ISNUMBER(T927),ISNUMBER(W927)),W927-T927,"")</f>
        <v/>
      </c>
      <c r="AL927" s="29" t="str">
        <f aca="false">IF(A927="","",SUMIF(Actions!$C$5:$C$1004,A927,Actions!$F$5:$F$1004))</f>
        <v/>
      </c>
      <c r="AM927" s="25"/>
    </row>
    <row r="928" customFormat="false" ht="15" hidden="false" customHeight="false" outlineLevel="0" collapsed="false">
      <c r="A928" s="23"/>
      <c r="B928" s="23"/>
      <c r="C928" s="23"/>
      <c r="D928" s="23"/>
      <c r="E928" s="23"/>
      <c r="F928" s="23"/>
      <c r="G928" s="23"/>
      <c r="H928" s="23"/>
      <c r="I928" s="23"/>
      <c r="J928" s="23"/>
      <c r="K928" s="24"/>
      <c r="L928" s="23"/>
      <c r="M928" s="25"/>
      <c r="N928" s="25"/>
      <c r="O928" s="23"/>
      <c r="P928" s="26"/>
      <c r="Q928" s="26"/>
      <c r="R928" s="27" t="str">
        <f aca="false">IF(AND(ISNUMBER(P928),ISNUMBER(Q928)),P928-Q928,"")</f>
        <v/>
      </c>
      <c r="S928" s="24"/>
      <c r="T928" s="28" t="str">
        <f aca="false">IF(S928&lt;&gt;"",S928,IF(B928="","",IFERROR(IF(INDEX(Batches!$G$5:$G$64,MATCH(B928,Batches!$A$5:$A$64,0))="","",INDEX(Batches!$G$5:$G$64,MATCH(B928,Batches!$A$5:$A$64,0))),"")))</f>
        <v/>
      </c>
      <c r="U928" s="23"/>
      <c r="V928" s="24"/>
      <c r="W928" s="28" t="str">
        <f aca="false">IF(OR(X928="",X928="Pending"),"",IF(V928&lt;&gt;"",V928,IFERROR(IF(INDEX(Batches!$H$5:$H$64,MATCH(B928,Batches!$A$5:$A$64,0))="","",INDEX(Batches!$H$5:$H$64,MATCH(B928,Batches!$A$5:$A$64,0))),"")))</f>
        <v/>
      </c>
      <c r="X928" s="23"/>
      <c r="Y928" s="23"/>
      <c r="Z928" s="26"/>
      <c r="AA928" s="27" t="str">
        <f aca="false">IF(R928="","",IF(X928="Not accepted",R928,IF(OR(X928="Accepted",X928="Withdrawn by hospital"),IF(X928="Accepted",0,R928),IF(ISNUMBER(Z928),R928-Z928,""))))</f>
        <v/>
      </c>
      <c r="AB928" s="23"/>
      <c r="AC928" s="25"/>
      <c r="AD928" s="23"/>
      <c r="AE928" s="23"/>
      <c r="AF928" s="24"/>
      <c r="AG928" s="23"/>
      <c r="AH928" s="24"/>
      <c r="AI928" s="29" t="str">
        <f aca="false">IF(X928="Not accepted","Maintained",IF(X928="Partially accepted","Partially maintained",IF(X928="Accepted","Reversed",IF(X928="Withdrawn by hospital","Withdrawn by hospital",""))))</f>
        <v/>
      </c>
      <c r="AJ928" s="28" t="str">
        <f aca="false">IF(AI928="","",W928)</f>
        <v/>
      </c>
      <c r="AK928" s="29" t="str">
        <f aca="false">IF(AND(ISNUMBER(T928),ISNUMBER(W928)),W928-T928,"")</f>
        <v/>
      </c>
      <c r="AL928" s="29" t="str">
        <f aca="false">IF(A928="","",SUMIF(Actions!$C$5:$C$1004,A928,Actions!$F$5:$F$1004))</f>
        <v/>
      </c>
      <c r="AM928" s="25"/>
    </row>
    <row r="929" customFormat="false" ht="15" hidden="false" customHeight="false" outlineLevel="0" collapsed="false">
      <c r="A929" s="23"/>
      <c r="B929" s="23"/>
      <c r="C929" s="23"/>
      <c r="D929" s="23"/>
      <c r="E929" s="23"/>
      <c r="F929" s="23"/>
      <c r="G929" s="23"/>
      <c r="H929" s="23"/>
      <c r="I929" s="23"/>
      <c r="J929" s="23"/>
      <c r="K929" s="24"/>
      <c r="L929" s="23"/>
      <c r="M929" s="25"/>
      <c r="N929" s="25"/>
      <c r="O929" s="23"/>
      <c r="P929" s="26"/>
      <c r="Q929" s="26"/>
      <c r="R929" s="27" t="str">
        <f aca="false">IF(AND(ISNUMBER(P929),ISNUMBER(Q929)),P929-Q929,"")</f>
        <v/>
      </c>
      <c r="S929" s="24"/>
      <c r="T929" s="28" t="str">
        <f aca="false">IF(S929&lt;&gt;"",S929,IF(B929="","",IFERROR(IF(INDEX(Batches!$G$5:$G$64,MATCH(B929,Batches!$A$5:$A$64,0))="","",INDEX(Batches!$G$5:$G$64,MATCH(B929,Batches!$A$5:$A$64,0))),"")))</f>
        <v/>
      </c>
      <c r="U929" s="23"/>
      <c r="V929" s="24"/>
      <c r="W929" s="28" t="str">
        <f aca="false">IF(OR(X929="",X929="Pending"),"",IF(V929&lt;&gt;"",V929,IFERROR(IF(INDEX(Batches!$H$5:$H$64,MATCH(B929,Batches!$A$5:$A$64,0))="","",INDEX(Batches!$H$5:$H$64,MATCH(B929,Batches!$A$5:$A$64,0))),"")))</f>
        <v/>
      </c>
      <c r="X929" s="23"/>
      <c r="Y929" s="23"/>
      <c r="Z929" s="26"/>
      <c r="AA929" s="27" t="str">
        <f aca="false">IF(R929="","",IF(X929="Not accepted",R929,IF(OR(X929="Accepted",X929="Withdrawn by hospital"),IF(X929="Accepted",0,R929),IF(ISNUMBER(Z929),R929-Z929,""))))</f>
        <v/>
      </c>
      <c r="AB929" s="23"/>
      <c r="AC929" s="25"/>
      <c r="AD929" s="23"/>
      <c r="AE929" s="23"/>
      <c r="AF929" s="24"/>
      <c r="AG929" s="23"/>
      <c r="AH929" s="24"/>
      <c r="AI929" s="29" t="str">
        <f aca="false">IF(X929="Not accepted","Maintained",IF(X929="Partially accepted","Partially maintained",IF(X929="Accepted","Reversed",IF(X929="Withdrawn by hospital","Withdrawn by hospital",""))))</f>
        <v/>
      </c>
      <c r="AJ929" s="28" t="str">
        <f aca="false">IF(AI929="","",W929)</f>
        <v/>
      </c>
      <c r="AK929" s="29" t="str">
        <f aca="false">IF(AND(ISNUMBER(T929),ISNUMBER(W929)),W929-T929,"")</f>
        <v/>
      </c>
      <c r="AL929" s="29" t="str">
        <f aca="false">IF(A929="","",SUMIF(Actions!$C$5:$C$1004,A929,Actions!$F$5:$F$1004))</f>
        <v/>
      </c>
      <c r="AM929" s="25"/>
    </row>
    <row r="930" customFormat="false" ht="15" hidden="false" customHeight="false" outlineLevel="0" collapsed="false">
      <c r="A930" s="23"/>
      <c r="B930" s="23"/>
      <c r="C930" s="23"/>
      <c r="D930" s="23"/>
      <c r="E930" s="23"/>
      <c r="F930" s="23"/>
      <c r="G930" s="23"/>
      <c r="H930" s="23"/>
      <c r="I930" s="23"/>
      <c r="J930" s="23"/>
      <c r="K930" s="24"/>
      <c r="L930" s="23"/>
      <c r="M930" s="25"/>
      <c r="N930" s="25"/>
      <c r="O930" s="23"/>
      <c r="P930" s="26"/>
      <c r="Q930" s="26"/>
      <c r="R930" s="27" t="str">
        <f aca="false">IF(AND(ISNUMBER(P930),ISNUMBER(Q930)),P930-Q930,"")</f>
        <v/>
      </c>
      <c r="S930" s="24"/>
      <c r="T930" s="28" t="str">
        <f aca="false">IF(S930&lt;&gt;"",S930,IF(B930="","",IFERROR(IF(INDEX(Batches!$G$5:$G$64,MATCH(B930,Batches!$A$5:$A$64,0))="","",INDEX(Batches!$G$5:$G$64,MATCH(B930,Batches!$A$5:$A$64,0))),"")))</f>
        <v/>
      </c>
      <c r="U930" s="23"/>
      <c r="V930" s="24"/>
      <c r="W930" s="28" t="str">
        <f aca="false">IF(OR(X930="",X930="Pending"),"",IF(V930&lt;&gt;"",V930,IFERROR(IF(INDEX(Batches!$H$5:$H$64,MATCH(B930,Batches!$A$5:$A$64,0))="","",INDEX(Batches!$H$5:$H$64,MATCH(B930,Batches!$A$5:$A$64,0))),"")))</f>
        <v/>
      </c>
      <c r="X930" s="23"/>
      <c r="Y930" s="23"/>
      <c r="Z930" s="26"/>
      <c r="AA930" s="27" t="str">
        <f aca="false">IF(R930="","",IF(X930="Not accepted",R930,IF(OR(X930="Accepted",X930="Withdrawn by hospital"),IF(X930="Accepted",0,R930),IF(ISNUMBER(Z930),R930-Z930,""))))</f>
        <v/>
      </c>
      <c r="AB930" s="23"/>
      <c r="AC930" s="25"/>
      <c r="AD930" s="23"/>
      <c r="AE930" s="23"/>
      <c r="AF930" s="24"/>
      <c r="AG930" s="23"/>
      <c r="AH930" s="24"/>
      <c r="AI930" s="29" t="str">
        <f aca="false">IF(X930="Not accepted","Maintained",IF(X930="Partially accepted","Partially maintained",IF(X930="Accepted","Reversed",IF(X930="Withdrawn by hospital","Withdrawn by hospital",""))))</f>
        <v/>
      </c>
      <c r="AJ930" s="28" t="str">
        <f aca="false">IF(AI930="","",W930)</f>
        <v/>
      </c>
      <c r="AK930" s="29" t="str">
        <f aca="false">IF(AND(ISNUMBER(T930),ISNUMBER(W930)),W930-T930,"")</f>
        <v/>
      </c>
      <c r="AL930" s="29" t="str">
        <f aca="false">IF(A930="","",SUMIF(Actions!$C$5:$C$1004,A930,Actions!$F$5:$F$1004))</f>
        <v/>
      </c>
      <c r="AM930" s="25"/>
    </row>
    <row r="931" customFormat="false" ht="15" hidden="false" customHeight="false" outlineLevel="0" collapsed="false">
      <c r="A931" s="23"/>
      <c r="B931" s="23"/>
      <c r="C931" s="23"/>
      <c r="D931" s="23"/>
      <c r="E931" s="23"/>
      <c r="F931" s="23"/>
      <c r="G931" s="23"/>
      <c r="H931" s="23"/>
      <c r="I931" s="23"/>
      <c r="J931" s="23"/>
      <c r="K931" s="24"/>
      <c r="L931" s="23"/>
      <c r="M931" s="25"/>
      <c r="N931" s="25"/>
      <c r="O931" s="23"/>
      <c r="P931" s="26"/>
      <c r="Q931" s="26"/>
      <c r="R931" s="27" t="str">
        <f aca="false">IF(AND(ISNUMBER(P931),ISNUMBER(Q931)),P931-Q931,"")</f>
        <v/>
      </c>
      <c r="S931" s="24"/>
      <c r="T931" s="28" t="str">
        <f aca="false">IF(S931&lt;&gt;"",S931,IF(B931="","",IFERROR(IF(INDEX(Batches!$G$5:$G$64,MATCH(B931,Batches!$A$5:$A$64,0))="","",INDEX(Batches!$G$5:$G$64,MATCH(B931,Batches!$A$5:$A$64,0))),"")))</f>
        <v/>
      </c>
      <c r="U931" s="23"/>
      <c r="V931" s="24"/>
      <c r="W931" s="28" t="str">
        <f aca="false">IF(OR(X931="",X931="Pending"),"",IF(V931&lt;&gt;"",V931,IFERROR(IF(INDEX(Batches!$H$5:$H$64,MATCH(B931,Batches!$A$5:$A$64,0))="","",INDEX(Batches!$H$5:$H$64,MATCH(B931,Batches!$A$5:$A$64,0))),"")))</f>
        <v/>
      </c>
      <c r="X931" s="23"/>
      <c r="Y931" s="23"/>
      <c r="Z931" s="26"/>
      <c r="AA931" s="27" t="str">
        <f aca="false">IF(R931="","",IF(X931="Not accepted",R931,IF(OR(X931="Accepted",X931="Withdrawn by hospital"),IF(X931="Accepted",0,R931),IF(ISNUMBER(Z931),R931-Z931,""))))</f>
        <v/>
      </c>
      <c r="AB931" s="23"/>
      <c r="AC931" s="25"/>
      <c r="AD931" s="23"/>
      <c r="AE931" s="23"/>
      <c r="AF931" s="24"/>
      <c r="AG931" s="23"/>
      <c r="AH931" s="24"/>
      <c r="AI931" s="29" t="str">
        <f aca="false">IF(X931="Not accepted","Maintained",IF(X931="Partially accepted","Partially maintained",IF(X931="Accepted","Reversed",IF(X931="Withdrawn by hospital","Withdrawn by hospital",""))))</f>
        <v/>
      </c>
      <c r="AJ931" s="28" t="str">
        <f aca="false">IF(AI931="","",W931)</f>
        <v/>
      </c>
      <c r="AK931" s="29" t="str">
        <f aca="false">IF(AND(ISNUMBER(T931),ISNUMBER(W931)),W931-T931,"")</f>
        <v/>
      </c>
      <c r="AL931" s="29" t="str">
        <f aca="false">IF(A931="","",SUMIF(Actions!$C$5:$C$1004,A931,Actions!$F$5:$F$1004))</f>
        <v/>
      </c>
      <c r="AM931" s="25"/>
    </row>
    <row r="932" customFormat="false" ht="15" hidden="false" customHeight="false" outlineLevel="0" collapsed="false">
      <c r="A932" s="23"/>
      <c r="B932" s="23"/>
      <c r="C932" s="23"/>
      <c r="D932" s="23"/>
      <c r="E932" s="23"/>
      <c r="F932" s="23"/>
      <c r="G932" s="23"/>
      <c r="H932" s="23"/>
      <c r="I932" s="23"/>
      <c r="J932" s="23"/>
      <c r="K932" s="24"/>
      <c r="L932" s="23"/>
      <c r="M932" s="25"/>
      <c r="N932" s="25"/>
      <c r="O932" s="23"/>
      <c r="P932" s="26"/>
      <c r="Q932" s="26"/>
      <c r="R932" s="27" t="str">
        <f aca="false">IF(AND(ISNUMBER(P932),ISNUMBER(Q932)),P932-Q932,"")</f>
        <v/>
      </c>
      <c r="S932" s="24"/>
      <c r="T932" s="28" t="str">
        <f aca="false">IF(S932&lt;&gt;"",S932,IF(B932="","",IFERROR(IF(INDEX(Batches!$G$5:$G$64,MATCH(B932,Batches!$A$5:$A$64,0))="","",INDEX(Batches!$G$5:$G$64,MATCH(B932,Batches!$A$5:$A$64,0))),"")))</f>
        <v/>
      </c>
      <c r="U932" s="23"/>
      <c r="V932" s="24"/>
      <c r="W932" s="28" t="str">
        <f aca="false">IF(OR(X932="",X932="Pending"),"",IF(V932&lt;&gt;"",V932,IFERROR(IF(INDEX(Batches!$H$5:$H$64,MATCH(B932,Batches!$A$5:$A$64,0))="","",INDEX(Batches!$H$5:$H$64,MATCH(B932,Batches!$A$5:$A$64,0))),"")))</f>
        <v/>
      </c>
      <c r="X932" s="23"/>
      <c r="Y932" s="23"/>
      <c r="Z932" s="26"/>
      <c r="AA932" s="27" t="str">
        <f aca="false">IF(R932="","",IF(X932="Not accepted",R932,IF(OR(X932="Accepted",X932="Withdrawn by hospital"),IF(X932="Accepted",0,R932),IF(ISNUMBER(Z932),R932-Z932,""))))</f>
        <v/>
      </c>
      <c r="AB932" s="23"/>
      <c r="AC932" s="25"/>
      <c r="AD932" s="23"/>
      <c r="AE932" s="23"/>
      <c r="AF932" s="24"/>
      <c r="AG932" s="23"/>
      <c r="AH932" s="24"/>
      <c r="AI932" s="29" t="str">
        <f aca="false">IF(X932="Not accepted","Maintained",IF(X932="Partially accepted","Partially maintained",IF(X932="Accepted","Reversed",IF(X932="Withdrawn by hospital","Withdrawn by hospital",""))))</f>
        <v/>
      </c>
      <c r="AJ932" s="28" t="str">
        <f aca="false">IF(AI932="","",W932)</f>
        <v/>
      </c>
      <c r="AK932" s="29" t="str">
        <f aca="false">IF(AND(ISNUMBER(T932),ISNUMBER(W932)),W932-T932,"")</f>
        <v/>
      </c>
      <c r="AL932" s="29" t="str">
        <f aca="false">IF(A932="","",SUMIF(Actions!$C$5:$C$1004,A932,Actions!$F$5:$F$1004))</f>
        <v/>
      </c>
      <c r="AM932" s="25"/>
    </row>
    <row r="933" customFormat="false" ht="15" hidden="false" customHeight="false" outlineLevel="0" collapsed="false">
      <c r="A933" s="23"/>
      <c r="B933" s="23"/>
      <c r="C933" s="23"/>
      <c r="D933" s="23"/>
      <c r="E933" s="23"/>
      <c r="F933" s="23"/>
      <c r="G933" s="23"/>
      <c r="H933" s="23"/>
      <c r="I933" s="23"/>
      <c r="J933" s="23"/>
      <c r="K933" s="24"/>
      <c r="L933" s="23"/>
      <c r="M933" s="25"/>
      <c r="N933" s="25"/>
      <c r="O933" s="23"/>
      <c r="P933" s="26"/>
      <c r="Q933" s="26"/>
      <c r="R933" s="27" t="str">
        <f aca="false">IF(AND(ISNUMBER(P933),ISNUMBER(Q933)),P933-Q933,"")</f>
        <v/>
      </c>
      <c r="S933" s="24"/>
      <c r="T933" s="28" t="str">
        <f aca="false">IF(S933&lt;&gt;"",S933,IF(B933="","",IFERROR(IF(INDEX(Batches!$G$5:$G$64,MATCH(B933,Batches!$A$5:$A$64,0))="","",INDEX(Batches!$G$5:$G$64,MATCH(B933,Batches!$A$5:$A$64,0))),"")))</f>
        <v/>
      </c>
      <c r="U933" s="23"/>
      <c r="V933" s="24"/>
      <c r="W933" s="28" t="str">
        <f aca="false">IF(OR(X933="",X933="Pending"),"",IF(V933&lt;&gt;"",V933,IFERROR(IF(INDEX(Batches!$H$5:$H$64,MATCH(B933,Batches!$A$5:$A$64,0))="","",INDEX(Batches!$H$5:$H$64,MATCH(B933,Batches!$A$5:$A$64,0))),"")))</f>
        <v/>
      </c>
      <c r="X933" s="23"/>
      <c r="Y933" s="23"/>
      <c r="Z933" s="26"/>
      <c r="AA933" s="27" t="str">
        <f aca="false">IF(R933="","",IF(X933="Not accepted",R933,IF(OR(X933="Accepted",X933="Withdrawn by hospital"),IF(X933="Accepted",0,R933),IF(ISNUMBER(Z933),R933-Z933,""))))</f>
        <v/>
      </c>
      <c r="AB933" s="23"/>
      <c r="AC933" s="25"/>
      <c r="AD933" s="23"/>
      <c r="AE933" s="23"/>
      <c r="AF933" s="24"/>
      <c r="AG933" s="23"/>
      <c r="AH933" s="24"/>
      <c r="AI933" s="29" t="str">
        <f aca="false">IF(X933="Not accepted","Maintained",IF(X933="Partially accepted","Partially maintained",IF(X933="Accepted","Reversed",IF(X933="Withdrawn by hospital","Withdrawn by hospital",""))))</f>
        <v/>
      </c>
      <c r="AJ933" s="28" t="str">
        <f aca="false">IF(AI933="","",W933)</f>
        <v/>
      </c>
      <c r="AK933" s="29" t="str">
        <f aca="false">IF(AND(ISNUMBER(T933),ISNUMBER(W933)),W933-T933,"")</f>
        <v/>
      </c>
      <c r="AL933" s="29" t="str">
        <f aca="false">IF(A933="","",SUMIF(Actions!$C$5:$C$1004,A933,Actions!$F$5:$F$1004))</f>
        <v/>
      </c>
      <c r="AM933" s="25"/>
    </row>
    <row r="934" customFormat="false" ht="15" hidden="false" customHeight="false" outlineLevel="0" collapsed="false">
      <c r="A934" s="23"/>
      <c r="B934" s="23"/>
      <c r="C934" s="23"/>
      <c r="D934" s="23"/>
      <c r="E934" s="23"/>
      <c r="F934" s="23"/>
      <c r="G934" s="23"/>
      <c r="H934" s="23"/>
      <c r="I934" s="23"/>
      <c r="J934" s="23"/>
      <c r="K934" s="24"/>
      <c r="L934" s="23"/>
      <c r="M934" s="25"/>
      <c r="N934" s="25"/>
      <c r="O934" s="23"/>
      <c r="P934" s="26"/>
      <c r="Q934" s="26"/>
      <c r="R934" s="27" t="str">
        <f aca="false">IF(AND(ISNUMBER(P934),ISNUMBER(Q934)),P934-Q934,"")</f>
        <v/>
      </c>
      <c r="S934" s="24"/>
      <c r="T934" s="28" t="str">
        <f aca="false">IF(S934&lt;&gt;"",S934,IF(B934="","",IFERROR(IF(INDEX(Batches!$G$5:$G$64,MATCH(B934,Batches!$A$5:$A$64,0))="","",INDEX(Batches!$G$5:$G$64,MATCH(B934,Batches!$A$5:$A$64,0))),"")))</f>
        <v/>
      </c>
      <c r="U934" s="23"/>
      <c r="V934" s="24"/>
      <c r="W934" s="28" t="str">
        <f aca="false">IF(OR(X934="",X934="Pending"),"",IF(V934&lt;&gt;"",V934,IFERROR(IF(INDEX(Batches!$H$5:$H$64,MATCH(B934,Batches!$A$5:$A$64,0))="","",INDEX(Batches!$H$5:$H$64,MATCH(B934,Batches!$A$5:$A$64,0))),"")))</f>
        <v/>
      </c>
      <c r="X934" s="23"/>
      <c r="Y934" s="23"/>
      <c r="Z934" s="26"/>
      <c r="AA934" s="27" t="str">
        <f aca="false">IF(R934="","",IF(X934="Not accepted",R934,IF(OR(X934="Accepted",X934="Withdrawn by hospital"),IF(X934="Accepted",0,R934),IF(ISNUMBER(Z934),R934-Z934,""))))</f>
        <v/>
      </c>
      <c r="AB934" s="23"/>
      <c r="AC934" s="25"/>
      <c r="AD934" s="23"/>
      <c r="AE934" s="23"/>
      <c r="AF934" s="24"/>
      <c r="AG934" s="23"/>
      <c r="AH934" s="24"/>
      <c r="AI934" s="29" t="str">
        <f aca="false">IF(X934="Not accepted","Maintained",IF(X934="Partially accepted","Partially maintained",IF(X934="Accepted","Reversed",IF(X934="Withdrawn by hospital","Withdrawn by hospital",""))))</f>
        <v/>
      </c>
      <c r="AJ934" s="28" t="str">
        <f aca="false">IF(AI934="","",W934)</f>
        <v/>
      </c>
      <c r="AK934" s="29" t="str">
        <f aca="false">IF(AND(ISNUMBER(T934),ISNUMBER(W934)),W934-T934,"")</f>
        <v/>
      </c>
      <c r="AL934" s="29" t="str">
        <f aca="false">IF(A934="","",SUMIF(Actions!$C$5:$C$1004,A934,Actions!$F$5:$F$1004))</f>
        <v/>
      </c>
      <c r="AM934" s="25"/>
    </row>
    <row r="935" customFormat="false" ht="15" hidden="false" customHeight="false" outlineLevel="0" collapsed="false">
      <c r="A935" s="23"/>
      <c r="B935" s="23"/>
      <c r="C935" s="23"/>
      <c r="D935" s="23"/>
      <c r="E935" s="23"/>
      <c r="F935" s="23"/>
      <c r="G935" s="23"/>
      <c r="H935" s="23"/>
      <c r="I935" s="23"/>
      <c r="J935" s="23"/>
      <c r="K935" s="24"/>
      <c r="L935" s="23"/>
      <c r="M935" s="25"/>
      <c r="N935" s="25"/>
      <c r="O935" s="23"/>
      <c r="P935" s="26"/>
      <c r="Q935" s="26"/>
      <c r="R935" s="27" t="str">
        <f aca="false">IF(AND(ISNUMBER(P935),ISNUMBER(Q935)),P935-Q935,"")</f>
        <v/>
      </c>
      <c r="S935" s="24"/>
      <c r="T935" s="28" t="str">
        <f aca="false">IF(S935&lt;&gt;"",S935,IF(B935="","",IFERROR(IF(INDEX(Batches!$G$5:$G$64,MATCH(B935,Batches!$A$5:$A$64,0))="","",INDEX(Batches!$G$5:$G$64,MATCH(B935,Batches!$A$5:$A$64,0))),"")))</f>
        <v/>
      </c>
      <c r="U935" s="23"/>
      <c r="V935" s="24"/>
      <c r="W935" s="28" t="str">
        <f aca="false">IF(OR(X935="",X935="Pending"),"",IF(V935&lt;&gt;"",V935,IFERROR(IF(INDEX(Batches!$H$5:$H$64,MATCH(B935,Batches!$A$5:$A$64,0))="","",INDEX(Batches!$H$5:$H$64,MATCH(B935,Batches!$A$5:$A$64,0))),"")))</f>
        <v/>
      </c>
      <c r="X935" s="23"/>
      <c r="Y935" s="23"/>
      <c r="Z935" s="26"/>
      <c r="AA935" s="27" t="str">
        <f aca="false">IF(R935="","",IF(X935="Not accepted",R935,IF(OR(X935="Accepted",X935="Withdrawn by hospital"),IF(X935="Accepted",0,R935),IF(ISNUMBER(Z935),R935-Z935,""))))</f>
        <v/>
      </c>
      <c r="AB935" s="23"/>
      <c r="AC935" s="25"/>
      <c r="AD935" s="23"/>
      <c r="AE935" s="23"/>
      <c r="AF935" s="24"/>
      <c r="AG935" s="23"/>
      <c r="AH935" s="24"/>
      <c r="AI935" s="29" t="str">
        <f aca="false">IF(X935="Not accepted","Maintained",IF(X935="Partially accepted","Partially maintained",IF(X935="Accepted","Reversed",IF(X935="Withdrawn by hospital","Withdrawn by hospital",""))))</f>
        <v/>
      </c>
      <c r="AJ935" s="28" t="str">
        <f aca="false">IF(AI935="","",W935)</f>
        <v/>
      </c>
      <c r="AK935" s="29" t="str">
        <f aca="false">IF(AND(ISNUMBER(T935),ISNUMBER(W935)),W935-T935,"")</f>
        <v/>
      </c>
      <c r="AL935" s="29" t="str">
        <f aca="false">IF(A935="","",SUMIF(Actions!$C$5:$C$1004,A935,Actions!$F$5:$F$1004))</f>
        <v/>
      </c>
      <c r="AM935" s="25"/>
    </row>
    <row r="936" customFormat="false" ht="15" hidden="false" customHeight="false" outlineLevel="0" collapsed="false">
      <c r="A936" s="23"/>
      <c r="B936" s="23"/>
      <c r="C936" s="23"/>
      <c r="D936" s="23"/>
      <c r="E936" s="23"/>
      <c r="F936" s="23"/>
      <c r="G936" s="23"/>
      <c r="H936" s="23"/>
      <c r="I936" s="23"/>
      <c r="J936" s="23"/>
      <c r="K936" s="24"/>
      <c r="L936" s="23"/>
      <c r="M936" s="25"/>
      <c r="N936" s="25"/>
      <c r="O936" s="23"/>
      <c r="P936" s="26"/>
      <c r="Q936" s="26"/>
      <c r="R936" s="27" t="str">
        <f aca="false">IF(AND(ISNUMBER(P936),ISNUMBER(Q936)),P936-Q936,"")</f>
        <v/>
      </c>
      <c r="S936" s="24"/>
      <c r="T936" s="28" t="str">
        <f aca="false">IF(S936&lt;&gt;"",S936,IF(B936="","",IFERROR(IF(INDEX(Batches!$G$5:$G$64,MATCH(B936,Batches!$A$5:$A$64,0))="","",INDEX(Batches!$G$5:$G$64,MATCH(B936,Batches!$A$5:$A$64,0))),"")))</f>
        <v/>
      </c>
      <c r="U936" s="23"/>
      <c r="V936" s="24"/>
      <c r="W936" s="28" t="str">
        <f aca="false">IF(OR(X936="",X936="Pending"),"",IF(V936&lt;&gt;"",V936,IFERROR(IF(INDEX(Batches!$H$5:$H$64,MATCH(B936,Batches!$A$5:$A$64,0))="","",INDEX(Batches!$H$5:$H$64,MATCH(B936,Batches!$A$5:$A$64,0))),"")))</f>
        <v/>
      </c>
      <c r="X936" s="23"/>
      <c r="Y936" s="23"/>
      <c r="Z936" s="26"/>
      <c r="AA936" s="27" t="str">
        <f aca="false">IF(R936="","",IF(X936="Not accepted",R936,IF(OR(X936="Accepted",X936="Withdrawn by hospital"),IF(X936="Accepted",0,R936),IF(ISNUMBER(Z936),R936-Z936,""))))</f>
        <v/>
      </c>
      <c r="AB936" s="23"/>
      <c r="AC936" s="25"/>
      <c r="AD936" s="23"/>
      <c r="AE936" s="23"/>
      <c r="AF936" s="24"/>
      <c r="AG936" s="23"/>
      <c r="AH936" s="24"/>
      <c r="AI936" s="29" t="str">
        <f aca="false">IF(X936="Not accepted","Maintained",IF(X936="Partially accepted","Partially maintained",IF(X936="Accepted","Reversed",IF(X936="Withdrawn by hospital","Withdrawn by hospital",""))))</f>
        <v/>
      </c>
      <c r="AJ936" s="28" t="str">
        <f aca="false">IF(AI936="","",W936)</f>
        <v/>
      </c>
      <c r="AK936" s="29" t="str">
        <f aca="false">IF(AND(ISNUMBER(T936),ISNUMBER(W936)),W936-T936,"")</f>
        <v/>
      </c>
      <c r="AL936" s="29" t="str">
        <f aca="false">IF(A936="","",SUMIF(Actions!$C$5:$C$1004,A936,Actions!$F$5:$F$1004))</f>
        <v/>
      </c>
      <c r="AM936" s="25"/>
    </row>
    <row r="937" customFormat="false" ht="15" hidden="false" customHeight="false" outlineLevel="0" collapsed="false">
      <c r="A937" s="23"/>
      <c r="B937" s="23"/>
      <c r="C937" s="23"/>
      <c r="D937" s="23"/>
      <c r="E937" s="23"/>
      <c r="F937" s="23"/>
      <c r="G937" s="23"/>
      <c r="H937" s="23"/>
      <c r="I937" s="23"/>
      <c r="J937" s="23"/>
      <c r="K937" s="24"/>
      <c r="L937" s="23"/>
      <c r="M937" s="25"/>
      <c r="N937" s="25"/>
      <c r="O937" s="23"/>
      <c r="P937" s="26"/>
      <c r="Q937" s="26"/>
      <c r="R937" s="27" t="str">
        <f aca="false">IF(AND(ISNUMBER(P937),ISNUMBER(Q937)),P937-Q937,"")</f>
        <v/>
      </c>
      <c r="S937" s="24"/>
      <c r="T937" s="28" t="str">
        <f aca="false">IF(S937&lt;&gt;"",S937,IF(B937="","",IFERROR(IF(INDEX(Batches!$G$5:$G$64,MATCH(B937,Batches!$A$5:$A$64,0))="","",INDEX(Batches!$G$5:$G$64,MATCH(B937,Batches!$A$5:$A$64,0))),"")))</f>
        <v/>
      </c>
      <c r="U937" s="23"/>
      <c r="V937" s="24"/>
      <c r="W937" s="28" t="str">
        <f aca="false">IF(OR(X937="",X937="Pending"),"",IF(V937&lt;&gt;"",V937,IFERROR(IF(INDEX(Batches!$H$5:$H$64,MATCH(B937,Batches!$A$5:$A$64,0))="","",INDEX(Batches!$H$5:$H$64,MATCH(B937,Batches!$A$5:$A$64,0))),"")))</f>
        <v/>
      </c>
      <c r="X937" s="23"/>
      <c r="Y937" s="23"/>
      <c r="Z937" s="26"/>
      <c r="AA937" s="27" t="str">
        <f aca="false">IF(R937="","",IF(X937="Not accepted",R937,IF(OR(X937="Accepted",X937="Withdrawn by hospital"),IF(X937="Accepted",0,R937),IF(ISNUMBER(Z937),R937-Z937,""))))</f>
        <v/>
      </c>
      <c r="AB937" s="23"/>
      <c r="AC937" s="25"/>
      <c r="AD937" s="23"/>
      <c r="AE937" s="23"/>
      <c r="AF937" s="24"/>
      <c r="AG937" s="23"/>
      <c r="AH937" s="24"/>
      <c r="AI937" s="29" t="str">
        <f aca="false">IF(X937="Not accepted","Maintained",IF(X937="Partially accepted","Partially maintained",IF(X937="Accepted","Reversed",IF(X937="Withdrawn by hospital","Withdrawn by hospital",""))))</f>
        <v/>
      </c>
      <c r="AJ937" s="28" t="str">
        <f aca="false">IF(AI937="","",W937)</f>
        <v/>
      </c>
      <c r="AK937" s="29" t="str">
        <f aca="false">IF(AND(ISNUMBER(T937),ISNUMBER(W937)),W937-T937,"")</f>
        <v/>
      </c>
      <c r="AL937" s="29" t="str">
        <f aca="false">IF(A937="","",SUMIF(Actions!$C$5:$C$1004,A937,Actions!$F$5:$F$1004))</f>
        <v/>
      </c>
      <c r="AM937" s="25"/>
    </row>
    <row r="938" customFormat="false" ht="15" hidden="false" customHeight="false" outlineLevel="0" collapsed="false">
      <c r="A938" s="23"/>
      <c r="B938" s="23"/>
      <c r="C938" s="23"/>
      <c r="D938" s="23"/>
      <c r="E938" s="23"/>
      <c r="F938" s="23"/>
      <c r="G938" s="23"/>
      <c r="H938" s="23"/>
      <c r="I938" s="23"/>
      <c r="J938" s="23"/>
      <c r="K938" s="24"/>
      <c r="L938" s="23"/>
      <c r="M938" s="25"/>
      <c r="N938" s="25"/>
      <c r="O938" s="23"/>
      <c r="P938" s="26"/>
      <c r="Q938" s="26"/>
      <c r="R938" s="27" t="str">
        <f aca="false">IF(AND(ISNUMBER(P938),ISNUMBER(Q938)),P938-Q938,"")</f>
        <v/>
      </c>
      <c r="S938" s="24"/>
      <c r="T938" s="28" t="str">
        <f aca="false">IF(S938&lt;&gt;"",S938,IF(B938="","",IFERROR(IF(INDEX(Batches!$G$5:$G$64,MATCH(B938,Batches!$A$5:$A$64,0))="","",INDEX(Batches!$G$5:$G$64,MATCH(B938,Batches!$A$5:$A$64,0))),"")))</f>
        <v/>
      </c>
      <c r="U938" s="23"/>
      <c r="V938" s="24"/>
      <c r="W938" s="28" t="str">
        <f aca="false">IF(OR(X938="",X938="Pending"),"",IF(V938&lt;&gt;"",V938,IFERROR(IF(INDEX(Batches!$H$5:$H$64,MATCH(B938,Batches!$A$5:$A$64,0))="","",INDEX(Batches!$H$5:$H$64,MATCH(B938,Batches!$A$5:$A$64,0))),"")))</f>
        <v/>
      </c>
      <c r="X938" s="23"/>
      <c r="Y938" s="23"/>
      <c r="Z938" s="26"/>
      <c r="AA938" s="27" t="str">
        <f aca="false">IF(R938="","",IF(X938="Not accepted",R938,IF(OR(X938="Accepted",X938="Withdrawn by hospital"),IF(X938="Accepted",0,R938),IF(ISNUMBER(Z938),R938-Z938,""))))</f>
        <v/>
      </c>
      <c r="AB938" s="23"/>
      <c r="AC938" s="25"/>
      <c r="AD938" s="23"/>
      <c r="AE938" s="23"/>
      <c r="AF938" s="24"/>
      <c r="AG938" s="23"/>
      <c r="AH938" s="24"/>
      <c r="AI938" s="29" t="str">
        <f aca="false">IF(X938="Not accepted","Maintained",IF(X938="Partially accepted","Partially maintained",IF(X938="Accepted","Reversed",IF(X938="Withdrawn by hospital","Withdrawn by hospital",""))))</f>
        <v/>
      </c>
      <c r="AJ938" s="28" t="str">
        <f aca="false">IF(AI938="","",W938)</f>
        <v/>
      </c>
      <c r="AK938" s="29" t="str">
        <f aca="false">IF(AND(ISNUMBER(T938),ISNUMBER(W938)),W938-T938,"")</f>
        <v/>
      </c>
      <c r="AL938" s="29" t="str">
        <f aca="false">IF(A938="","",SUMIF(Actions!$C$5:$C$1004,A938,Actions!$F$5:$F$1004))</f>
        <v/>
      </c>
      <c r="AM938" s="25"/>
    </row>
    <row r="939" customFormat="false" ht="15" hidden="false" customHeight="false" outlineLevel="0" collapsed="false">
      <c r="A939" s="23"/>
      <c r="B939" s="23"/>
      <c r="C939" s="23"/>
      <c r="D939" s="23"/>
      <c r="E939" s="23"/>
      <c r="F939" s="23"/>
      <c r="G939" s="23"/>
      <c r="H939" s="23"/>
      <c r="I939" s="23"/>
      <c r="J939" s="23"/>
      <c r="K939" s="24"/>
      <c r="L939" s="23"/>
      <c r="M939" s="25"/>
      <c r="N939" s="25"/>
      <c r="O939" s="23"/>
      <c r="P939" s="26"/>
      <c r="Q939" s="26"/>
      <c r="R939" s="27" t="str">
        <f aca="false">IF(AND(ISNUMBER(P939),ISNUMBER(Q939)),P939-Q939,"")</f>
        <v/>
      </c>
      <c r="S939" s="24"/>
      <c r="T939" s="28" t="str">
        <f aca="false">IF(S939&lt;&gt;"",S939,IF(B939="","",IFERROR(IF(INDEX(Batches!$G$5:$G$64,MATCH(B939,Batches!$A$5:$A$64,0))="","",INDEX(Batches!$G$5:$G$64,MATCH(B939,Batches!$A$5:$A$64,0))),"")))</f>
        <v/>
      </c>
      <c r="U939" s="23"/>
      <c r="V939" s="24"/>
      <c r="W939" s="28" t="str">
        <f aca="false">IF(OR(X939="",X939="Pending"),"",IF(V939&lt;&gt;"",V939,IFERROR(IF(INDEX(Batches!$H$5:$H$64,MATCH(B939,Batches!$A$5:$A$64,0))="","",INDEX(Batches!$H$5:$H$64,MATCH(B939,Batches!$A$5:$A$64,0))),"")))</f>
        <v/>
      </c>
      <c r="X939" s="23"/>
      <c r="Y939" s="23"/>
      <c r="Z939" s="26"/>
      <c r="AA939" s="27" t="str">
        <f aca="false">IF(R939="","",IF(X939="Not accepted",R939,IF(OR(X939="Accepted",X939="Withdrawn by hospital"),IF(X939="Accepted",0,R939),IF(ISNUMBER(Z939),R939-Z939,""))))</f>
        <v/>
      </c>
      <c r="AB939" s="23"/>
      <c r="AC939" s="25"/>
      <c r="AD939" s="23"/>
      <c r="AE939" s="23"/>
      <c r="AF939" s="24"/>
      <c r="AG939" s="23"/>
      <c r="AH939" s="24"/>
      <c r="AI939" s="29" t="str">
        <f aca="false">IF(X939="Not accepted","Maintained",IF(X939="Partially accepted","Partially maintained",IF(X939="Accepted","Reversed",IF(X939="Withdrawn by hospital","Withdrawn by hospital",""))))</f>
        <v/>
      </c>
      <c r="AJ939" s="28" t="str">
        <f aca="false">IF(AI939="","",W939)</f>
        <v/>
      </c>
      <c r="AK939" s="29" t="str">
        <f aca="false">IF(AND(ISNUMBER(T939),ISNUMBER(W939)),W939-T939,"")</f>
        <v/>
      </c>
      <c r="AL939" s="29" t="str">
        <f aca="false">IF(A939="","",SUMIF(Actions!$C$5:$C$1004,A939,Actions!$F$5:$F$1004))</f>
        <v/>
      </c>
      <c r="AM939" s="25"/>
    </row>
    <row r="940" customFormat="false" ht="15" hidden="false" customHeight="false" outlineLevel="0" collapsed="false">
      <c r="A940" s="23"/>
      <c r="B940" s="23"/>
      <c r="C940" s="23"/>
      <c r="D940" s="23"/>
      <c r="E940" s="23"/>
      <c r="F940" s="23"/>
      <c r="G940" s="23"/>
      <c r="H940" s="23"/>
      <c r="I940" s="23"/>
      <c r="J940" s="23"/>
      <c r="K940" s="24"/>
      <c r="L940" s="23"/>
      <c r="M940" s="25"/>
      <c r="N940" s="25"/>
      <c r="O940" s="23"/>
      <c r="P940" s="26"/>
      <c r="Q940" s="26"/>
      <c r="R940" s="27" t="str">
        <f aca="false">IF(AND(ISNUMBER(P940),ISNUMBER(Q940)),P940-Q940,"")</f>
        <v/>
      </c>
      <c r="S940" s="24"/>
      <c r="T940" s="28" t="str">
        <f aca="false">IF(S940&lt;&gt;"",S940,IF(B940="","",IFERROR(IF(INDEX(Batches!$G$5:$G$64,MATCH(B940,Batches!$A$5:$A$64,0))="","",INDEX(Batches!$G$5:$G$64,MATCH(B940,Batches!$A$5:$A$64,0))),"")))</f>
        <v/>
      </c>
      <c r="U940" s="23"/>
      <c r="V940" s="24"/>
      <c r="W940" s="28" t="str">
        <f aca="false">IF(OR(X940="",X940="Pending"),"",IF(V940&lt;&gt;"",V940,IFERROR(IF(INDEX(Batches!$H$5:$H$64,MATCH(B940,Batches!$A$5:$A$64,0))="","",INDEX(Batches!$H$5:$H$64,MATCH(B940,Batches!$A$5:$A$64,0))),"")))</f>
        <v/>
      </c>
      <c r="X940" s="23"/>
      <c r="Y940" s="23"/>
      <c r="Z940" s="26"/>
      <c r="AA940" s="27" t="str">
        <f aca="false">IF(R940="","",IF(X940="Not accepted",R940,IF(OR(X940="Accepted",X940="Withdrawn by hospital"),IF(X940="Accepted",0,R940),IF(ISNUMBER(Z940),R940-Z940,""))))</f>
        <v/>
      </c>
      <c r="AB940" s="23"/>
      <c r="AC940" s="25"/>
      <c r="AD940" s="23"/>
      <c r="AE940" s="23"/>
      <c r="AF940" s="24"/>
      <c r="AG940" s="23"/>
      <c r="AH940" s="24"/>
      <c r="AI940" s="29" t="str">
        <f aca="false">IF(X940="Not accepted","Maintained",IF(X940="Partially accepted","Partially maintained",IF(X940="Accepted","Reversed",IF(X940="Withdrawn by hospital","Withdrawn by hospital",""))))</f>
        <v/>
      </c>
      <c r="AJ940" s="28" t="str">
        <f aca="false">IF(AI940="","",W940)</f>
        <v/>
      </c>
      <c r="AK940" s="29" t="str">
        <f aca="false">IF(AND(ISNUMBER(T940),ISNUMBER(W940)),W940-T940,"")</f>
        <v/>
      </c>
      <c r="AL940" s="29" t="str">
        <f aca="false">IF(A940="","",SUMIF(Actions!$C$5:$C$1004,A940,Actions!$F$5:$F$1004))</f>
        <v/>
      </c>
      <c r="AM940" s="25"/>
    </row>
    <row r="941" customFormat="false" ht="15" hidden="false" customHeight="false" outlineLevel="0" collapsed="false">
      <c r="A941" s="23"/>
      <c r="B941" s="23"/>
      <c r="C941" s="23"/>
      <c r="D941" s="23"/>
      <c r="E941" s="23"/>
      <c r="F941" s="23"/>
      <c r="G941" s="23"/>
      <c r="H941" s="23"/>
      <c r="I941" s="23"/>
      <c r="J941" s="23"/>
      <c r="K941" s="24"/>
      <c r="L941" s="23"/>
      <c r="M941" s="25"/>
      <c r="N941" s="25"/>
      <c r="O941" s="23"/>
      <c r="P941" s="26"/>
      <c r="Q941" s="26"/>
      <c r="R941" s="27" t="str">
        <f aca="false">IF(AND(ISNUMBER(P941),ISNUMBER(Q941)),P941-Q941,"")</f>
        <v/>
      </c>
      <c r="S941" s="24"/>
      <c r="T941" s="28" t="str">
        <f aca="false">IF(S941&lt;&gt;"",S941,IF(B941="","",IFERROR(IF(INDEX(Batches!$G$5:$G$64,MATCH(B941,Batches!$A$5:$A$64,0))="","",INDEX(Batches!$G$5:$G$64,MATCH(B941,Batches!$A$5:$A$64,0))),"")))</f>
        <v/>
      </c>
      <c r="U941" s="23"/>
      <c r="V941" s="24"/>
      <c r="W941" s="28" t="str">
        <f aca="false">IF(OR(X941="",X941="Pending"),"",IF(V941&lt;&gt;"",V941,IFERROR(IF(INDEX(Batches!$H$5:$H$64,MATCH(B941,Batches!$A$5:$A$64,0))="","",INDEX(Batches!$H$5:$H$64,MATCH(B941,Batches!$A$5:$A$64,0))),"")))</f>
        <v/>
      </c>
      <c r="X941" s="23"/>
      <c r="Y941" s="23"/>
      <c r="Z941" s="26"/>
      <c r="AA941" s="27" t="str">
        <f aca="false">IF(R941="","",IF(X941="Not accepted",R941,IF(OR(X941="Accepted",X941="Withdrawn by hospital"),IF(X941="Accepted",0,R941),IF(ISNUMBER(Z941),R941-Z941,""))))</f>
        <v/>
      </c>
      <c r="AB941" s="23"/>
      <c r="AC941" s="25"/>
      <c r="AD941" s="23"/>
      <c r="AE941" s="23"/>
      <c r="AF941" s="24"/>
      <c r="AG941" s="23"/>
      <c r="AH941" s="24"/>
      <c r="AI941" s="29" t="str">
        <f aca="false">IF(X941="Not accepted","Maintained",IF(X941="Partially accepted","Partially maintained",IF(X941="Accepted","Reversed",IF(X941="Withdrawn by hospital","Withdrawn by hospital",""))))</f>
        <v/>
      </c>
      <c r="AJ941" s="28" t="str">
        <f aca="false">IF(AI941="","",W941)</f>
        <v/>
      </c>
      <c r="AK941" s="29" t="str">
        <f aca="false">IF(AND(ISNUMBER(T941),ISNUMBER(W941)),W941-T941,"")</f>
        <v/>
      </c>
      <c r="AL941" s="29" t="str">
        <f aca="false">IF(A941="","",SUMIF(Actions!$C$5:$C$1004,A941,Actions!$F$5:$F$1004))</f>
        <v/>
      </c>
      <c r="AM941" s="25"/>
    </row>
    <row r="942" customFormat="false" ht="15" hidden="false" customHeight="false" outlineLevel="0" collapsed="false">
      <c r="A942" s="23"/>
      <c r="B942" s="23"/>
      <c r="C942" s="23"/>
      <c r="D942" s="23"/>
      <c r="E942" s="23"/>
      <c r="F942" s="23"/>
      <c r="G942" s="23"/>
      <c r="H942" s="23"/>
      <c r="I942" s="23"/>
      <c r="J942" s="23"/>
      <c r="K942" s="24"/>
      <c r="L942" s="23"/>
      <c r="M942" s="25"/>
      <c r="N942" s="25"/>
      <c r="O942" s="23"/>
      <c r="P942" s="26"/>
      <c r="Q942" s="26"/>
      <c r="R942" s="27" t="str">
        <f aca="false">IF(AND(ISNUMBER(P942),ISNUMBER(Q942)),P942-Q942,"")</f>
        <v/>
      </c>
      <c r="S942" s="24"/>
      <c r="T942" s="28" t="str">
        <f aca="false">IF(S942&lt;&gt;"",S942,IF(B942="","",IFERROR(IF(INDEX(Batches!$G$5:$G$64,MATCH(B942,Batches!$A$5:$A$64,0))="","",INDEX(Batches!$G$5:$G$64,MATCH(B942,Batches!$A$5:$A$64,0))),"")))</f>
        <v/>
      </c>
      <c r="U942" s="23"/>
      <c r="V942" s="24"/>
      <c r="W942" s="28" t="str">
        <f aca="false">IF(OR(X942="",X942="Pending"),"",IF(V942&lt;&gt;"",V942,IFERROR(IF(INDEX(Batches!$H$5:$H$64,MATCH(B942,Batches!$A$5:$A$64,0))="","",INDEX(Batches!$H$5:$H$64,MATCH(B942,Batches!$A$5:$A$64,0))),"")))</f>
        <v/>
      </c>
      <c r="X942" s="23"/>
      <c r="Y942" s="23"/>
      <c r="Z942" s="26"/>
      <c r="AA942" s="27" t="str">
        <f aca="false">IF(R942="","",IF(X942="Not accepted",R942,IF(OR(X942="Accepted",X942="Withdrawn by hospital"),IF(X942="Accepted",0,R942),IF(ISNUMBER(Z942),R942-Z942,""))))</f>
        <v/>
      </c>
      <c r="AB942" s="23"/>
      <c r="AC942" s="25"/>
      <c r="AD942" s="23"/>
      <c r="AE942" s="23"/>
      <c r="AF942" s="24"/>
      <c r="AG942" s="23"/>
      <c r="AH942" s="24"/>
      <c r="AI942" s="29" t="str">
        <f aca="false">IF(X942="Not accepted","Maintained",IF(X942="Partially accepted","Partially maintained",IF(X942="Accepted","Reversed",IF(X942="Withdrawn by hospital","Withdrawn by hospital",""))))</f>
        <v/>
      </c>
      <c r="AJ942" s="28" t="str">
        <f aca="false">IF(AI942="","",W942)</f>
        <v/>
      </c>
      <c r="AK942" s="29" t="str">
        <f aca="false">IF(AND(ISNUMBER(T942),ISNUMBER(W942)),W942-T942,"")</f>
        <v/>
      </c>
      <c r="AL942" s="29" t="str">
        <f aca="false">IF(A942="","",SUMIF(Actions!$C$5:$C$1004,A942,Actions!$F$5:$F$1004))</f>
        <v/>
      </c>
      <c r="AM942" s="25"/>
    </row>
    <row r="943" customFormat="false" ht="15" hidden="false" customHeight="false" outlineLevel="0" collapsed="false">
      <c r="A943" s="23"/>
      <c r="B943" s="23"/>
      <c r="C943" s="23"/>
      <c r="D943" s="23"/>
      <c r="E943" s="23"/>
      <c r="F943" s="23"/>
      <c r="G943" s="23"/>
      <c r="H943" s="23"/>
      <c r="I943" s="23"/>
      <c r="J943" s="23"/>
      <c r="K943" s="24"/>
      <c r="L943" s="23"/>
      <c r="M943" s="25"/>
      <c r="N943" s="25"/>
      <c r="O943" s="23"/>
      <c r="P943" s="26"/>
      <c r="Q943" s="26"/>
      <c r="R943" s="27" t="str">
        <f aca="false">IF(AND(ISNUMBER(P943),ISNUMBER(Q943)),P943-Q943,"")</f>
        <v/>
      </c>
      <c r="S943" s="24"/>
      <c r="T943" s="28" t="str">
        <f aca="false">IF(S943&lt;&gt;"",S943,IF(B943="","",IFERROR(IF(INDEX(Batches!$G$5:$G$64,MATCH(B943,Batches!$A$5:$A$64,0))="","",INDEX(Batches!$G$5:$G$64,MATCH(B943,Batches!$A$5:$A$64,0))),"")))</f>
        <v/>
      </c>
      <c r="U943" s="23"/>
      <c r="V943" s="24"/>
      <c r="W943" s="28" t="str">
        <f aca="false">IF(OR(X943="",X943="Pending"),"",IF(V943&lt;&gt;"",V943,IFERROR(IF(INDEX(Batches!$H$5:$H$64,MATCH(B943,Batches!$A$5:$A$64,0))="","",INDEX(Batches!$H$5:$H$64,MATCH(B943,Batches!$A$5:$A$64,0))),"")))</f>
        <v/>
      </c>
      <c r="X943" s="23"/>
      <c r="Y943" s="23"/>
      <c r="Z943" s="26"/>
      <c r="AA943" s="27" t="str">
        <f aca="false">IF(R943="","",IF(X943="Not accepted",R943,IF(OR(X943="Accepted",X943="Withdrawn by hospital"),IF(X943="Accepted",0,R943),IF(ISNUMBER(Z943),R943-Z943,""))))</f>
        <v/>
      </c>
      <c r="AB943" s="23"/>
      <c r="AC943" s="25"/>
      <c r="AD943" s="23"/>
      <c r="AE943" s="23"/>
      <c r="AF943" s="24"/>
      <c r="AG943" s="23"/>
      <c r="AH943" s="24"/>
      <c r="AI943" s="29" t="str">
        <f aca="false">IF(X943="Not accepted","Maintained",IF(X943="Partially accepted","Partially maintained",IF(X943="Accepted","Reversed",IF(X943="Withdrawn by hospital","Withdrawn by hospital",""))))</f>
        <v/>
      </c>
      <c r="AJ943" s="28" t="str">
        <f aca="false">IF(AI943="","",W943)</f>
        <v/>
      </c>
      <c r="AK943" s="29" t="str">
        <f aca="false">IF(AND(ISNUMBER(T943),ISNUMBER(W943)),W943-T943,"")</f>
        <v/>
      </c>
      <c r="AL943" s="29" t="str">
        <f aca="false">IF(A943="","",SUMIF(Actions!$C$5:$C$1004,A943,Actions!$F$5:$F$1004))</f>
        <v/>
      </c>
      <c r="AM943" s="25"/>
    </row>
    <row r="944" customFormat="false" ht="15" hidden="false" customHeight="false" outlineLevel="0" collapsed="false">
      <c r="A944" s="23"/>
      <c r="B944" s="23"/>
      <c r="C944" s="23"/>
      <c r="D944" s="23"/>
      <c r="E944" s="23"/>
      <c r="F944" s="23"/>
      <c r="G944" s="23"/>
      <c r="H944" s="23"/>
      <c r="I944" s="23"/>
      <c r="J944" s="23"/>
      <c r="K944" s="24"/>
      <c r="L944" s="23"/>
      <c r="M944" s="25"/>
      <c r="N944" s="25"/>
      <c r="O944" s="23"/>
      <c r="P944" s="26"/>
      <c r="Q944" s="26"/>
      <c r="R944" s="27" t="str">
        <f aca="false">IF(AND(ISNUMBER(P944),ISNUMBER(Q944)),P944-Q944,"")</f>
        <v/>
      </c>
      <c r="S944" s="24"/>
      <c r="T944" s="28" t="str">
        <f aca="false">IF(S944&lt;&gt;"",S944,IF(B944="","",IFERROR(IF(INDEX(Batches!$G$5:$G$64,MATCH(B944,Batches!$A$5:$A$64,0))="","",INDEX(Batches!$G$5:$G$64,MATCH(B944,Batches!$A$5:$A$64,0))),"")))</f>
        <v/>
      </c>
      <c r="U944" s="23"/>
      <c r="V944" s="24"/>
      <c r="W944" s="28" t="str">
        <f aca="false">IF(OR(X944="",X944="Pending"),"",IF(V944&lt;&gt;"",V944,IFERROR(IF(INDEX(Batches!$H$5:$H$64,MATCH(B944,Batches!$A$5:$A$64,0))="","",INDEX(Batches!$H$5:$H$64,MATCH(B944,Batches!$A$5:$A$64,0))),"")))</f>
        <v/>
      </c>
      <c r="X944" s="23"/>
      <c r="Y944" s="23"/>
      <c r="Z944" s="26"/>
      <c r="AA944" s="27" t="str">
        <f aca="false">IF(R944="","",IF(X944="Not accepted",R944,IF(OR(X944="Accepted",X944="Withdrawn by hospital"),IF(X944="Accepted",0,R944),IF(ISNUMBER(Z944),R944-Z944,""))))</f>
        <v/>
      </c>
      <c r="AB944" s="23"/>
      <c r="AC944" s="25"/>
      <c r="AD944" s="23"/>
      <c r="AE944" s="23"/>
      <c r="AF944" s="24"/>
      <c r="AG944" s="23"/>
      <c r="AH944" s="24"/>
      <c r="AI944" s="29" t="str">
        <f aca="false">IF(X944="Not accepted","Maintained",IF(X944="Partially accepted","Partially maintained",IF(X944="Accepted","Reversed",IF(X944="Withdrawn by hospital","Withdrawn by hospital",""))))</f>
        <v/>
      </c>
      <c r="AJ944" s="28" t="str">
        <f aca="false">IF(AI944="","",W944)</f>
        <v/>
      </c>
      <c r="AK944" s="29" t="str">
        <f aca="false">IF(AND(ISNUMBER(T944),ISNUMBER(W944)),W944-T944,"")</f>
        <v/>
      </c>
      <c r="AL944" s="29" t="str">
        <f aca="false">IF(A944="","",SUMIF(Actions!$C$5:$C$1004,A944,Actions!$F$5:$F$1004))</f>
        <v/>
      </c>
      <c r="AM944" s="25"/>
    </row>
    <row r="945" customFormat="false" ht="15" hidden="false" customHeight="false" outlineLevel="0" collapsed="false">
      <c r="A945" s="23"/>
      <c r="B945" s="23"/>
      <c r="C945" s="23"/>
      <c r="D945" s="23"/>
      <c r="E945" s="23"/>
      <c r="F945" s="23"/>
      <c r="G945" s="23"/>
      <c r="H945" s="23"/>
      <c r="I945" s="23"/>
      <c r="J945" s="23"/>
      <c r="K945" s="24"/>
      <c r="L945" s="23"/>
      <c r="M945" s="25"/>
      <c r="N945" s="25"/>
      <c r="O945" s="23"/>
      <c r="P945" s="26"/>
      <c r="Q945" s="26"/>
      <c r="R945" s="27" t="str">
        <f aca="false">IF(AND(ISNUMBER(P945),ISNUMBER(Q945)),P945-Q945,"")</f>
        <v/>
      </c>
      <c r="S945" s="24"/>
      <c r="T945" s="28" t="str">
        <f aca="false">IF(S945&lt;&gt;"",S945,IF(B945="","",IFERROR(IF(INDEX(Batches!$G$5:$G$64,MATCH(B945,Batches!$A$5:$A$64,0))="","",INDEX(Batches!$G$5:$G$64,MATCH(B945,Batches!$A$5:$A$64,0))),"")))</f>
        <v/>
      </c>
      <c r="U945" s="23"/>
      <c r="V945" s="24"/>
      <c r="W945" s="28" t="str">
        <f aca="false">IF(OR(X945="",X945="Pending"),"",IF(V945&lt;&gt;"",V945,IFERROR(IF(INDEX(Batches!$H$5:$H$64,MATCH(B945,Batches!$A$5:$A$64,0))="","",INDEX(Batches!$H$5:$H$64,MATCH(B945,Batches!$A$5:$A$64,0))),"")))</f>
        <v/>
      </c>
      <c r="X945" s="23"/>
      <c r="Y945" s="23"/>
      <c r="Z945" s="26"/>
      <c r="AA945" s="27" t="str">
        <f aca="false">IF(R945="","",IF(X945="Not accepted",R945,IF(OR(X945="Accepted",X945="Withdrawn by hospital"),IF(X945="Accepted",0,R945),IF(ISNUMBER(Z945),R945-Z945,""))))</f>
        <v/>
      </c>
      <c r="AB945" s="23"/>
      <c r="AC945" s="25"/>
      <c r="AD945" s="23"/>
      <c r="AE945" s="23"/>
      <c r="AF945" s="24"/>
      <c r="AG945" s="23"/>
      <c r="AH945" s="24"/>
      <c r="AI945" s="29" t="str">
        <f aca="false">IF(X945="Not accepted","Maintained",IF(X945="Partially accepted","Partially maintained",IF(X945="Accepted","Reversed",IF(X945="Withdrawn by hospital","Withdrawn by hospital",""))))</f>
        <v/>
      </c>
      <c r="AJ945" s="28" t="str">
        <f aca="false">IF(AI945="","",W945)</f>
        <v/>
      </c>
      <c r="AK945" s="29" t="str">
        <f aca="false">IF(AND(ISNUMBER(T945),ISNUMBER(W945)),W945-T945,"")</f>
        <v/>
      </c>
      <c r="AL945" s="29" t="str">
        <f aca="false">IF(A945="","",SUMIF(Actions!$C$5:$C$1004,A945,Actions!$F$5:$F$1004))</f>
        <v/>
      </c>
      <c r="AM945" s="25"/>
    </row>
    <row r="946" customFormat="false" ht="15" hidden="false" customHeight="false" outlineLevel="0" collapsed="false">
      <c r="A946" s="23"/>
      <c r="B946" s="23"/>
      <c r="C946" s="23"/>
      <c r="D946" s="23"/>
      <c r="E946" s="23"/>
      <c r="F946" s="23"/>
      <c r="G946" s="23"/>
      <c r="H946" s="23"/>
      <c r="I946" s="23"/>
      <c r="J946" s="23"/>
      <c r="K946" s="24"/>
      <c r="L946" s="23"/>
      <c r="M946" s="25"/>
      <c r="N946" s="25"/>
      <c r="O946" s="23"/>
      <c r="P946" s="26"/>
      <c r="Q946" s="26"/>
      <c r="R946" s="27" t="str">
        <f aca="false">IF(AND(ISNUMBER(P946),ISNUMBER(Q946)),P946-Q946,"")</f>
        <v/>
      </c>
      <c r="S946" s="24"/>
      <c r="T946" s="28" t="str">
        <f aca="false">IF(S946&lt;&gt;"",S946,IF(B946="","",IFERROR(IF(INDEX(Batches!$G$5:$G$64,MATCH(B946,Batches!$A$5:$A$64,0))="","",INDEX(Batches!$G$5:$G$64,MATCH(B946,Batches!$A$5:$A$64,0))),"")))</f>
        <v/>
      </c>
      <c r="U946" s="23"/>
      <c r="V946" s="24"/>
      <c r="W946" s="28" t="str">
        <f aca="false">IF(OR(X946="",X946="Pending"),"",IF(V946&lt;&gt;"",V946,IFERROR(IF(INDEX(Batches!$H$5:$H$64,MATCH(B946,Batches!$A$5:$A$64,0))="","",INDEX(Batches!$H$5:$H$64,MATCH(B946,Batches!$A$5:$A$64,0))),"")))</f>
        <v/>
      </c>
      <c r="X946" s="23"/>
      <c r="Y946" s="23"/>
      <c r="Z946" s="26"/>
      <c r="AA946" s="27" t="str">
        <f aca="false">IF(R946="","",IF(X946="Not accepted",R946,IF(OR(X946="Accepted",X946="Withdrawn by hospital"),IF(X946="Accepted",0,R946),IF(ISNUMBER(Z946),R946-Z946,""))))</f>
        <v/>
      </c>
      <c r="AB946" s="23"/>
      <c r="AC946" s="25"/>
      <c r="AD946" s="23"/>
      <c r="AE946" s="23"/>
      <c r="AF946" s="24"/>
      <c r="AG946" s="23"/>
      <c r="AH946" s="24"/>
      <c r="AI946" s="29" t="str">
        <f aca="false">IF(X946="Not accepted","Maintained",IF(X946="Partially accepted","Partially maintained",IF(X946="Accepted","Reversed",IF(X946="Withdrawn by hospital","Withdrawn by hospital",""))))</f>
        <v/>
      </c>
      <c r="AJ946" s="28" t="str">
        <f aca="false">IF(AI946="","",W946)</f>
        <v/>
      </c>
      <c r="AK946" s="29" t="str">
        <f aca="false">IF(AND(ISNUMBER(T946),ISNUMBER(W946)),W946-T946,"")</f>
        <v/>
      </c>
      <c r="AL946" s="29" t="str">
        <f aca="false">IF(A946="","",SUMIF(Actions!$C$5:$C$1004,A946,Actions!$F$5:$F$1004))</f>
        <v/>
      </c>
      <c r="AM946" s="25"/>
    </row>
    <row r="947" customFormat="false" ht="15" hidden="false" customHeight="false" outlineLevel="0" collapsed="false">
      <c r="A947" s="23"/>
      <c r="B947" s="23"/>
      <c r="C947" s="23"/>
      <c r="D947" s="23"/>
      <c r="E947" s="23"/>
      <c r="F947" s="23"/>
      <c r="G947" s="23"/>
      <c r="H947" s="23"/>
      <c r="I947" s="23"/>
      <c r="J947" s="23"/>
      <c r="K947" s="24"/>
      <c r="L947" s="23"/>
      <c r="M947" s="25"/>
      <c r="N947" s="25"/>
      <c r="O947" s="23"/>
      <c r="P947" s="26"/>
      <c r="Q947" s="26"/>
      <c r="R947" s="27" t="str">
        <f aca="false">IF(AND(ISNUMBER(P947),ISNUMBER(Q947)),P947-Q947,"")</f>
        <v/>
      </c>
      <c r="S947" s="24"/>
      <c r="T947" s="28" t="str">
        <f aca="false">IF(S947&lt;&gt;"",S947,IF(B947="","",IFERROR(IF(INDEX(Batches!$G$5:$G$64,MATCH(B947,Batches!$A$5:$A$64,0))="","",INDEX(Batches!$G$5:$G$64,MATCH(B947,Batches!$A$5:$A$64,0))),"")))</f>
        <v/>
      </c>
      <c r="U947" s="23"/>
      <c r="V947" s="24"/>
      <c r="W947" s="28" t="str">
        <f aca="false">IF(OR(X947="",X947="Pending"),"",IF(V947&lt;&gt;"",V947,IFERROR(IF(INDEX(Batches!$H$5:$H$64,MATCH(B947,Batches!$A$5:$A$64,0))="","",INDEX(Batches!$H$5:$H$64,MATCH(B947,Batches!$A$5:$A$64,0))),"")))</f>
        <v/>
      </c>
      <c r="X947" s="23"/>
      <c r="Y947" s="23"/>
      <c r="Z947" s="26"/>
      <c r="AA947" s="27" t="str">
        <f aca="false">IF(R947="","",IF(X947="Not accepted",R947,IF(OR(X947="Accepted",X947="Withdrawn by hospital"),IF(X947="Accepted",0,R947),IF(ISNUMBER(Z947),R947-Z947,""))))</f>
        <v/>
      </c>
      <c r="AB947" s="23"/>
      <c r="AC947" s="25"/>
      <c r="AD947" s="23"/>
      <c r="AE947" s="23"/>
      <c r="AF947" s="24"/>
      <c r="AG947" s="23"/>
      <c r="AH947" s="24"/>
      <c r="AI947" s="29" t="str">
        <f aca="false">IF(X947="Not accepted","Maintained",IF(X947="Partially accepted","Partially maintained",IF(X947="Accepted","Reversed",IF(X947="Withdrawn by hospital","Withdrawn by hospital",""))))</f>
        <v/>
      </c>
      <c r="AJ947" s="28" t="str">
        <f aca="false">IF(AI947="","",W947)</f>
        <v/>
      </c>
      <c r="AK947" s="29" t="str">
        <f aca="false">IF(AND(ISNUMBER(T947),ISNUMBER(W947)),W947-T947,"")</f>
        <v/>
      </c>
      <c r="AL947" s="29" t="str">
        <f aca="false">IF(A947="","",SUMIF(Actions!$C$5:$C$1004,A947,Actions!$F$5:$F$1004))</f>
        <v/>
      </c>
      <c r="AM947" s="25"/>
    </row>
    <row r="948" customFormat="false" ht="15" hidden="false" customHeight="false" outlineLevel="0" collapsed="false">
      <c r="A948" s="23"/>
      <c r="B948" s="23"/>
      <c r="C948" s="23"/>
      <c r="D948" s="23"/>
      <c r="E948" s="23"/>
      <c r="F948" s="23"/>
      <c r="G948" s="23"/>
      <c r="H948" s="23"/>
      <c r="I948" s="23"/>
      <c r="J948" s="23"/>
      <c r="K948" s="24"/>
      <c r="L948" s="23"/>
      <c r="M948" s="25"/>
      <c r="N948" s="25"/>
      <c r="O948" s="23"/>
      <c r="P948" s="26"/>
      <c r="Q948" s="26"/>
      <c r="R948" s="27" t="str">
        <f aca="false">IF(AND(ISNUMBER(P948),ISNUMBER(Q948)),P948-Q948,"")</f>
        <v/>
      </c>
      <c r="S948" s="24"/>
      <c r="T948" s="28" t="str">
        <f aca="false">IF(S948&lt;&gt;"",S948,IF(B948="","",IFERROR(IF(INDEX(Batches!$G$5:$G$64,MATCH(B948,Batches!$A$5:$A$64,0))="","",INDEX(Batches!$G$5:$G$64,MATCH(B948,Batches!$A$5:$A$64,0))),"")))</f>
        <v/>
      </c>
      <c r="U948" s="23"/>
      <c r="V948" s="24"/>
      <c r="W948" s="28" t="str">
        <f aca="false">IF(OR(X948="",X948="Pending"),"",IF(V948&lt;&gt;"",V948,IFERROR(IF(INDEX(Batches!$H$5:$H$64,MATCH(B948,Batches!$A$5:$A$64,0))="","",INDEX(Batches!$H$5:$H$64,MATCH(B948,Batches!$A$5:$A$64,0))),"")))</f>
        <v/>
      </c>
      <c r="X948" s="23"/>
      <c r="Y948" s="23"/>
      <c r="Z948" s="26"/>
      <c r="AA948" s="27" t="str">
        <f aca="false">IF(R948="","",IF(X948="Not accepted",R948,IF(OR(X948="Accepted",X948="Withdrawn by hospital"),IF(X948="Accepted",0,R948),IF(ISNUMBER(Z948),R948-Z948,""))))</f>
        <v/>
      </c>
      <c r="AB948" s="23"/>
      <c r="AC948" s="25"/>
      <c r="AD948" s="23"/>
      <c r="AE948" s="23"/>
      <c r="AF948" s="24"/>
      <c r="AG948" s="23"/>
      <c r="AH948" s="24"/>
      <c r="AI948" s="29" t="str">
        <f aca="false">IF(X948="Not accepted","Maintained",IF(X948="Partially accepted","Partially maintained",IF(X948="Accepted","Reversed",IF(X948="Withdrawn by hospital","Withdrawn by hospital",""))))</f>
        <v/>
      </c>
      <c r="AJ948" s="28" t="str">
        <f aca="false">IF(AI948="","",W948)</f>
        <v/>
      </c>
      <c r="AK948" s="29" t="str">
        <f aca="false">IF(AND(ISNUMBER(T948),ISNUMBER(W948)),W948-T948,"")</f>
        <v/>
      </c>
      <c r="AL948" s="29" t="str">
        <f aca="false">IF(A948="","",SUMIF(Actions!$C$5:$C$1004,A948,Actions!$F$5:$F$1004))</f>
        <v/>
      </c>
      <c r="AM948" s="25"/>
    </row>
    <row r="949" customFormat="false" ht="15" hidden="false" customHeight="false" outlineLevel="0" collapsed="false">
      <c r="A949" s="23"/>
      <c r="B949" s="23"/>
      <c r="C949" s="23"/>
      <c r="D949" s="23"/>
      <c r="E949" s="23"/>
      <c r="F949" s="23"/>
      <c r="G949" s="23"/>
      <c r="H949" s="23"/>
      <c r="I949" s="23"/>
      <c r="J949" s="23"/>
      <c r="K949" s="24"/>
      <c r="L949" s="23"/>
      <c r="M949" s="25"/>
      <c r="N949" s="25"/>
      <c r="O949" s="23"/>
      <c r="P949" s="26"/>
      <c r="Q949" s="26"/>
      <c r="R949" s="27" t="str">
        <f aca="false">IF(AND(ISNUMBER(P949),ISNUMBER(Q949)),P949-Q949,"")</f>
        <v/>
      </c>
      <c r="S949" s="24"/>
      <c r="T949" s="28" t="str">
        <f aca="false">IF(S949&lt;&gt;"",S949,IF(B949="","",IFERROR(IF(INDEX(Batches!$G$5:$G$64,MATCH(B949,Batches!$A$5:$A$64,0))="","",INDEX(Batches!$G$5:$G$64,MATCH(B949,Batches!$A$5:$A$64,0))),"")))</f>
        <v/>
      </c>
      <c r="U949" s="23"/>
      <c r="V949" s="24"/>
      <c r="W949" s="28" t="str">
        <f aca="false">IF(OR(X949="",X949="Pending"),"",IF(V949&lt;&gt;"",V949,IFERROR(IF(INDEX(Batches!$H$5:$H$64,MATCH(B949,Batches!$A$5:$A$64,0))="","",INDEX(Batches!$H$5:$H$64,MATCH(B949,Batches!$A$5:$A$64,0))),"")))</f>
        <v/>
      </c>
      <c r="X949" s="23"/>
      <c r="Y949" s="23"/>
      <c r="Z949" s="26"/>
      <c r="AA949" s="27" t="str">
        <f aca="false">IF(R949="","",IF(X949="Not accepted",R949,IF(OR(X949="Accepted",X949="Withdrawn by hospital"),IF(X949="Accepted",0,R949),IF(ISNUMBER(Z949),R949-Z949,""))))</f>
        <v/>
      </c>
      <c r="AB949" s="23"/>
      <c r="AC949" s="25"/>
      <c r="AD949" s="23"/>
      <c r="AE949" s="23"/>
      <c r="AF949" s="24"/>
      <c r="AG949" s="23"/>
      <c r="AH949" s="24"/>
      <c r="AI949" s="29" t="str">
        <f aca="false">IF(X949="Not accepted","Maintained",IF(X949="Partially accepted","Partially maintained",IF(X949="Accepted","Reversed",IF(X949="Withdrawn by hospital","Withdrawn by hospital",""))))</f>
        <v/>
      </c>
      <c r="AJ949" s="28" t="str">
        <f aca="false">IF(AI949="","",W949)</f>
        <v/>
      </c>
      <c r="AK949" s="29" t="str">
        <f aca="false">IF(AND(ISNUMBER(T949),ISNUMBER(W949)),W949-T949,"")</f>
        <v/>
      </c>
      <c r="AL949" s="29" t="str">
        <f aca="false">IF(A949="","",SUMIF(Actions!$C$5:$C$1004,A949,Actions!$F$5:$F$1004))</f>
        <v/>
      </c>
      <c r="AM949" s="25"/>
    </row>
    <row r="950" customFormat="false" ht="15" hidden="false" customHeight="false" outlineLevel="0" collapsed="false">
      <c r="A950" s="23"/>
      <c r="B950" s="23"/>
      <c r="C950" s="23"/>
      <c r="D950" s="23"/>
      <c r="E950" s="23"/>
      <c r="F950" s="23"/>
      <c r="G950" s="23"/>
      <c r="H950" s="23"/>
      <c r="I950" s="23"/>
      <c r="J950" s="23"/>
      <c r="K950" s="24"/>
      <c r="L950" s="23"/>
      <c r="M950" s="25"/>
      <c r="N950" s="25"/>
      <c r="O950" s="23"/>
      <c r="P950" s="26"/>
      <c r="Q950" s="26"/>
      <c r="R950" s="27" t="str">
        <f aca="false">IF(AND(ISNUMBER(P950),ISNUMBER(Q950)),P950-Q950,"")</f>
        <v/>
      </c>
      <c r="S950" s="24"/>
      <c r="T950" s="28" t="str">
        <f aca="false">IF(S950&lt;&gt;"",S950,IF(B950="","",IFERROR(IF(INDEX(Batches!$G$5:$G$64,MATCH(B950,Batches!$A$5:$A$64,0))="","",INDEX(Batches!$G$5:$G$64,MATCH(B950,Batches!$A$5:$A$64,0))),"")))</f>
        <v/>
      </c>
      <c r="U950" s="23"/>
      <c r="V950" s="24"/>
      <c r="W950" s="28" t="str">
        <f aca="false">IF(OR(X950="",X950="Pending"),"",IF(V950&lt;&gt;"",V950,IFERROR(IF(INDEX(Batches!$H$5:$H$64,MATCH(B950,Batches!$A$5:$A$64,0))="","",INDEX(Batches!$H$5:$H$64,MATCH(B950,Batches!$A$5:$A$64,0))),"")))</f>
        <v/>
      </c>
      <c r="X950" s="23"/>
      <c r="Y950" s="23"/>
      <c r="Z950" s="26"/>
      <c r="AA950" s="27" t="str">
        <f aca="false">IF(R950="","",IF(X950="Not accepted",R950,IF(OR(X950="Accepted",X950="Withdrawn by hospital"),IF(X950="Accepted",0,R950),IF(ISNUMBER(Z950),R950-Z950,""))))</f>
        <v/>
      </c>
      <c r="AB950" s="23"/>
      <c r="AC950" s="25"/>
      <c r="AD950" s="23"/>
      <c r="AE950" s="23"/>
      <c r="AF950" s="24"/>
      <c r="AG950" s="23"/>
      <c r="AH950" s="24"/>
      <c r="AI950" s="29" t="str">
        <f aca="false">IF(X950="Not accepted","Maintained",IF(X950="Partially accepted","Partially maintained",IF(X950="Accepted","Reversed",IF(X950="Withdrawn by hospital","Withdrawn by hospital",""))))</f>
        <v/>
      </c>
      <c r="AJ950" s="28" t="str">
        <f aca="false">IF(AI950="","",W950)</f>
        <v/>
      </c>
      <c r="AK950" s="29" t="str">
        <f aca="false">IF(AND(ISNUMBER(T950),ISNUMBER(W950)),W950-T950,"")</f>
        <v/>
      </c>
      <c r="AL950" s="29" t="str">
        <f aca="false">IF(A950="","",SUMIF(Actions!$C$5:$C$1004,A950,Actions!$F$5:$F$1004))</f>
        <v/>
      </c>
      <c r="AM950" s="25"/>
    </row>
    <row r="951" customFormat="false" ht="15" hidden="false" customHeight="false" outlineLevel="0" collapsed="false">
      <c r="A951" s="23"/>
      <c r="B951" s="23"/>
      <c r="C951" s="23"/>
      <c r="D951" s="23"/>
      <c r="E951" s="23"/>
      <c r="F951" s="23"/>
      <c r="G951" s="23"/>
      <c r="H951" s="23"/>
      <c r="I951" s="23"/>
      <c r="J951" s="23"/>
      <c r="K951" s="24"/>
      <c r="L951" s="23"/>
      <c r="M951" s="25"/>
      <c r="N951" s="25"/>
      <c r="O951" s="23"/>
      <c r="P951" s="26"/>
      <c r="Q951" s="26"/>
      <c r="R951" s="27" t="str">
        <f aca="false">IF(AND(ISNUMBER(P951),ISNUMBER(Q951)),P951-Q951,"")</f>
        <v/>
      </c>
      <c r="S951" s="24"/>
      <c r="T951" s="28" t="str">
        <f aca="false">IF(S951&lt;&gt;"",S951,IF(B951="","",IFERROR(IF(INDEX(Batches!$G$5:$G$64,MATCH(B951,Batches!$A$5:$A$64,0))="","",INDEX(Batches!$G$5:$G$64,MATCH(B951,Batches!$A$5:$A$64,0))),"")))</f>
        <v/>
      </c>
      <c r="U951" s="23"/>
      <c r="V951" s="24"/>
      <c r="W951" s="28" t="str">
        <f aca="false">IF(OR(X951="",X951="Pending"),"",IF(V951&lt;&gt;"",V951,IFERROR(IF(INDEX(Batches!$H$5:$H$64,MATCH(B951,Batches!$A$5:$A$64,0))="","",INDEX(Batches!$H$5:$H$64,MATCH(B951,Batches!$A$5:$A$64,0))),"")))</f>
        <v/>
      </c>
      <c r="X951" s="23"/>
      <c r="Y951" s="23"/>
      <c r="Z951" s="26"/>
      <c r="AA951" s="27" t="str">
        <f aca="false">IF(R951="","",IF(X951="Not accepted",R951,IF(OR(X951="Accepted",X951="Withdrawn by hospital"),IF(X951="Accepted",0,R951),IF(ISNUMBER(Z951),R951-Z951,""))))</f>
        <v/>
      </c>
      <c r="AB951" s="23"/>
      <c r="AC951" s="25"/>
      <c r="AD951" s="23"/>
      <c r="AE951" s="23"/>
      <c r="AF951" s="24"/>
      <c r="AG951" s="23"/>
      <c r="AH951" s="24"/>
      <c r="AI951" s="29" t="str">
        <f aca="false">IF(X951="Not accepted","Maintained",IF(X951="Partially accepted","Partially maintained",IF(X951="Accepted","Reversed",IF(X951="Withdrawn by hospital","Withdrawn by hospital",""))))</f>
        <v/>
      </c>
      <c r="AJ951" s="28" t="str">
        <f aca="false">IF(AI951="","",W951)</f>
        <v/>
      </c>
      <c r="AK951" s="29" t="str">
        <f aca="false">IF(AND(ISNUMBER(T951),ISNUMBER(W951)),W951-T951,"")</f>
        <v/>
      </c>
      <c r="AL951" s="29" t="str">
        <f aca="false">IF(A951="","",SUMIF(Actions!$C$5:$C$1004,A951,Actions!$F$5:$F$1004))</f>
        <v/>
      </c>
      <c r="AM951" s="25"/>
    </row>
    <row r="952" customFormat="false" ht="15" hidden="false" customHeight="false" outlineLevel="0" collapsed="false">
      <c r="A952" s="23"/>
      <c r="B952" s="23"/>
      <c r="C952" s="23"/>
      <c r="D952" s="23"/>
      <c r="E952" s="23"/>
      <c r="F952" s="23"/>
      <c r="G952" s="23"/>
      <c r="H952" s="23"/>
      <c r="I952" s="23"/>
      <c r="J952" s="23"/>
      <c r="K952" s="24"/>
      <c r="L952" s="23"/>
      <c r="M952" s="25"/>
      <c r="N952" s="25"/>
      <c r="O952" s="23"/>
      <c r="P952" s="26"/>
      <c r="Q952" s="26"/>
      <c r="R952" s="27" t="str">
        <f aca="false">IF(AND(ISNUMBER(P952),ISNUMBER(Q952)),P952-Q952,"")</f>
        <v/>
      </c>
      <c r="S952" s="24"/>
      <c r="T952" s="28" t="str">
        <f aca="false">IF(S952&lt;&gt;"",S952,IF(B952="","",IFERROR(IF(INDEX(Batches!$G$5:$G$64,MATCH(B952,Batches!$A$5:$A$64,0))="","",INDEX(Batches!$G$5:$G$64,MATCH(B952,Batches!$A$5:$A$64,0))),"")))</f>
        <v/>
      </c>
      <c r="U952" s="23"/>
      <c r="V952" s="24"/>
      <c r="W952" s="28" t="str">
        <f aca="false">IF(OR(X952="",X952="Pending"),"",IF(V952&lt;&gt;"",V952,IFERROR(IF(INDEX(Batches!$H$5:$H$64,MATCH(B952,Batches!$A$5:$A$64,0))="","",INDEX(Batches!$H$5:$H$64,MATCH(B952,Batches!$A$5:$A$64,0))),"")))</f>
        <v/>
      </c>
      <c r="X952" s="23"/>
      <c r="Y952" s="23"/>
      <c r="Z952" s="26"/>
      <c r="AA952" s="27" t="str">
        <f aca="false">IF(R952="","",IF(X952="Not accepted",R952,IF(OR(X952="Accepted",X952="Withdrawn by hospital"),IF(X952="Accepted",0,R952),IF(ISNUMBER(Z952),R952-Z952,""))))</f>
        <v/>
      </c>
      <c r="AB952" s="23"/>
      <c r="AC952" s="25"/>
      <c r="AD952" s="23"/>
      <c r="AE952" s="23"/>
      <c r="AF952" s="24"/>
      <c r="AG952" s="23"/>
      <c r="AH952" s="24"/>
      <c r="AI952" s="29" t="str">
        <f aca="false">IF(X952="Not accepted","Maintained",IF(X952="Partially accepted","Partially maintained",IF(X952="Accepted","Reversed",IF(X952="Withdrawn by hospital","Withdrawn by hospital",""))))</f>
        <v/>
      </c>
      <c r="AJ952" s="28" t="str">
        <f aca="false">IF(AI952="","",W952)</f>
        <v/>
      </c>
      <c r="AK952" s="29" t="str">
        <f aca="false">IF(AND(ISNUMBER(T952),ISNUMBER(W952)),W952-T952,"")</f>
        <v/>
      </c>
      <c r="AL952" s="29" t="str">
        <f aca="false">IF(A952="","",SUMIF(Actions!$C$5:$C$1004,A952,Actions!$F$5:$F$1004))</f>
        <v/>
      </c>
      <c r="AM952" s="25"/>
    </row>
    <row r="953" customFormat="false" ht="15" hidden="false" customHeight="false" outlineLevel="0" collapsed="false">
      <c r="A953" s="23"/>
      <c r="B953" s="23"/>
      <c r="C953" s="23"/>
      <c r="D953" s="23"/>
      <c r="E953" s="23"/>
      <c r="F953" s="23"/>
      <c r="G953" s="23"/>
      <c r="H953" s="23"/>
      <c r="I953" s="23"/>
      <c r="J953" s="23"/>
      <c r="K953" s="24"/>
      <c r="L953" s="23"/>
      <c r="M953" s="25"/>
      <c r="N953" s="25"/>
      <c r="O953" s="23"/>
      <c r="P953" s="26"/>
      <c r="Q953" s="26"/>
      <c r="R953" s="27" t="str">
        <f aca="false">IF(AND(ISNUMBER(P953),ISNUMBER(Q953)),P953-Q953,"")</f>
        <v/>
      </c>
      <c r="S953" s="24"/>
      <c r="T953" s="28" t="str">
        <f aca="false">IF(S953&lt;&gt;"",S953,IF(B953="","",IFERROR(IF(INDEX(Batches!$G$5:$G$64,MATCH(B953,Batches!$A$5:$A$64,0))="","",INDEX(Batches!$G$5:$G$64,MATCH(B953,Batches!$A$5:$A$64,0))),"")))</f>
        <v/>
      </c>
      <c r="U953" s="23"/>
      <c r="V953" s="24"/>
      <c r="W953" s="28" t="str">
        <f aca="false">IF(OR(X953="",X953="Pending"),"",IF(V953&lt;&gt;"",V953,IFERROR(IF(INDEX(Batches!$H$5:$H$64,MATCH(B953,Batches!$A$5:$A$64,0))="","",INDEX(Batches!$H$5:$H$64,MATCH(B953,Batches!$A$5:$A$64,0))),"")))</f>
        <v/>
      </c>
      <c r="X953" s="23"/>
      <c r="Y953" s="23"/>
      <c r="Z953" s="26"/>
      <c r="AA953" s="27" t="str">
        <f aca="false">IF(R953="","",IF(X953="Not accepted",R953,IF(OR(X953="Accepted",X953="Withdrawn by hospital"),IF(X953="Accepted",0,R953),IF(ISNUMBER(Z953),R953-Z953,""))))</f>
        <v/>
      </c>
      <c r="AB953" s="23"/>
      <c r="AC953" s="25"/>
      <c r="AD953" s="23"/>
      <c r="AE953" s="23"/>
      <c r="AF953" s="24"/>
      <c r="AG953" s="23"/>
      <c r="AH953" s="24"/>
      <c r="AI953" s="29" t="str">
        <f aca="false">IF(X953="Not accepted","Maintained",IF(X953="Partially accepted","Partially maintained",IF(X953="Accepted","Reversed",IF(X953="Withdrawn by hospital","Withdrawn by hospital",""))))</f>
        <v/>
      </c>
      <c r="AJ953" s="28" t="str">
        <f aca="false">IF(AI953="","",W953)</f>
        <v/>
      </c>
      <c r="AK953" s="29" t="str">
        <f aca="false">IF(AND(ISNUMBER(T953),ISNUMBER(W953)),W953-T953,"")</f>
        <v/>
      </c>
      <c r="AL953" s="29" t="str">
        <f aca="false">IF(A953="","",SUMIF(Actions!$C$5:$C$1004,A953,Actions!$F$5:$F$1004))</f>
        <v/>
      </c>
      <c r="AM953" s="25"/>
    </row>
    <row r="954" customFormat="false" ht="15" hidden="false" customHeight="false" outlineLevel="0" collapsed="false">
      <c r="A954" s="23"/>
      <c r="B954" s="23"/>
      <c r="C954" s="23"/>
      <c r="D954" s="23"/>
      <c r="E954" s="23"/>
      <c r="F954" s="23"/>
      <c r="G954" s="23"/>
      <c r="H954" s="23"/>
      <c r="I954" s="23"/>
      <c r="J954" s="23"/>
      <c r="K954" s="24"/>
      <c r="L954" s="23"/>
      <c r="M954" s="25"/>
      <c r="N954" s="25"/>
      <c r="O954" s="23"/>
      <c r="P954" s="26"/>
      <c r="Q954" s="26"/>
      <c r="R954" s="27" t="str">
        <f aca="false">IF(AND(ISNUMBER(P954),ISNUMBER(Q954)),P954-Q954,"")</f>
        <v/>
      </c>
      <c r="S954" s="24"/>
      <c r="T954" s="28" t="str">
        <f aca="false">IF(S954&lt;&gt;"",S954,IF(B954="","",IFERROR(IF(INDEX(Batches!$G$5:$G$64,MATCH(B954,Batches!$A$5:$A$64,0))="","",INDEX(Batches!$G$5:$G$64,MATCH(B954,Batches!$A$5:$A$64,0))),"")))</f>
        <v/>
      </c>
      <c r="U954" s="23"/>
      <c r="V954" s="24"/>
      <c r="W954" s="28" t="str">
        <f aca="false">IF(OR(X954="",X954="Pending"),"",IF(V954&lt;&gt;"",V954,IFERROR(IF(INDEX(Batches!$H$5:$H$64,MATCH(B954,Batches!$A$5:$A$64,0))="","",INDEX(Batches!$H$5:$H$64,MATCH(B954,Batches!$A$5:$A$64,0))),"")))</f>
        <v/>
      </c>
      <c r="X954" s="23"/>
      <c r="Y954" s="23"/>
      <c r="Z954" s="26"/>
      <c r="AA954" s="27" t="str">
        <f aca="false">IF(R954="","",IF(X954="Not accepted",R954,IF(OR(X954="Accepted",X954="Withdrawn by hospital"),IF(X954="Accepted",0,R954),IF(ISNUMBER(Z954),R954-Z954,""))))</f>
        <v/>
      </c>
      <c r="AB954" s="23"/>
      <c r="AC954" s="25"/>
      <c r="AD954" s="23"/>
      <c r="AE954" s="23"/>
      <c r="AF954" s="24"/>
      <c r="AG954" s="23"/>
      <c r="AH954" s="24"/>
      <c r="AI954" s="29" t="str">
        <f aca="false">IF(X954="Not accepted","Maintained",IF(X954="Partially accepted","Partially maintained",IF(X954="Accepted","Reversed",IF(X954="Withdrawn by hospital","Withdrawn by hospital",""))))</f>
        <v/>
      </c>
      <c r="AJ954" s="28" t="str">
        <f aca="false">IF(AI954="","",W954)</f>
        <v/>
      </c>
      <c r="AK954" s="29" t="str">
        <f aca="false">IF(AND(ISNUMBER(T954),ISNUMBER(W954)),W954-T954,"")</f>
        <v/>
      </c>
      <c r="AL954" s="29" t="str">
        <f aca="false">IF(A954="","",SUMIF(Actions!$C$5:$C$1004,A954,Actions!$F$5:$F$1004))</f>
        <v/>
      </c>
      <c r="AM954" s="25"/>
    </row>
    <row r="955" customFormat="false" ht="15" hidden="false" customHeight="false" outlineLevel="0" collapsed="false">
      <c r="A955" s="23"/>
      <c r="B955" s="23"/>
      <c r="C955" s="23"/>
      <c r="D955" s="23"/>
      <c r="E955" s="23"/>
      <c r="F955" s="23"/>
      <c r="G955" s="23"/>
      <c r="H955" s="23"/>
      <c r="I955" s="23"/>
      <c r="J955" s="23"/>
      <c r="K955" s="24"/>
      <c r="L955" s="23"/>
      <c r="M955" s="25"/>
      <c r="N955" s="25"/>
      <c r="O955" s="23"/>
      <c r="P955" s="26"/>
      <c r="Q955" s="26"/>
      <c r="R955" s="27" t="str">
        <f aca="false">IF(AND(ISNUMBER(P955),ISNUMBER(Q955)),P955-Q955,"")</f>
        <v/>
      </c>
      <c r="S955" s="24"/>
      <c r="T955" s="28" t="str">
        <f aca="false">IF(S955&lt;&gt;"",S955,IF(B955="","",IFERROR(IF(INDEX(Batches!$G$5:$G$64,MATCH(B955,Batches!$A$5:$A$64,0))="","",INDEX(Batches!$G$5:$G$64,MATCH(B955,Batches!$A$5:$A$64,0))),"")))</f>
        <v/>
      </c>
      <c r="U955" s="23"/>
      <c r="V955" s="24"/>
      <c r="W955" s="28" t="str">
        <f aca="false">IF(OR(X955="",X955="Pending"),"",IF(V955&lt;&gt;"",V955,IFERROR(IF(INDEX(Batches!$H$5:$H$64,MATCH(B955,Batches!$A$5:$A$64,0))="","",INDEX(Batches!$H$5:$H$64,MATCH(B955,Batches!$A$5:$A$64,0))),"")))</f>
        <v/>
      </c>
      <c r="X955" s="23"/>
      <c r="Y955" s="23"/>
      <c r="Z955" s="26"/>
      <c r="AA955" s="27" t="str">
        <f aca="false">IF(R955="","",IF(X955="Not accepted",R955,IF(OR(X955="Accepted",X955="Withdrawn by hospital"),IF(X955="Accepted",0,R955),IF(ISNUMBER(Z955),R955-Z955,""))))</f>
        <v/>
      </c>
      <c r="AB955" s="23"/>
      <c r="AC955" s="25"/>
      <c r="AD955" s="23"/>
      <c r="AE955" s="23"/>
      <c r="AF955" s="24"/>
      <c r="AG955" s="23"/>
      <c r="AH955" s="24"/>
      <c r="AI955" s="29" t="str">
        <f aca="false">IF(X955="Not accepted","Maintained",IF(X955="Partially accepted","Partially maintained",IF(X955="Accepted","Reversed",IF(X955="Withdrawn by hospital","Withdrawn by hospital",""))))</f>
        <v/>
      </c>
      <c r="AJ955" s="28" t="str">
        <f aca="false">IF(AI955="","",W955)</f>
        <v/>
      </c>
      <c r="AK955" s="29" t="str">
        <f aca="false">IF(AND(ISNUMBER(T955),ISNUMBER(W955)),W955-T955,"")</f>
        <v/>
      </c>
      <c r="AL955" s="29" t="str">
        <f aca="false">IF(A955="","",SUMIF(Actions!$C$5:$C$1004,A955,Actions!$F$5:$F$1004))</f>
        <v/>
      </c>
      <c r="AM955" s="25"/>
    </row>
    <row r="956" customFormat="false" ht="15" hidden="false" customHeight="false" outlineLevel="0" collapsed="false">
      <c r="A956" s="23"/>
      <c r="B956" s="23"/>
      <c r="C956" s="23"/>
      <c r="D956" s="23"/>
      <c r="E956" s="23"/>
      <c r="F956" s="23"/>
      <c r="G956" s="23"/>
      <c r="H956" s="23"/>
      <c r="I956" s="23"/>
      <c r="J956" s="23"/>
      <c r="K956" s="24"/>
      <c r="L956" s="23"/>
      <c r="M956" s="25"/>
      <c r="N956" s="25"/>
      <c r="O956" s="23"/>
      <c r="P956" s="26"/>
      <c r="Q956" s="26"/>
      <c r="R956" s="27" t="str">
        <f aca="false">IF(AND(ISNUMBER(P956),ISNUMBER(Q956)),P956-Q956,"")</f>
        <v/>
      </c>
      <c r="S956" s="24"/>
      <c r="T956" s="28" t="str">
        <f aca="false">IF(S956&lt;&gt;"",S956,IF(B956="","",IFERROR(IF(INDEX(Batches!$G$5:$G$64,MATCH(B956,Batches!$A$5:$A$64,0))="","",INDEX(Batches!$G$5:$G$64,MATCH(B956,Batches!$A$5:$A$64,0))),"")))</f>
        <v/>
      </c>
      <c r="U956" s="23"/>
      <c r="V956" s="24"/>
      <c r="W956" s="28" t="str">
        <f aca="false">IF(OR(X956="",X956="Pending"),"",IF(V956&lt;&gt;"",V956,IFERROR(IF(INDEX(Batches!$H$5:$H$64,MATCH(B956,Batches!$A$5:$A$64,0))="","",INDEX(Batches!$H$5:$H$64,MATCH(B956,Batches!$A$5:$A$64,0))),"")))</f>
        <v/>
      </c>
      <c r="X956" s="23"/>
      <c r="Y956" s="23"/>
      <c r="Z956" s="26"/>
      <c r="AA956" s="27" t="str">
        <f aca="false">IF(R956="","",IF(X956="Not accepted",R956,IF(OR(X956="Accepted",X956="Withdrawn by hospital"),IF(X956="Accepted",0,R956),IF(ISNUMBER(Z956),R956-Z956,""))))</f>
        <v/>
      </c>
      <c r="AB956" s="23"/>
      <c r="AC956" s="25"/>
      <c r="AD956" s="23"/>
      <c r="AE956" s="23"/>
      <c r="AF956" s="24"/>
      <c r="AG956" s="23"/>
      <c r="AH956" s="24"/>
      <c r="AI956" s="29" t="str">
        <f aca="false">IF(X956="Not accepted","Maintained",IF(X956="Partially accepted","Partially maintained",IF(X956="Accepted","Reversed",IF(X956="Withdrawn by hospital","Withdrawn by hospital",""))))</f>
        <v/>
      </c>
      <c r="AJ956" s="28" t="str">
        <f aca="false">IF(AI956="","",W956)</f>
        <v/>
      </c>
      <c r="AK956" s="29" t="str">
        <f aca="false">IF(AND(ISNUMBER(T956),ISNUMBER(W956)),W956-T956,"")</f>
        <v/>
      </c>
      <c r="AL956" s="29" t="str">
        <f aca="false">IF(A956="","",SUMIF(Actions!$C$5:$C$1004,A956,Actions!$F$5:$F$1004))</f>
        <v/>
      </c>
      <c r="AM956" s="25"/>
    </row>
    <row r="957" customFormat="false" ht="15" hidden="false" customHeight="false" outlineLevel="0" collapsed="false">
      <c r="A957" s="23"/>
      <c r="B957" s="23"/>
      <c r="C957" s="23"/>
      <c r="D957" s="23"/>
      <c r="E957" s="23"/>
      <c r="F957" s="23"/>
      <c r="G957" s="23"/>
      <c r="H957" s="23"/>
      <c r="I957" s="23"/>
      <c r="J957" s="23"/>
      <c r="K957" s="24"/>
      <c r="L957" s="23"/>
      <c r="M957" s="25"/>
      <c r="N957" s="25"/>
      <c r="O957" s="23"/>
      <c r="P957" s="26"/>
      <c r="Q957" s="26"/>
      <c r="R957" s="27" t="str">
        <f aca="false">IF(AND(ISNUMBER(P957),ISNUMBER(Q957)),P957-Q957,"")</f>
        <v/>
      </c>
      <c r="S957" s="24"/>
      <c r="T957" s="28" t="str">
        <f aca="false">IF(S957&lt;&gt;"",S957,IF(B957="","",IFERROR(IF(INDEX(Batches!$G$5:$G$64,MATCH(B957,Batches!$A$5:$A$64,0))="","",INDEX(Batches!$G$5:$G$64,MATCH(B957,Batches!$A$5:$A$64,0))),"")))</f>
        <v/>
      </c>
      <c r="U957" s="23"/>
      <c r="V957" s="24"/>
      <c r="W957" s="28" t="str">
        <f aca="false">IF(OR(X957="",X957="Pending"),"",IF(V957&lt;&gt;"",V957,IFERROR(IF(INDEX(Batches!$H$5:$H$64,MATCH(B957,Batches!$A$5:$A$64,0))="","",INDEX(Batches!$H$5:$H$64,MATCH(B957,Batches!$A$5:$A$64,0))),"")))</f>
        <v/>
      </c>
      <c r="X957" s="23"/>
      <c r="Y957" s="23"/>
      <c r="Z957" s="26"/>
      <c r="AA957" s="27" t="str">
        <f aca="false">IF(R957="","",IF(X957="Not accepted",R957,IF(OR(X957="Accepted",X957="Withdrawn by hospital"),IF(X957="Accepted",0,R957),IF(ISNUMBER(Z957),R957-Z957,""))))</f>
        <v/>
      </c>
      <c r="AB957" s="23"/>
      <c r="AC957" s="25"/>
      <c r="AD957" s="23"/>
      <c r="AE957" s="23"/>
      <c r="AF957" s="24"/>
      <c r="AG957" s="23"/>
      <c r="AH957" s="24"/>
      <c r="AI957" s="29" t="str">
        <f aca="false">IF(X957="Not accepted","Maintained",IF(X957="Partially accepted","Partially maintained",IF(X957="Accepted","Reversed",IF(X957="Withdrawn by hospital","Withdrawn by hospital",""))))</f>
        <v/>
      </c>
      <c r="AJ957" s="28" t="str">
        <f aca="false">IF(AI957="","",W957)</f>
        <v/>
      </c>
      <c r="AK957" s="29" t="str">
        <f aca="false">IF(AND(ISNUMBER(T957),ISNUMBER(W957)),W957-T957,"")</f>
        <v/>
      </c>
      <c r="AL957" s="29" t="str">
        <f aca="false">IF(A957="","",SUMIF(Actions!$C$5:$C$1004,A957,Actions!$F$5:$F$1004))</f>
        <v/>
      </c>
      <c r="AM957" s="25"/>
    </row>
    <row r="958" customFormat="false" ht="15" hidden="false" customHeight="false" outlineLevel="0" collapsed="false">
      <c r="A958" s="23"/>
      <c r="B958" s="23"/>
      <c r="C958" s="23"/>
      <c r="D958" s="23"/>
      <c r="E958" s="23"/>
      <c r="F958" s="23"/>
      <c r="G958" s="23"/>
      <c r="H958" s="23"/>
      <c r="I958" s="23"/>
      <c r="J958" s="23"/>
      <c r="K958" s="24"/>
      <c r="L958" s="23"/>
      <c r="M958" s="25"/>
      <c r="N958" s="25"/>
      <c r="O958" s="23"/>
      <c r="P958" s="26"/>
      <c r="Q958" s="26"/>
      <c r="R958" s="27" t="str">
        <f aca="false">IF(AND(ISNUMBER(P958),ISNUMBER(Q958)),P958-Q958,"")</f>
        <v/>
      </c>
      <c r="S958" s="24"/>
      <c r="T958" s="28" t="str">
        <f aca="false">IF(S958&lt;&gt;"",S958,IF(B958="","",IFERROR(IF(INDEX(Batches!$G$5:$G$64,MATCH(B958,Batches!$A$5:$A$64,0))="","",INDEX(Batches!$G$5:$G$64,MATCH(B958,Batches!$A$5:$A$64,0))),"")))</f>
        <v/>
      </c>
      <c r="U958" s="23"/>
      <c r="V958" s="24"/>
      <c r="W958" s="28" t="str">
        <f aca="false">IF(OR(X958="",X958="Pending"),"",IF(V958&lt;&gt;"",V958,IFERROR(IF(INDEX(Batches!$H$5:$H$64,MATCH(B958,Batches!$A$5:$A$64,0))="","",INDEX(Batches!$H$5:$H$64,MATCH(B958,Batches!$A$5:$A$64,0))),"")))</f>
        <v/>
      </c>
      <c r="X958" s="23"/>
      <c r="Y958" s="23"/>
      <c r="Z958" s="26"/>
      <c r="AA958" s="27" t="str">
        <f aca="false">IF(R958="","",IF(X958="Not accepted",R958,IF(OR(X958="Accepted",X958="Withdrawn by hospital"),IF(X958="Accepted",0,R958),IF(ISNUMBER(Z958),R958-Z958,""))))</f>
        <v/>
      </c>
      <c r="AB958" s="23"/>
      <c r="AC958" s="25"/>
      <c r="AD958" s="23"/>
      <c r="AE958" s="23"/>
      <c r="AF958" s="24"/>
      <c r="AG958" s="23"/>
      <c r="AH958" s="24"/>
      <c r="AI958" s="29" t="str">
        <f aca="false">IF(X958="Not accepted","Maintained",IF(X958="Partially accepted","Partially maintained",IF(X958="Accepted","Reversed",IF(X958="Withdrawn by hospital","Withdrawn by hospital",""))))</f>
        <v/>
      </c>
      <c r="AJ958" s="28" t="str">
        <f aca="false">IF(AI958="","",W958)</f>
        <v/>
      </c>
      <c r="AK958" s="29" t="str">
        <f aca="false">IF(AND(ISNUMBER(T958),ISNUMBER(W958)),W958-T958,"")</f>
        <v/>
      </c>
      <c r="AL958" s="29" t="str">
        <f aca="false">IF(A958="","",SUMIF(Actions!$C$5:$C$1004,A958,Actions!$F$5:$F$1004))</f>
        <v/>
      </c>
      <c r="AM958" s="25"/>
    </row>
    <row r="959" customFormat="false" ht="15" hidden="false" customHeight="false" outlineLevel="0" collapsed="false">
      <c r="A959" s="23"/>
      <c r="B959" s="23"/>
      <c r="C959" s="23"/>
      <c r="D959" s="23"/>
      <c r="E959" s="23"/>
      <c r="F959" s="23"/>
      <c r="G959" s="23"/>
      <c r="H959" s="23"/>
      <c r="I959" s="23"/>
      <c r="J959" s="23"/>
      <c r="K959" s="24"/>
      <c r="L959" s="23"/>
      <c r="M959" s="25"/>
      <c r="N959" s="25"/>
      <c r="O959" s="23"/>
      <c r="P959" s="26"/>
      <c r="Q959" s="26"/>
      <c r="R959" s="27" t="str">
        <f aca="false">IF(AND(ISNUMBER(P959),ISNUMBER(Q959)),P959-Q959,"")</f>
        <v/>
      </c>
      <c r="S959" s="24"/>
      <c r="T959" s="28" t="str">
        <f aca="false">IF(S959&lt;&gt;"",S959,IF(B959="","",IFERROR(IF(INDEX(Batches!$G$5:$G$64,MATCH(B959,Batches!$A$5:$A$64,0))="","",INDEX(Batches!$G$5:$G$64,MATCH(B959,Batches!$A$5:$A$64,0))),"")))</f>
        <v/>
      </c>
      <c r="U959" s="23"/>
      <c r="V959" s="24"/>
      <c r="W959" s="28" t="str">
        <f aca="false">IF(OR(X959="",X959="Pending"),"",IF(V959&lt;&gt;"",V959,IFERROR(IF(INDEX(Batches!$H$5:$H$64,MATCH(B959,Batches!$A$5:$A$64,0))="","",INDEX(Batches!$H$5:$H$64,MATCH(B959,Batches!$A$5:$A$64,0))),"")))</f>
        <v/>
      </c>
      <c r="X959" s="23"/>
      <c r="Y959" s="23"/>
      <c r="Z959" s="26"/>
      <c r="AA959" s="27" t="str">
        <f aca="false">IF(R959="","",IF(X959="Not accepted",R959,IF(OR(X959="Accepted",X959="Withdrawn by hospital"),IF(X959="Accepted",0,R959),IF(ISNUMBER(Z959),R959-Z959,""))))</f>
        <v/>
      </c>
      <c r="AB959" s="23"/>
      <c r="AC959" s="25"/>
      <c r="AD959" s="23"/>
      <c r="AE959" s="23"/>
      <c r="AF959" s="24"/>
      <c r="AG959" s="23"/>
      <c r="AH959" s="24"/>
      <c r="AI959" s="29" t="str">
        <f aca="false">IF(X959="Not accepted","Maintained",IF(X959="Partially accepted","Partially maintained",IF(X959="Accepted","Reversed",IF(X959="Withdrawn by hospital","Withdrawn by hospital",""))))</f>
        <v/>
      </c>
      <c r="AJ959" s="28" t="str">
        <f aca="false">IF(AI959="","",W959)</f>
        <v/>
      </c>
      <c r="AK959" s="29" t="str">
        <f aca="false">IF(AND(ISNUMBER(T959),ISNUMBER(W959)),W959-T959,"")</f>
        <v/>
      </c>
      <c r="AL959" s="29" t="str">
        <f aca="false">IF(A959="","",SUMIF(Actions!$C$5:$C$1004,A959,Actions!$F$5:$F$1004))</f>
        <v/>
      </c>
      <c r="AM959" s="25"/>
    </row>
    <row r="960" customFormat="false" ht="15" hidden="false" customHeight="false" outlineLevel="0" collapsed="false">
      <c r="A960" s="23"/>
      <c r="B960" s="23"/>
      <c r="C960" s="23"/>
      <c r="D960" s="23"/>
      <c r="E960" s="23"/>
      <c r="F960" s="23"/>
      <c r="G960" s="23"/>
      <c r="H960" s="23"/>
      <c r="I960" s="23"/>
      <c r="J960" s="23"/>
      <c r="K960" s="24"/>
      <c r="L960" s="23"/>
      <c r="M960" s="25"/>
      <c r="N960" s="25"/>
      <c r="O960" s="23"/>
      <c r="P960" s="26"/>
      <c r="Q960" s="26"/>
      <c r="R960" s="27" t="str">
        <f aca="false">IF(AND(ISNUMBER(P960),ISNUMBER(Q960)),P960-Q960,"")</f>
        <v/>
      </c>
      <c r="S960" s="24"/>
      <c r="T960" s="28" t="str">
        <f aca="false">IF(S960&lt;&gt;"",S960,IF(B960="","",IFERROR(IF(INDEX(Batches!$G$5:$G$64,MATCH(B960,Batches!$A$5:$A$64,0))="","",INDEX(Batches!$G$5:$G$64,MATCH(B960,Batches!$A$5:$A$64,0))),"")))</f>
        <v/>
      </c>
      <c r="U960" s="23"/>
      <c r="V960" s="24"/>
      <c r="W960" s="28" t="str">
        <f aca="false">IF(OR(X960="",X960="Pending"),"",IF(V960&lt;&gt;"",V960,IFERROR(IF(INDEX(Batches!$H$5:$H$64,MATCH(B960,Batches!$A$5:$A$64,0))="","",INDEX(Batches!$H$5:$H$64,MATCH(B960,Batches!$A$5:$A$64,0))),"")))</f>
        <v/>
      </c>
      <c r="X960" s="23"/>
      <c r="Y960" s="23"/>
      <c r="Z960" s="26"/>
      <c r="AA960" s="27" t="str">
        <f aca="false">IF(R960="","",IF(X960="Not accepted",R960,IF(OR(X960="Accepted",X960="Withdrawn by hospital"),IF(X960="Accepted",0,R960),IF(ISNUMBER(Z960),R960-Z960,""))))</f>
        <v/>
      </c>
      <c r="AB960" s="23"/>
      <c r="AC960" s="25"/>
      <c r="AD960" s="23"/>
      <c r="AE960" s="23"/>
      <c r="AF960" s="24"/>
      <c r="AG960" s="23"/>
      <c r="AH960" s="24"/>
      <c r="AI960" s="29" t="str">
        <f aca="false">IF(X960="Not accepted","Maintained",IF(X960="Partially accepted","Partially maintained",IF(X960="Accepted","Reversed",IF(X960="Withdrawn by hospital","Withdrawn by hospital",""))))</f>
        <v/>
      </c>
      <c r="AJ960" s="28" t="str">
        <f aca="false">IF(AI960="","",W960)</f>
        <v/>
      </c>
      <c r="AK960" s="29" t="str">
        <f aca="false">IF(AND(ISNUMBER(T960),ISNUMBER(W960)),W960-T960,"")</f>
        <v/>
      </c>
      <c r="AL960" s="29" t="str">
        <f aca="false">IF(A960="","",SUMIF(Actions!$C$5:$C$1004,A960,Actions!$F$5:$F$1004))</f>
        <v/>
      </c>
      <c r="AM960" s="25"/>
    </row>
    <row r="961" customFormat="false" ht="15" hidden="false" customHeight="false" outlineLevel="0" collapsed="false">
      <c r="A961" s="23"/>
      <c r="B961" s="23"/>
      <c r="C961" s="23"/>
      <c r="D961" s="23"/>
      <c r="E961" s="23"/>
      <c r="F961" s="23"/>
      <c r="G961" s="23"/>
      <c r="H961" s="23"/>
      <c r="I961" s="23"/>
      <c r="J961" s="23"/>
      <c r="K961" s="24"/>
      <c r="L961" s="23"/>
      <c r="M961" s="25"/>
      <c r="N961" s="25"/>
      <c r="O961" s="23"/>
      <c r="P961" s="26"/>
      <c r="Q961" s="26"/>
      <c r="R961" s="27" t="str">
        <f aca="false">IF(AND(ISNUMBER(P961),ISNUMBER(Q961)),P961-Q961,"")</f>
        <v/>
      </c>
      <c r="S961" s="24"/>
      <c r="T961" s="28" t="str">
        <f aca="false">IF(S961&lt;&gt;"",S961,IF(B961="","",IFERROR(IF(INDEX(Batches!$G$5:$G$64,MATCH(B961,Batches!$A$5:$A$64,0))="","",INDEX(Batches!$G$5:$G$64,MATCH(B961,Batches!$A$5:$A$64,0))),"")))</f>
        <v/>
      </c>
      <c r="U961" s="23"/>
      <c r="V961" s="24"/>
      <c r="W961" s="28" t="str">
        <f aca="false">IF(OR(X961="",X961="Pending"),"",IF(V961&lt;&gt;"",V961,IFERROR(IF(INDEX(Batches!$H$5:$H$64,MATCH(B961,Batches!$A$5:$A$64,0))="","",INDEX(Batches!$H$5:$H$64,MATCH(B961,Batches!$A$5:$A$64,0))),"")))</f>
        <v/>
      </c>
      <c r="X961" s="23"/>
      <c r="Y961" s="23"/>
      <c r="Z961" s="26"/>
      <c r="AA961" s="27" t="str">
        <f aca="false">IF(R961="","",IF(X961="Not accepted",R961,IF(OR(X961="Accepted",X961="Withdrawn by hospital"),IF(X961="Accepted",0,R961),IF(ISNUMBER(Z961),R961-Z961,""))))</f>
        <v/>
      </c>
      <c r="AB961" s="23"/>
      <c r="AC961" s="25"/>
      <c r="AD961" s="23"/>
      <c r="AE961" s="23"/>
      <c r="AF961" s="24"/>
      <c r="AG961" s="23"/>
      <c r="AH961" s="24"/>
      <c r="AI961" s="29" t="str">
        <f aca="false">IF(X961="Not accepted","Maintained",IF(X961="Partially accepted","Partially maintained",IF(X961="Accepted","Reversed",IF(X961="Withdrawn by hospital","Withdrawn by hospital",""))))</f>
        <v/>
      </c>
      <c r="AJ961" s="28" t="str">
        <f aca="false">IF(AI961="","",W961)</f>
        <v/>
      </c>
      <c r="AK961" s="29" t="str">
        <f aca="false">IF(AND(ISNUMBER(T961),ISNUMBER(W961)),W961-T961,"")</f>
        <v/>
      </c>
      <c r="AL961" s="29" t="str">
        <f aca="false">IF(A961="","",SUMIF(Actions!$C$5:$C$1004,A961,Actions!$F$5:$F$1004))</f>
        <v/>
      </c>
      <c r="AM961" s="25"/>
    </row>
    <row r="962" customFormat="false" ht="15" hidden="false" customHeight="false" outlineLevel="0" collapsed="false">
      <c r="A962" s="23"/>
      <c r="B962" s="23"/>
      <c r="C962" s="23"/>
      <c r="D962" s="23"/>
      <c r="E962" s="23"/>
      <c r="F962" s="23"/>
      <c r="G962" s="23"/>
      <c r="H962" s="23"/>
      <c r="I962" s="23"/>
      <c r="J962" s="23"/>
      <c r="K962" s="24"/>
      <c r="L962" s="23"/>
      <c r="M962" s="25"/>
      <c r="N962" s="25"/>
      <c r="O962" s="23"/>
      <c r="P962" s="26"/>
      <c r="Q962" s="26"/>
      <c r="R962" s="27" t="str">
        <f aca="false">IF(AND(ISNUMBER(P962),ISNUMBER(Q962)),P962-Q962,"")</f>
        <v/>
      </c>
      <c r="S962" s="24"/>
      <c r="T962" s="28" t="str">
        <f aca="false">IF(S962&lt;&gt;"",S962,IF(B962="","",IFERROR(IF(INDEX(Batches!$G$5:$G$64,MATCH(B962,Batches!$A$5:$A$64,0))="","",INDEX(Batches!$G$5:$G$64,MATCH(B962,Batches!$A$5:$A$64,0))),"")))</f>
        <v/>
      </c>
      <c r="U962" s="23"/>
      <c r="V962" s="24"/>
      <c r="W962" s="28" t="str">
        <f aca="false">IF(OR(X962="",X962="Pending"),"",IF(V962&lt;&gt;"",V962,IFERROR(IF(INDEX(Batches!$H$5:$H$64,MATCH(B962,Batches!$A$5:$A$64,0))="","",INDEX(Batches!$H$5:$H$64,MATCH(B962,Batches!$A$5:$A$64,0))),"")))</f>
        <v/>
      </c>
      <c r="X962" s="23"/>
      <c r="Y962" s="23"/>
      <c r="Z962" s="26"/>
      <c r="AA962" s="27" t="str">
        <f aca="false">IF(R962="","",IF(X962="Not accepted",R962,IF(OR(X962="Accepted",X962="Withdrawn by hospital"),IF(X962="Accepted",0,R962),IF(ISNUMBER(Z962),R962-Z962,""))))</f>
        <v/>
      </c>
      <c r="AB962" s="23"/>
      <c r="AC962" s="25"/>
      <c r="AD962" s="23"/>
      <c r="AE962" s="23"/>
      <c r="AF962" s="24"/>
      <c r="AG962" s="23"/>
      <c r="AH962" s="24"/>
      <c r="AI962" s="29" t="str">
        <f aca="false">IF(X962="Not accepted","Maintained",IF(X962="Partially accepted","Partially maintained",IF(X962="Accepted","Reversed",IF(X962="Withdrawn by hospital","Withdrawn by hospital",""))))</f>
        <v/>
      </c>
      <c r="AJ962" s="28" t="str">
        <f aca="false">IF(AI962="","",W962)</f>
        <v/>
      </c>
      <c r="AK962" s="29" t="str">
        <f aca="false">IF(AND(ISNUMBER(T962),ISNUMBER(W962)),W962-T962,"")</f>
        <v/>
      </c>
      <c r="AL962" s="29" t="str">
        <f aca="false">IF(A962="","",SUMIF(Actions!$C$5:$C$1004,A962,Actions!$F$5:$F$1004))</f>
        <v/>
      </c>
      <c r="AM962" s="25"/>
    </row>
    <row r="963" customFormat="false" ht="15" hidden="false" customHeight="false" outlineLevel="0" collapsed="false">
      <c r="A963" s="23"/>
      <c r="B963" s="23"/>
      <c r="C963" s="23"/>
      <c r="D963" s="23"/>
      <c r="E963" s="23"/>
      <c r="F963" s="23"/>
      <c r="G963" s="23"/>
      <c r="H963" s="23"/>
      <c r="I963" s="23"/>
      <c r="J963" s="23"/>
      <c r="K963" s="24"/>
      <c r="L963" s="23"/>
      <c r="M963" s="25"/>
      <c r="N963" s="25"/>
      <c r="O963" s="23"/>
      <c r="P963" s="26"/>
      <c r="Q963" s="26"/>
      <c r="R963" s="27" t="str">
        <f aca="false">IF(AND(ISNUMBER(P963),ISNUMBER(Q963)),P963-Q963,"")</f>
        <v/>
      </c>
      <c r="S963" s="24"/>
      <c r="T963" s="28" t="str">
        <f aca="false">IF(S963&lt;&gt;"",S963,IF(B963="","",IFERROR(IF(INDEX(Batches!$G$5:$G$64,MATCH(B963,Batches!$A$5:$A$64,0))="","",INDEX(Batches!$G$5:$G$64,MATCH(B963,Batches!$A$5:$A$64,0))),"")))</f>
        <v/>
      </c>
      <c r="U963" s="23"/>
      <c r="V963" s="24"/>
      <c r="W963" s="28" t="str">
        <f aca="false">IF(OR(X963="",X963="Pending"),"",IF(V963&lt;&gt;"",V963,IFERROR(IF(INDEX(Batches!$H$5:$H$64,MATCH(B963,Batches!$A$5:$A$64,0))="","",INDEX(Batches!$H$5:$H$64,MATCH(B963,Batches!$A$5:$A$64,0))),"")))</f>
        <v/>
      </c>
      <c r="X963" s="23"/>
      <c r="Y963" s="23"/>
      <c r="Z963" s="26"/>
      <c r="AA963" s="27" t="str">
        <f aca="false">IF(R963="","",IF(X963="Not accepted",R963,IF(OR(X963="Accepted",X963="Withdrawn by hospital"),IF(X963="Accepted",0,R963),IF(ISNUMBER(Z963),R963-Z963,""))))</f>
        <v/>
      </c>
      <c r="AB963" s="23"/>
      <c r="AC963" s="25"/>
      <c r="AD963" s="23"/>
      <c r="AE963" s="23"/>
      <c r="AF963" s="24"/>
      <c r="AG963" s="23"/>
      <c r="AH963" s="24"/>
      <c r="AI963" s="29" t="str">
        <f aca="false">IF(X963="Not accepted","Maintained",IF(X963="Partially accepted","Partially maintained",IF(X963="Accepted","Reversed",IF(X963="Withdrawn by hospital","Withdrawn by hospital",""))))</f>
        <v/>
      </c>
      <c r="AJ963" s="28" t="str">
        <f aca="false">IF(AI963="","",W963)</f>
        <v/>
      </c>
      <c r="AK963" s="29" t="str">
        <f aca="false">IF(AND(ISNUMBER(T963),ISNUMBER(W963)),W963-T963,"")</f>
        <v/>
      </c>
      <c r="AL963" s="29" t="str">
        <f aca="false">IF(A963="","",SUMIF(Actions!$C$5:$C$1004,A963,Actions!$F$5:$F$1004))</f>
        <v/>
      </c>
      <c r="AM963" s="25"/>
    </row>
    <row r="964" customFormat="false" ht="15" hidden="false" customHeight="false" outlineLevel="0" collapsed="false">
      <c r="A964" s="23"/>
      <c r="B964" s="23"/>
      <c r="C964" s="23"/>
      <c r="D964" s="23"/>
      <c r="E964" s="23"/>
      <c r="F964" s="23"/>
      <c r="G964" s="23"/>
      <c r="H964" s="23"/>
      <c r="I964" s="23"/>
      <c r="J964" s="23"/>
      <c r="K964" s="24"/>
      <c r="L964" s="23"/>
      <c r="M964" s="25"/>
      <c r="N964" s="25"/>
      <c r="O964" s="23"/>
      <c r="P964" s="26"/>
      <c r="Q964" s="26"/>
      <c r="R964" s="27" t="str">
        <f aca="false">IF(AND(ISNUMBER(P964),ISNUMBER(Q964)),P964-Q964,"")</f>
        <v/>
      </c>
      <c r="S964" s="24"/>
      <c r="T964" s="28" t="str">
        <f aca="false">IF(S964&lt;&gt;"",S964,IF(B964="","",IFERROR(IF(INDEX(Batches!$G$5:$G$64,MATCH(B964,Batches!$A$5:$A$64,0))="","",INDEX(Batches!$G$5:$G$64,MATCH(B964,Batches!$A$5:$A$64,0))),"")))</f>
        <v/>
      </c>
      <c r="U964" s="23"/>
      <c r="V964" s="24"/>
      <c r="W964" s="28" t="str">
        <f aca="false">IF(OR(X964="",X964="Pending"),"",IF(V964&lt;&gt;"",V964,IFERROR(IF(INDEX(Batches!$H$5:$H$64,MATCH(B964,Batches!$A$5:$A$64,0))="","",INDEX(Batches!$H$5:$H$64,MATCH(B964,Batches!$A$5:$A$64,0))),"")))</f>
        <v/>
      </c>
      <c r="X964" s="23"/>
      <c r="Y964" s="23"/>
      <c r="Z964" s="26"/>
      <c r="AA964" s="27" t="str">
        <f aca="false">IF(R964="","",IF(X964="Not accepted",R964,IF(OR(X964="Accepted",X964="Withdrawn by hospital"),IF(X964="Accepted",0,R964),IF(ISNUMBER(Z964),R964-Z964,""))))</f>
        <v/>
      </c>
      <c r="AB964" s="23"/>
      <c r="AC964" s="25"/>
      <c r="AD964" s="23"/>
      <c r="AE964" s="23"/>
      <c r="AF964" s="24"/>
      <c r="AG964" s="23"/>
      <c r="AH964" s="24"/>
      <c r="AI964" s="29" t="str">
        <f aca="false">IF(X964="Not accepted","Maintained",IF(X964="Partially accepted","Partially maintained",IF(X964="Accepted","Reversed",IF(X964="Withdrawn by hospital","Withdrawn by hospital",""))))</f>
        <v/>
      </c>
      <c r="AJ964" s="28" t="str">
        <f aca="false">IF(AI964="","",W964)</f>
        <v/>
      </c>
      <c r="AK964" s="29" t="str">
        <f aca="false">IF(AND(ISNUMBER(T964),ISNUMBER(W964)),W964-T964,"")</f>
        <v/>
      </c>
      <c r="AL964" s="29" t="str">
        <f aca="false">IF(A964="","",SUMIF(Actions!$C$5:$C$1004,A964,Actions!$F$5:$F$1004))</f>
        <v/>
      </c>
      <c r="AM964" s="25"/>
    </row>
    <row r="965" customFormat="false" ht="15" hidden="false" customHeight="false" outlineLevel="0" collapsed="false">
      <c r="A965" s="23"/>
      <c r="B965" s="23"/>
      <c r="C965" s="23"/>
      <c r="D965" s="23"/>
      <c r="E965" s="23"/>
      <c r="F965" s="23"/>
      <c r="G965" s="23"/>
      <c r="H965" s="23"/>
      <c r="I965" s="23"/>
      <c r="J965" s="23"/>
      <c r="K965" s="24"/>
      <c r="L965" s="23"/>
      <c r="M965" s="25"/>
      <c r="N965" s="25"/>
      <c r="O965" s="23"/>
      <c r="P965" s="26"/>
      <c r="Q965" s="26"/>
      <c r="R965" s="27" t="str">
        <f aca="false">IF(AND(ISNUMBER(P965),ISNUMBER(Q965)),P965-Q965,"")</f>
        <v/>
      </c>
      <c r="S965" s="24"/>
      <c r="T965" s="28" t="str">
        <f aca="false">IF(S965&lt;&gt;"",S965,IF(B965="","",IFERROR(IF(INDEX(Batches!$G$5:$G$64,MATCH(B965,Batches!$A$5:$A$64,0))="","",INDEX(Batches!$G$5:$G$64,MATCH(B965,Batches!$A$5:$A$64,0))),"")))</f>
        <v/>
      </c>
      <c r="U965" s="23"/>
      <c r="V965" s="24"/>
      <c r="W965" s="28" t="str">
        <f aca="false">IF(OR(X965="",X965="Pending"),"",IF(V965&lt;&gt;"",V965,IFERROR(IF(INDEX(Batches!$H$5:$H$64,MATCH(B965,Batches!$A$5:$A$64,0))="","",INDEX(Batches!$H$5:$H$64,MATCH(B965,Batches!$A$5:$A$64,0))),"")))</f>
        <v/>
      </c>
      <c r="X965" s="23"/>
      <c r="Y965" s="23"/>
      <c r="Z965" s="26"/>
      <c r="AA965" s="27" t="str">
        <f aca="false">IF(R965="","",IF(X965="Not accepted",R965,IF(OR(X965="Accepted",X965="Withdrawn by hospital"),IF(X965="Accepted",0,R965),IF(ISNUMBER(Z965),R965-Z965,""))))</f>
        <v/>
      </c>
      <c r="AB965" s="23"/>
      <c r="AC965" s="25"/>
      <c r="AD965" s="23"/>
      <c r="AE965" s="23"/>
      <c r="AF965" s="24"/>
      <c r="AG965" s="23"/>
      <c r="AH965" s="24"/>
      <c r="AI965" s="29" t="str">
        <f aca="false">IF(X965="Not accepted","Maintained",IF(X965="Partially accepted","Partially maintained",IF(X965="Accepted","Reversed",IF(X965="Withdrawn by hospital","Withdrawn by hospital",""))))</f>
        <v/>
      </c>
      <c r="AJ965" s="28" t="str">
        <f aca="false">IF(AI965="","",W965)</f>
        <v/>
      </c>
      <c r="AK965" s="29" t="str">
        <f aca="false">IF(AND(ISNUMBER(T965),ISNUMBER(W965)),W965-T965,"")</f>
        <v/>
      </c>
      <c r="AL965" s="29" t="str">
        <f aca="false">IF(A965="","",SUMIF(Actions!$C$5:$C$1004,A965,Actions!$F$5:$F$1004))</f>
        <v/>
      </c>
      <c r="AM965" s="25"/>
    </row>
    <row r="966" customFormat="false" ht="15" hidden="false" customHeight="false" outlineLevel="0" collapsed="false">
      <c r="A966" s="23"/>
      <c r="B966" s="23"/>
      <c r="C966" s="23"/>
      <c r="D966" s="23"/>
      <c r="E966" s="23"/>
      <c r="F966" s="23"/>
      <c r="G966" s="23"/>
      <c r="H966" s="23"/>
      <c r="I966" s="23"/>
      <c r="J966" s="23"/>
      <c r="K966" s="24"/>
      <c r="L966" s="23"/>
      <c r="M966" s="25"/>
      <c r="N966" s="25"/>
      <c r="O966" s="23"/>
      <c r="P966" s="26"/>
      <c r="Q966" s="26"/>
      <c r="R966" s="27" t="str">
        <f aca="false">IF(AND(ISNUMBER(P966),ISNUMBER(Q966)),P966-Q966,"")</f>
        <v/>
      </c>
      <c r="S966" s="24"/>
      <c r="T966" s="28" t="str">
        <f aca="false">IF(S966&lt;&gt;"",S966,IF(B966="","",IFERROR(IF(INDEX(Batches!$G$5:$G$64,MATCH(B966,Batches!$A$5:$A$64,0))="","",INDEX(Batches!$G$5:$G$64,MATCH(B966,Batches!$A$5:$A$64,0))),"")))</f>
        <v/>
      </c>
      <c r="U966" s="23"/>
      <c r="V966" s="24"/>
      <c r="W966" s="28" t="str">
        <f aca="false">IF(OR(X966="",X966="Pending"),"",IF(V966&lt;&gt;"",V966,IFERROR(IF(INDEX(Batches!$H$5:$H$64,MATCH(B966,Batches!$A$5:$A$64,0))="","",INDEX(Batches!$H$5:$H$64,MATCH(B966,Batches!$A$5:$A$64,0))),"")))</f>
        <v/>
      </c>
      <c r="X966" s="23"/>
      <c r="Y966" s="23"/>
      <c r="Z966" s="26"/>
      <c r="AA966" s="27" t="str">
        <f aca="false">IF(R966="","",IF(X966="Not accepted",R966,IF(OR(X966="Accepted",X966="Withdrawn by hospital"),IF(X966="Accepted",0,R966),IF(ISNUMBER(Z966),R966-Z966,""))))</f>
        <v/>
      </c>
      <c r="AB966" s="23"/>
      <c r="AC966" s="25"/>
      <c r="AD966" s="23"/>
      <c r="AE966" s="23"/>
      <c r="AF966" s="24"/>
      <c r="AG966" s="23"/>
      <c r="AH966" s="24"/>
      <c r="AI966" s="29" t="str">
        <f aca="false">IF(X966="Not accepted","Maintained",IF(X966="Partially accepted","Partially maintained",IF(X966="Accepted","Reversed",IF(X966="Withdrawn by hospital","Withdrawn by hospital",""))))</f>
        <v/>
      </c>
      <c r="AJ966" s="28" t="str">
        <f aca="false">IF(AI966="","",W966)</f>
        <v/>
      </c>
      <c r="AK966" s="29" t="str">
        <f aca="false">IF(AND(ISNUMBER(T966),ISNUMBER(W966)),W966-T966,"")</f>
        <v/>
      </c>
      <c r="AL966" s="29" t="str">
        <f aca="false">IF(A966="","",SUMIF(Actions!$C$5:$C$1004,A966,Actions!$F$5:$F$1004))</f>
        <v/>
      </c>
      <c r="AM966" s="25"/>
    </row>
    <row r="967" customFormat="false" ht="15" hidden="false" customHeight="false" outlineLevel="0" collapsed="false">
      <c r="A967" s="23"/>
      <c r="B967" s="23"/>
      <c r="C967" s="23"/>
      <c r="D967" s="23"/>
      <c r="E967" s="23"/>
      <c r="F967" s="23"/>
      <c r="G967" s="23"/>
      <c r="H967" s="23"/>
      <c r="I967" s="23"/>
      <c r="J967" s="23"/>
      <c r="K967" s="24"/>
      <c r="L967" s="23"/>
      <c r="M967" s="25"/>
      <c r="N967" s="25"/>
      <c r="O967" s="23"/>
      <c r="P967" s="26"/>
      <c r="Q967" s="26"/>
      <c r="R967" s="27" t="str">
        <f aca="false">IF(AND(ISNUMBER(P967),ISNUMBER(Q967)),P967-Q967,"")</f>
        <v/>
      </c>
      <c r="S967" s="24"/>
      <c r="T967" s="28" t="str">
        <f aca="false">IF(S967&lt;&gt;"",S967,IF(B967="","",IFERROR(IF(INDEX(Batches!$G$5:$G$64,MATCH(B967,Batches!$A$5:$A$64,0))="","",INDEX(Batches!$G$5:$G$64,MATCH(B967,Batches!$A$5:$A$64,0))),"")))</f>
        <v/>
      </c>
      <c r="U967" s="23"/>
      <c r="V967" s="24"/>
      <c r="W967" s="28" t="str">
        <f aca="false">IF(OR(X967="",X967="Pending"),"",IF(V967&lt;&gt;"",V967,IFERROR(IF(INDEX(Batches!$H$5:$H$64,MATCH(B967,Batches!$A$5:$A$64,0))="","",INDEX(Batches!$H$5:$H$64,MATCH(B967,Batches!$A$5:$A$64,0))),"")))</f>
        <v/>
      </c>
      <c r="X967" s="23"/>
      <c r="Y967" s="23"/>
      <c r="Z967" s="26"/>
      <c r="AA967" s="27" t="str">
        <f aca="false">IF(R967="","",IF(X967="Not accepted",R967,IF(OR(X967="Accepted",X967="Withdrawn by hospital"),IF(X967="Accepted",0,R967),IF(ISNUMBER(Z967),R967-Z967,""))))</f>
        <v/>
      </c>
      <c r="AB967" s="23"/>
      <c r="AC967" s="25"/>
      <c r="AD967" s="23"/>
      <c r="AE967" s="23"/>
      <c r="AF967" s="24"/>
      <c r="AG967" s="23"/>
      <c r="AH967" s="24"/>
      <c r="AI967" s="29" t="str">
        <f aca="false">IF(X967="Not accepted","Maintained",IF(X967="Partially accepted","Partially maintained",IF(X967="Accepted","Reversed",IF(X967="Withdrawn by hospital","Withdrawn by hospital",""))))</f>
        <v/>
      </c>
      <c r="AJ967" s="28" t="str">
        <f aca="false">IF(AI967="","",W967)</f>
        <v/>
      </c>
      <c r="AK967" s="29" t="str">
        <f aca="false">IF(AND(ISNUMBER(T967),ISNUMBER(W967)),W967-T967,"")</f>
        <v/>
      </c>
      <c r="AL967" s="29" t="str">
        <f aca="false">IF(A967="","",SUMIF(Actions!$C$5:$C$1004,A967,Actions!$F$5:$F$1004))</f>
        <v/>
      </c>
      <c r="AM967" s="25"/>
    </row>
    <row r="968" customFormat="false" ht="15" hidden="false" customHeight="false" outlineLevel="0" collapsed="false">
      <c r="A968" s="23"/>
      <c r="B968" s="23"/>
      <c r="C968" s="23"/>
      <c r="D968" s="23"/>
      <c r="E968" s="23"/>
      <c r="F968" s="23"/>
      <c r="G968" s="23"/>
      <c r="H968" s="23"/>
      <c r="I968" s="23"/>
      <c r="J968" s="23"/>
      <c r="K968" s="24"/>
      <c r="L968" s="23"/>
      <c r="M968" s="25"/>
      <c r="N968" s="25"/>
      <c r="O968" s="23"/>
      <c r="P968" s="26"/>
      <c r="Q968" s="26"/>
      <c r="R968" s="27" t="str">
        <f aca="false">IF(AND(ISNUMBER(P968),ISNUMBER(Q968)),P968-Q968,"")</f>
        <v/>
      </c>
      <c r="S968" s="24"/>
      <c r="T968" s="28" t="str">
        <f aca="false">IF(S968&lt;&gt;"",S968,IF(B968="","",IFERROR(IF(INDEX(Batches!$G$5:$G$64,MATCH(B968,Batches!$A$5:$A$64,0))="","",INDEX(Batches!$G$5:$G$64,MATCH(B968,Batches!$A$5:$A$64,0))),"")))</f>
        <v/>
      </c>
      <c r="U968" s="23"/>
      <c r="V968" s="24"/>
      <c r="W968" s="28" t="str">
        <f aca="false">IF(OR(X968="",X968="Pending"),"",IF(V968&lt;&gt;"",V968,IFERROR(IF(INDEX(Batches!$H$5:$H$64,MATCH(B968,Batches!$A$5:$A$64,0))="","",INDEX(Batches!$H$5:$H$64,MATCH(B968,Batches!$A$5:$A$64,0))),"")))</f>
        <v/>
      </c>
      <c r="X968" s="23"/>
      <c r="Y968" s="23"/>
      <c r="Z968" s="26"/>
      <c r="AA968" s="27" t="str">
        <f aca="false">IF(R968="","",IF(X968="Not accepted",R968,IF(OR(X968="Accepted",X968="Withdrawn by hospital"),IF(X968="Accepted",0,R968),IF(ISNUMBER(Z968),R968-Z968,""))))</f>
        <v/>
      </c>
      <c r="AB968" s="23"/>
      <c r="AC968" s="25"/>
      <c r="AD968" s="23"/>
      <c r="AE968" s="23"/>
      <c r="AF968" s="24"/>
      <c r="AG968" s="23"/>
      <c r="AH968" s="24"/>
      <c r="AI968" s="29" t="str">
        <f aca="false">IF(X968="Not accepted","Maintained",IF(X968="Partially accepted","Partially maintained",IF(X968="Accepted","Reversed",IF(X968="Withdrawn by hospital","Withdrawn by hospital",""))))</f>
        <v/>
      </c>
      <c r="AJ968" s="28" t="str">
        <f aca="false">IF(AI968="","",W968)</f>
        <v/>
      </c>
      <c r="AK968" s="29" t="str">
        <f aca="false">IF(AND(ISNUMBER(T968),ISNUMBER(W968)),W968-T968,"")</f>
        <v/>
      </c>
      <c r="AL968" s="29" t="str">
        <f aca="false">IF(A968="","",SUMIF(Actions!$C$5:$C$1004,A968,Actions!$F$5:$F$1004))</f>
        <v/>
      </c>
      <c r="AM968" s="25"/>
    </row>
    <row r="969" customFormat="false" ht="15" hidden="false" customHeight="false" outlineLevel="0" collapsed="false">
      <c r="A969" s="23"/>
      <c r="B969" s="23"/>
      <c r="C969" s="23"/>
      <c r="D969" s="23"/>
      <c r="E969" s="23"/>
      <c r="F969" s="23"/>
      <c r="G969" s="23"/>
      <c r="H969" s="23"/>
      <c r="I969" s="23"/>
      <c r="J969" s="23"/>
      <c r="K969" s="24"/>
      <c r="L969" s="23"/>
      <c r="M969" s="25"/>
      <c r="N969" s="25"/>
      <c r="O969" s="23"/>
      <c r="P969" s="26"/>
      <c r="Q969" s="26"/>
      <c r="R969" s="27" t="str">
        <f aca="false">IF(AND(ISNUMBER(P969),ISNUMBER(Q969)),P969-Q969,"")</f>
        <v/>
      </c>
      <c r="S969" s="24"/>
      <c r="T969" s="28" t="str">
        <f aca="false">IF(S969&lt;&gt;"",S969,IF(B969="","",IFERROR(IF(INDEX(Batches!$G$5:$G$64,MATCH(B969,Batches!$A$5:$A$64,0))="","",INDEX(Batches!$G$5:$G$64,MATCH(B969,Batches!$A$5:$A$64,0))),"")))</f>
        <v/>
      </c>
      <c r="U969" s="23"/>
      <c r="V969" s="24"/>
      <c r="W969" s="28" t="str">
        <f aca="false">IF(OR(X969="",X969="Pending"),"",IF(V969&lt;&gt;"",V969,IFERROR(IF(INDEX(Batches!$H$5:$H$64,MATCH(B969,Batches!$A$5:$A$64,0))="","",INDEX(Batches!$H$5:$H$64,MATCH(B969,Batches!$A$5:$A$64,0))),"")))</f>
        <v/>
      </c>
      <c r="X969" s="23"/>
      <c r="Y969" s="23"/>
      <c r="Z969" s="26"/>
      <c r="AA969" s="27" t="str">
        <f aca="false">IF(R969="","",IF(X969="Not accepted",R969,IF(OR(X969="Accepted",X969="Withdrawn by hospital"),IF(X969="Accepted",0,R969),IF(ISNUMBER(Z969),R969-Z969,""))))</f>
        <v/>
      </c>
      <c r="AB969" s="23"/>
      <c r="AC969" s="25"/>
      <c r="AD969" s="23"/>
      <c r="AE969" s="23"/>
      <c r="AF969" s="24"/>
      <c r="AG969" s="23"/>
      <c r="AH969" s="24"/>
      <c r="AI969" s="29" t="str">
        <f aca="false">IF(X969="Not accepted","Maintained",IF(X969="Partially accepted","Partially maintained",IF(X969="Accepted","Reversed",IF(X969="Withdrawn by hospital","Withdrawn by hospital",""))))</f>
        <v/>
      </c>
      <c r="AJ969" s="28" t="str">
        <f aca="false">IF(AI969="","",W969)</f>
        <v/>
      </c>
      <c r="AK969" s="29" t="str">
        <f aca="false">IF(AND(ISNUMBER(T969),ISNUMBER(W969)),W969-T969,"")</f>
        <v/>
      </c>
      <c r="AL969" s="29" t="str">
        <f aca="false">IF(A969="","",SUMIF(Actions!$C$5:$C$1004,A969,Actions!$F$5:$F$1004))</f>
        <v/>
      </c>
      <c r="AM969" s="25"/>
    </row>
    <row r="970" customFormat="false" ht="15" hidden="false" customHeight="false" outlineLevel="0" collapsed="false">
      <c r="A970" s="23"/>
      <c r="B970" s="23"/>
      <c r="C970" s="23"/>
      <c r="D970" s="23"/>
      <c r="E970" s="23"/>
      <c r="F970" s="23"/>
      <c r="G970" s="23"/>
      <c r="H970" s="23"/>
      <c r="I970" s="23"/>
      <c r="J970" s="23"/>
      <c r="K970" s="24"/>
      <c r="L970" s="23"/>
      <c r="M970" s="25"/>
      <c r="N970" s="25"/>
      <c r="O970" s="23"/>
      <c r="P970" s="26"/>
      <c r="Q970" s="26"/>
      <c r="R970" s="27" t="str">
        <f aca="false">IF(AND(ISNUMBER(P970),ISNUMBER(Q970)),P970-Q970,"")</f>
        <v/>
      </c>
      <c r="S970" s="24"/>
      <c r="T970" s="28" t="str">
        <f aca="false">IF(S970&lt;&gt;"",S970,IF(B970="","",IFERROR(IF(INDEX(Batches!$G$5:$G$64,MATCH(B970,Batches!$A$5:$A$64,0))="","",INDEX(Batches!$G$5:$G$64,MATCH(B970,Batches!$A$5:$A$64,0))),"")))</f>
        <v/>
      </c>
      <c r="U970" s="23"/>
      <c r="V970" s="24"/>
      <c r="W970" s="28" t="str">
        <f aca="false">IF(OR(X970="",X970="Pending"),"",IF(V970&lt;&gt;"",V970,IFERROR(IF(INDEX(Batches!$H$5:$H$64,MATCH(B970,Batches!$A$5:$A$64,0))="","",INDEX(Batches!$H$5:$H$64,MATCH(B970,Batches!$A$5:$A$64,0))),"")))</f>
        <v/>
      </c>
      <c r="X970" s="23"/>
      <c r="Y970" s="23"/>
      <c r="Z970" s="26"/>
      <c r="AA970" s="27" t="str">
        <f aca="false">IF(R970="","",IF(X970="Not accepted",R970,IF(OR(X970="Accepted",X970="Withdrawn by hospital"),IF(X970="Accepted",0,R970),IF(ISNUMBER(Z970),R970-Z970,""))))</f>
        <v/>
      </c>
      <c r="AB970" s="23"/>
      <c r="AC970" s="25"/>
      <c r="AD970" s="23"/>
      <c r="AE970" s="23"/>
      <c r="AF970" s="24"/>
      <c r="AG970" s="23"/>
      <c r="AH970" s="24"/>
      <c r="AI970" s="29" t="str">
        <f aca="false">IF(X970="Not accepted","Maintained",IF(X970="Partially accepted","Partially maintained",IF(X970="Accepted","Reversed",IF(X970="Withdrawn by hospital","Withdrawn by hospital",""))))</f>
        <v/>
      </c>
      <c r="AJ970" s="28" t="str">
        <f aca="false">IF(AI970="","",W970)</f>
        <v/>
      </c>
      <c r="AK970" s="29" t="str">
        <f aca="false">IF(AND(ISNUMBER(T970),ISNUMBER(W970)),W970-T970,"")</f>
        <v/>
      </c>
      <c r="AL970" s="29" t="str">
        <f aca="false">IF(A970="","",SUMIF(Actions!$C$5:$C$1004,A970,Actions!$F$5:$F$1004))</f>
        <v/>
      </c>
      <c r="AM970" s="25"/>
    </row>
    <row r="971" customFormat="false" ht="15" hidden="false" customHeight="false" outlineLevel="0" collapsed="false">
      <c r="A971" s="23"/>
      <c r="B971" s="23"/>
      <c r="C971" s="23"/>
      <c r="D971" s="23"/>
      <c r="E971" s="23"/>
      <c r="F971" s="23"/>
      <c r="G971" s="23"/>
      <c r="H971" s="23"/>
      <c r="I971" s="23"/>
      <c r="J971" s="23"/>
      <c r="K971" s="24"/>
      <c r="L971" s="23"/>
      <c r="M971" s="25"/>
      <c r="N971" s="25"/>
      <c r="O971" s="23"/>
      <c r="P971" s="26"/>
      <c r="Q971" s="26"/>
      <c r="R971" s="27" t="str">
        <f aca="false">IF(AND(ISNUMBER(P971),ISNUMBER(Q971)),P971-Q971,"")</f>
        <v/>
      </c>
      <c r="S971" s="24"/>
      <c r="T971" s="28" t="str">
        <f aca="false">IF(S971&lt;&gt;"",S971,IF(B971="","",IFERROR(IF(INDEX(Batches!$G$5:$G$64,MATCH(B971,Batches!$A$5:$A$64,0))="","",INDEX(Batches!$G$5:$G$64,MATCH(B971,Batches!$A$5:$A$64,0))),"")))</f>
        <v/>
      </c>
      <c r="U971" s="23"/>
      <c r="V971" s="24"/>
      <c r="W971" s="28" t="str">
        <f aca="false">IF(OR(X971="",X971="Pending"),"",IF(V971&lt;&gt;"",V971,IFERROR(IF(INDEX(Batches!$H$5:$H$64,MATCH(B971,Batches!$A$5:$A$64,0))="","",INDEX(Batches!$H$5:$H$64,MATCH(B971,Batches!$A$5:$A$64,0))),"")))</f>
        <v/>
      </c>
      <c r="X971" s="23"/>
      <c r="Y971" s="23"/>
      <c r="Z971" s="26"/>
      <c r="AA971" s="27" t="str">
        <f aca="false">IF(R971="","",IF(X971="Not accepted",R971,IF(OR(X971="Accepted",X971="Withdrawn by hospital"),IF(X971="Accepted",0,R971),IF(ISNUMBER(Z971),R971-Z971,""))))</f>
        <v/>
      </c>
      <c r="AB971" s="23"/>
      <c r="AC971" s="25"/>
      <c r="AD971" s="23"/>
      <c r="AE971" s="23"/>
      <c r="AF971" s="24"/>
      <c r="AG971" s="23"/>
      <c r="AH971" s="24"/>
      <c r="AI971" s="29" t="str">
        <f aca="false">IF(X971="Not accepted","Maintained",IF(X971="Partially accepted","Partially maintained",IF(X971="Accepted","Reversed",IF(X971="Withdrawn by hospital","Withdrawn by hospital",""))))</f>
        <v/>
      </c>
      <c r="AJ971" s="28" t="str">
        <f aca="false">IF(AI971="","",W971)</f>
        <v/>
      </c>
      <c r="AK971" s="29" t="str">
        <f aca="false">IF(AND(ISNUMBER(T971),ISNUMBER(W971)),W971-T971,"")</f>
        <v/>
      </c>
      <c r="AL971" s="29" t="str">
        <f aca="false">IF(A971="","",SUMIF(Actions!$C$5:$C$1004,A971,Actions!$F$5:$F$1004))</f>
        <v/>
      </c>
      <c r="AM971" s="25"/>
    </row>
    <row r="972" customFormat="false" ht="15" hidden="false" customHeight="false" outlineLevel="0" collapsed="false">
      <c r="A972" s="23"/>
      <c r="B972" s="23"/>
      <c r="C972" s="23"/>
      <c r="D972" s="23"/>
      <c r="E972" s="23"/>
      <c r="F972" s="23"/>
      <c r="G972" s="23"/>
      <c r="H972" s="23"/>
      <c r="I972" s="23"/>
      <c r="J972" s="23"/>
      <c r="K972" s="24"/>
      <c r="L972" s="23"/>
      <c r="M972" s="25"/>
      <c r="N972" s="25"/>
      <c r="O972" s="23"/>
      <c r="P972" s="26"/>
      <c r="Q972" s="26"/>
      <c r="R972" s="27" t="str">
        <f aca="false">IF(AND(ISNUMBER(P972),ISNUMBER(Q972)),P972-Q972,"")</f>
        <v/>
      </c>
      <c r="S972" s="24"/>
      <c r="T972" s="28" t="str">
        <f aca="false">IF(S972&lt;&gt;"",S972,IF(B972="","",IFERROR(IF(INDEX(Batches!$G$5:$G$64,MATCH(B972,Batches!$A$5:$A$64,0))="","",INDEX(Batches!$G$5:$G$64,MATCH(B972,Batches!$A$5:$A$64,0))),"")))</f>
        <v/>
      </c>
      <c r="U972" s="23"/>
      <c r="V972" s="24"/>
      <c r="W972" s="28" t="str">
        <f aca="false">IF(OR(X972="",X972="Pending"),"",IF(V972&lt;&gt;"",V972,IFERROR(IF(INDEX(Batches!$H$5:$H$64,MATCH(B972,Batches!$A$5:$A$64,0))="","",INDEX(Batches!$H$5:$H$64,MATCH(B972,Batches!$A$5:$A$64,0))),"")))</f>
        <v/>
      </c>
      <c r="X972" s="23"/>
      <c r="Y972" s="23"/>
      <c r="Z972" s="26"/>
      <c r="AA972" s="27" t="str">
        <f aca="false">IF(R972="","",IF(X972="Not accepted",R972,IF(OR(X972="Accepted",X972="Withdrawn by hospital"),IF(X972="Accepted",0,R972),IF(ISNUMBER(Z972),R972-Z972,""))))</f>
        <v/>
      </c>
      <c r="AB972" s="23"/>
      <c r="AC972" s="25"/>
      <c r="AD972" s="23"/>
      <c r="AE972" s="23"/>
      <c r="AF972" s="24"/>
      <c r="AG972" s="23"/>
      <c r="AH972" s="24"/>
      <c r="AI972" s="29" t="str">
        <f aca="false">IF(X972="Not accepted","Maintained",IF(X972="Partially accepted","Partially maintained",IF(X972="Accepted","Reversed",IF(X972="Withdrawn by hospital","Withdrawn by hospital",""))))</f>
        <v/>
      </c>
      <c r="AJ972" s="28" t="str">
        <f aca="false">IF(AI972="","",W972)</f>
        <v/>
      </c>
      <c r="AK972" s="29" t="str">
        <f aca="false">IF(AND(ISNUMBER(T972),ISNUMBER(W972)),W972-T972,"")</f>
        <v/>
      </c>
      <c r="AL972" s="29" t="str">
        <f aca="false">IF(A972="","",SUMIF(Actions!$C$5:$C$1004,A972,Actions!$F$5:$F$1004))</f>
        <v/>
      </c>
      <c r="AM972" s="25"/>
    </row>
    <row r="973" customFormat="false" ht="15" hidden="false" customHeight="false" outlineLevel="0" collapsed="false">
      <c r="A973" s="23"/>
      <c r="B973" s="23"/>
      <c r="C973" s="23"/>
      <c r="D973" s="23"/>
      <c r="E973" s="23"/>
      <c r="F973" s="23"/>
      <c r="G973" s="23"/>
      <c r="H973" s="23"/>
      <c r="I973" s="23"/>
      <c r="J973" s="23"/>
      <c r="K973" s="24"/>
      <c r="L973" s="23"/>
      <c r="M973" s="25"/>
      <c r="N973" s="25"/>
      <c r="O973" s="23"/>
      <c r="P973" s="26"/>
      <c r="Q973" s="26"/>
      <c r="R973" s="27" t="str">
        <f aca="false">IF(AND(ISNUMBER(P973),ISNUMBER(Q973)),P973-Q973,"")</f>
        <v/>
      </c>
      <c r="S973" s="24"/>
      <c r="T973" s="28" t="str">
        <f aca="false">IF(S973&lt;&gt;"",S973,IF(B973="","",IFERROR(IF(INDEX(Batches!$G$5:$G$64,MATCH(B973,Batches!$A$5:$A$64,0))="","",INDEX(Batches!$G$5:$G$64,MATCH(B973,Batches!$A$5:$A$64,0))),"")))</f>
        <v/>
      </c>
      <c r="U973" s="23"/>
      <c r="V973" s="24"/>
      <c r="W973" s="28" t="str">
        <f aca="false">IF(OR(X973="",X973="Pending"),"",IF(V973&lt;&gt;"",V973,IFERROR(IF(INDEX(Batches!$H$5:$H$64,MATCH(B973,Batches!$A$5:$A$64,0))="","",INDEX(Batches!$H$5:$H$64,MATCH(B973,Batches!$A$5:$A$64,0))),"")))</f>
        <v/>
      </c>
      <c r="X973" s="23"/>
      <c r="Y973" s="23"/>
      <c r="Z973" s="26"/>
      <c r="AA973" s="27" t="str">
        <f aca="false">IF(R973="","",IF(X973="Not accepted",R973,IF(OR(X973="Accepted",X973="Withdrawn by hospital"),IF(X973="Accepted",0,R973),IF(ISNUMBER(Z973),R973-Z973,""))))</f>
        <v/>
      </c>
      <c r="AB973" s="23"/>
      <c r="AC973" s="25"/>
      <c r="AD973" s="23"/>
      <c r="AE973" s="23"/>
      <c r="AF973" s="24"/>
      <c r="AG973" s="23"/>
      <c r="AH973" s="24"/>
      <c r="AI973" s="29" t="str">
        <f aca="false">IF(X973="Not accepted","Maintained",IF(X973="Partially accepted","Partially maintained",IF(X973="Accepted","Reversed",IF(X973="Withdrawn by hospital","Withdrawn by hospital",""))))</f>
        <v/>
      </c>
      <c r="AJ973" s="28" t="str">
        <f aca="false">IF(AI973="","",W973)</f>
        <v/>
      </c>
      <c r="AK973" s="29" t="str">
        <f aca="false">IF(AND(ISNUMBER(T973),ISNUMBER(W973)),W973-T973,"")</f>
        <v/>
      </c>
      <c r="AL973" s="29" t="str">
        <f aca="false">IF(A973="","",SUMIF(Actions!$C$5:$C$1004,A973,Actions!$F$5:$F$1004))</f>
        <v/>
      </c>
      <c r="AM973" s="25"/>
    </row>
    <row r="974" customFormat="false" ht="15" hidden="false" customHeight="false" outlineLevel="0" collapsed="false">
      <c r="A974" s="23"/>
      <c r="B974" s="23"/>
      <c r="C974" s="23"/>
      <c r="D974" s="23"/>
      <c r="E974" s="23"/>
      <c r="F974" s="23"/>
      <c r="G974" s="23"/>
      <c r="H974" s="23"/>
      <c r="I974" s="23"/>
      <c r="J974" s="23"/>
      <c r="K974" s="24"/>
      <c r="L974" s="23"/>
      <c r="M974" s="25"/>
      <c r="N974" s="25"/>
      <c r="O974" s="23"/>
      <c r="P974" s="26"/>
      <c r="Q974" s="26"/>
      <c r="R974" s="27" t="str">
        <f aca="false">IF(AND(ISNUMBER(P974),ISNUMBER(Q974)),P974-Q974,"")</f>
        <v/>
      </c>
      <c r="S974" s="24"/>
      <c r="T974" s="28" t="str">
        <f aca="false">IF(S974&lt;&gt;"",S974,IF(B974="","",IFERROR(IF(INDEX(Batches!$G$5:$G$64,MATCH(B974,Batches!$A$5:$A$64,0))="","",INDEX(Batches!$G$5:$G$64,MATCH(B974,Batches!$A$5:$A$64,0))),"")))</f>
        <v/>
      </c>
      <c r="U974" s="23"/>
      <c r="V974" s="24"/>
      <c r="W974" s="28" t="str">
        <f aca="false">IF(OR(X974="",X974="Pending"),"",IF(V974&lt;&gt;"",V974,IFERROR(IF(INDEX(Batches!$H$5:$H$64,MATCH(B974,Batches!$A$5:$A$64,0))="","",INDEX(Batches!$H$5:$H$64,MATCH(B974,Batches!$A$5:$A$64,0))),"")))</f>
        <v/>
      </c>
      <c r="X974" s="23"/>
      <c r="Y974" s="23"/>
      <c r="Z974" s="26"/>
      <c r="AA974" s="27" t="str">
        <f aca="false">IF(R974="","",IF(X974="Not accepted",R974,IF(OR(X974="Accepted",X974="Withdrawn by hospital"),IF(X974="Accepted",0,R974),IF(ISNUMBER(Z974),R974-Z974,""))))</f>
        <v/>
      </c>
      <c r="AB974" s="23"/>
      <c r="AC974" s="25"/>
      <c r="AD974" s="23"/>
      <c r="AE974" s="23"/>
      <c r="AF974" s="24"/>
      <c r="AG974" s="23"/>
      <c r="AH974" s="24"/>
      <c r="AI974" s="29" t="str">
        <f aca="false">IF(X974="Not accepted","Maintained",IF(X974="Partially accepted","Partially maintained",IF(X974="Accepted","Reversed",IF(X974="Withdrawn by hospital","Withdrawn by hospital",""))))</f>
        <v/>
      </c>
      <c r="AJ974" s="28" t="str">
        <f aca="false">IF(AI974="","",W974)</f>
        <v/>
      </c>
      <c r="AK974" s="29" t="str">
        <f aca="false">IF(AND(ISNUMBER(T974),ISNUMBER(W974)),W974-T974,"")</f>
        <v/>
      </c>
      <c r="AL974" s="29" t="str">
        <f aca="false">IF(A974="","",SUMIF(Actions!$C$5:$C$1004,A974,Actions!$F$5:$F$1004))</f>
        <v/>
      </c>
      <c r="AM974" s="25"/>
    </row>
    <row r="975" customFormat="false" ht="15" hidden="false" customHeight="false" outlineLevel="0" collapsed="false">
      <c r="A975" s="23"/>
      <c r="B975" s="23"/>
      <c r="C975" s="23"/>
      <c r="D975" s="23"/>
      <c r="E975" s="23"/>
      <c r="F975" s="23"/>
      <c r="G975" s="23"/>
      <c r="H975" s="23"/>
      <c r="I975" s="23"/>
      <c r="J975" s="23"/>
      <c r="K975" s="24"/>
      <c r="L975" s="23"/>
      <c r="M975" s="25"/>
      <c r="N975" s="25"/>
      <c r="O975" s="23"/>
      <c r="P975" s="26"/>
      <c r="Q975" s="26"/>
      <c r="R975" s="27" t="str">
        <f aca="false">IF(AND(ISNUMBER(P975),ISNUMBER(Q975)),P975-Q975,"")</f>
        <v/>
      </c>
      <c r="S975" s="24"/>
      <c r="T975" s="28" t="str">
        <f aca="false">IF(S975&lt;&gt;"",S975,IF(B975="","",IFERROR(IF(INDEX(Batches!$G$5:$G$64,MATCH(B975,Batches!$A$5:$A$64,0))="","",INDEX(Batches!$G$5:$G$64,MATCH(B975,Batches!$A$5:$A$64,0))),"")))</f>
        <v/>
      </c>
      <c r="U975" s="23"/>
      <c r="V975" s="24"/>
      <c r="W975" s="28" t="str">
        <f aca="false">IF(OR(X975="",X975="Pending"),"",IF(V975&lt;&gt;"",V975,IFERROR(IF(INDEX(Batches!$H$5:$H$64,MATCH(B975,Batches!$A$5:$A$64,0))="","",INDEX(Batches!$H$5:$H$64,MATCH(B975,Batches!$A$5:$A$64,0))),"")))</f>
        <v/>
      </c>
      <c r="X975" s="23"/>
      <c r="Y975" s="23"/>
      <c r="Z975" s="26"/>
      <c r="AA975" s="27" t="str">
        <f aca="false">IF(R975="","",IF(X975="Not accepted",R975,IF(OR(X975="Accepted",X975="Withdrawn by hospital"),IF(X975="Accepted",0,R975),IF(ISNUMBER(Z975),R975-Z975,""))))</f>
        <v/>
      </c>
      <c r="AB975" s="23"/>
      <c r="AC975" s="25"/>
      <c r="AD975" s="23"/>
      <c r="AE975" s="23"/>
      <c r="AF975" s="24"/>
      <c r="AG975" s="23"/>
      <c r="AH975" s="24"/>
      <c r="AI975" s="29" t="str">
        <f aca="false">IF(X975="Not accepted","Maintained",IF(X975="Partially accepted","Partially maintained",IF(X975="Accepted","Reversed",IF(X975="Withdrawn by hospital","Withdrawn by hospital",""))))</f>
        <v/>
      </c>
      <c r="AJ975" s="28" t="str">
        <f aca="false">IF(AI975="","",W975)</f>
        <v/>
      </c>
      <c r="AK975" s="29" t="str">
        <f aca="false">IF(AND(ISNUMBER(T975),ISNUMBER(W975)),W975-T975,"")</f>
        <v/>
      </c>
      <c r="AL975" s="29" t="str">
        <f aca="false">IF(A975="","",SUMIF(Actions!$C$5:$C$1004,A975,Actions!$F$5:$F$1004))</f>
        <v/>
      </c>
      <c r="AM975" s="25"/>
    </row>
    <row r="976" customFormat="false" ht="15" hidden="false" customHeight="false" outlineLevel="0" collapsed="false">
      <c r="A976" s="23"/>
      <c r="B976" s="23"/>
      <c r="C976" s="23"/>
      <c r="D976" s="23"/>
      <c r="E976" s="23"/>
      <c r="F976" s="23"/>
      <c r="G976" s="23"/>
      <c r="H976" s="23"/>
      <c r="I976" s="23"/>
      <c r="J976" s="23"/>
      <c r="K976" s="24"/>
      <c r="L976" s="23"/>
      <c r="M976" s="25"/>
      <c r="N976" s="25"/>
      <c r="O976" s="23"/>
      <c r="P976" s="26"/>
      <c r="Q976" s="26"/>
      <c r="R976" s="27" t="str">
        <f aca="false">IF(AND(ISNUMBER(P976),ISNUMBER(Q976)),P976-Q976,"")</f>
        <v/>
      </c>
      <c r="S976" s="24"/>
      <c r="T976" s="28" t="str">
        <f aca="false">IF(S976&lt;&gt;"",S976,IF(B976="","",IFERROR(IF(INDEX(Batches!$G$5:$G$64,MATCH(B976,Batches!$A$5:$A$64,0))="","",INDEX(Batches!$G$5:$G$64,MATCH(B976,Batches!$A$5:$A$64,0))),"")))</f>
        <v/>
      </c>
      <c r="U976" s="23"/>
      <c r="V976" s="24"/>
      <c r="W976" s="28" t="str">
        <f aca="false">IF(OR(X976="",X976="Pending"),"",IF(V976&lt;&gt;"",V976,IFERROR(IF(INDEX(Batches!$H$5:$H$64,MATCH(B976,Batches!$A$5:$A$64,0))="","",INDEX(Batches!$H$5:$H$64,MATCH(B976,Batches!$A$5:$A$64,0))),"")))</f>
        <v/>
      </c>
      <c r="X976" s="23"/>
      <c r="Y976" s="23"/>
      <c r="Z976" s="26"/>
      <c r="AA976" s="27" t="str">
        <f aca="false">IF(R976="","",IF(X976="Not accepted",R976,IF(OR(X976="Accepted",X976="Withdrawn by hospital"),IF(X976="Accepted",0,R976),IF(ISNUMBER(Z976),R976-Z976,""))))</f>
        <v/>
      </c>
      <c r="AB976" s="23"/>
      <c r="AC976" s="25"/>
      <c r="AD976" s="23"/>
      <c r="AE976" s="23"/>
      <c r="AF976" s="24"/>
      <c r="AG976" s="23"/>
      <c r="AH976" s="24"/>
      <c r="AI976" s="29" t="str">
        <f aca="false">IF(X976="Not accepted","Maintained",IF(X976="Partially accepted","Partially maintained",IF(X976="Accepted","Reversed",IF(X976="Withdrawn by hospital","Withdrawn by hospital",""))))</f>
        <v/>
      </c>
      <c r="AJ976" s="28" t="str">
        <f aca="false">IF(AI976="","",W976)</f>
        <v/>
      </c>
      <c r="AK976" s="29" t="str">
        <f aca="false">IF(AND(ISNUMBER(T976),ISNUMBER(W976)),W976-T976,"")</f>
        <v/>
      </c>
      <c r="AL976" s="29" t="str">
        <f aca="false">IF(A976="","",SUMIF(Actions!$C$5:$C$1004,A976,Actions!$F$5:$F$1004))</f>
        <v/>
      </c>
      <c r="AM976" s="25"/>
    </row>
    <row r="977" customFormat="false" ht="15" hidden="false" customHeight="false" outlineLevel="0" collapsed="false">
      <c r="A977" s="23"/>
      <c r="B977" s="23"/>
      <c r="C977" s="23"/>
      <c r="D977" s="23"/>
      <c r="E977" s="23"/>
      <c r="F977" s="23"/>
      <c r="G977" s="23"/>
      <c r="H977" s="23"/>
      <c r="I977" s="23"/>
      <c r="J977" s="23"/>
      <c r="K977" s="24"/>
      <c r="L977" s="23"/>
      <c r="M977" s="25"/>
      <c r="N977" s="25"/>
      <c r="O977" s="23"/>
      <c r="P977" s="26"/>
      <c r="Q977" s="26"/>
      <c r="R977" s="27" t="str">
        <f aca="false">IF(AND(ISNUMBER(P977),ISNUMBER(Q977)),P977-Q977,"")</f>
        <v/>
      </c>
      <c r="S977" s="24"/>
      <c r="T977" s="28" t="str">
        <f aca="false">IF(S977&lt;&gt;"",S977,IF(B977="","",IFERROR(IF(INDEX(Batches!$G$5:$G$64,MATCH(B977,Batches!$A$5:$A$64,0))="","",INDEX(Batches!$G$5:$G$64,MATCH(B977,Batches!$A$5:$A$64,0))),"")))</f>
        <v/>
      </c>
      <c r="U977" s="23"/>
      <c r="V977" s="24"/>
      <c r="W977" s="28" t="str">
        <f aca="false">IF(OR(X977="",X977="Pending"),"",IF(V977&lt;&gt;"",V977,IFERROR(IF(INDEX(Batches!$H$5:$H$64,MATCH(B977,Batches!$A$5:$A$64,0))="","",INDEX(Batches!$H$5:$H$64,MATCH(B977,Batches!$A$5:$A$64,0))),"")))</f>
        <v/>
      </c>
      <c r="X977" s="23"/>
      <c r="Y977" s="23"/>
      <c r="Z977" s="26"/>
      <c r="AA977" s="27" t="str">
        <f aca="false">IF(R977="","",IF(X977="Not accepted",R977,IF(OR(X977="Accepted",X977="Withdrawn by hospital"),IF(X977="Accepted",0,R977),IF(ISNUMBER(Z977),R977-Z977,""))))</f>
        <v/>
      </c>
      <c r="AB977" s="23"/>
      <c r="AC977" s="25"/>
      <c r="AD977" s="23"/>
      <c r="AE977" s="23"/>
      <c r="AF977" s="24"/>
      <c r="AG977" s="23"/>
      <c r="AH977" s="24"/>
      <c r="AI977" s="29" t="str">
        <f aca="false">IF(X977="Not accepted","Maintained",IF(X977="Partially accepted","Partially maintained",IF(X977="Accepted","Reversed",IF(X977="Withdrawn by hospital","Withdrawn by hospital",""))))</f>
        <v/>
      </c>
      <c r="AJ977" s="28" t="str">
        <f aca="false">IF(AI977="","",W977)</f>
        <v/>
      </c>
      <c r="AK977" s="29" t="str">
        <f aca="false">IF(AND(ISNUMBER(T977),ISNUMBER(W977)),W977-T977,"")</f>
        <v/>
      </c>
      <c r="AL977" s="29" t="str">
        <f aca="false">IF(A977="","",SUMIF(Actions!$C$5:$C$1004,A977,Actions!$F$5:$F$1004))</f>
        <v/>
      </c>
      <c r="AM977" s="25"/>
    </row>
    <row r="978" customFormat="false" ht="15" hidden="false" customHeight="false" outlineLevel="0" collapsed="false">
      <c r="A978" s="23"/>
      <c r="B978" s="23"/>
      <c r="C978" s="23"/>
      <c r="D978" s="23"/>
      <c r="E978" s="23"/>
      <c r="F978" s="23"/>
      <c r="G978" s="23"/>
      <c r="H978" s="23"/>
      <c r="I978" s="23"/>
      <c r="J978" s="23"/>
      <c r="K978" s="24"/>
      <c r="L978" s="23"/>
      <c r="M978" s="25"/>
      <c r="N978" s="25"/>
      <c r="O978" s="23"/>
      <c r="P978" s="26"/>
      <c r="Q978" s="26"/>
      <c r="R978" s="27" t="str">
        <f aca="false">IF(AND(ISNUMBER(P978),ISNUMBER(Q978)),P978-Q978,"")</f>
        <v/>
      </c>
      <c r="S978" s="24"/>
      <c r="T978" s="28" t="str">
        <f aca="false">IF(S978&lt;&gt;"",S978,IF(B978="","",IFERROR(IF(INDEX(Batches!$G$5:$G$64,MATCH(B978,Batches!$A$5:$A$64,0))="","",INDEX(Batches!$G$5:$G$64,MATCH(B978,Batches!$A$5:$A$64,0))),"")))</f>
        <v/>
      </c>
      <c r="U978" s="23"/>
      <c r="V978" s="24"/>
      <c r="W978" s="28" t="str">
        <f aca="false">IF(OR(X978="",X978="Pending"),"",IF(V978&lt;&gt;"",V978,IFERROR(IF(INDEX(Batches!$H$5:$H$64,MATCH(B978,Batches!$A$5:$A$64,0))="","",INDEX(Batches!$H$5:$H$64,MATCH(B978,Batches!$A$5:$A$64,0))),"")))</f>
        <v/>
      </c>
      <c r="X978" s="23"/>
      <c r="Y978" s="23"/>
      <c r="Z978" s="26"/>
      <c r="AA978" s="27" t="str">
        <f aca="false">IF(R978="","",IF(X978="Not accepted",R978,IF(OR(X978="Accepted",X978="Withdrawn by hospital"),IF(X978="Accepted",0,R978),IF(ISNUMBER(Z978),R978-Z978,""))))</f>
        <v/>
      </c>
      <c r="AB978" s="23"/>
      <c r="AC978" s="25"/>
      <c r="AD978" s="23"/>
      <c r="AE978" s="23"/>
      <c r="AF978" s="24"/>
      <c r="AG978" s="23"/>
      <c r="AH978" s="24"/>
      <c r="AI978" s="29" t="str">
        <f aca="false">IF(X978="Not accepted","Maintained",IF(X978="Partially accepted","Partially maintained",IF(X978="Accepted","Reversed",IF(X978="Withdrawn by hospital","Withdrawn by hospital",""))))</f>
        <v/>
      </c>
      <c r="AJ978" s="28" t="str">
        <f aca="false">IF(AI978="","",W978)</f>
        <v/>
      </c>
      <c r="AK978" s="29" t="str">
        <f aca="false">IF(AND(ISNUMBER(T978),ISNUMBER(W978)),W978-T978,"")</f>
        <v/>
      </c>
      <c r="AL978" s="29" t="str">
        <f aca="false">IF(A978="","",SUMIF(Actions!$C$5:$C$1004,A978,Actions!$F$5:$F$1004))</f>
        <v/>
      </c>
      <c r="AM978" s="25"/>
    </row>
    <row r="979" customFormat="false" ht="15" hidden="false" customHeight="false" outlineLevel="0" collapsed="false">
      <c r="A979" s="23"/>
      <c r="B979" s="23"/>
      <c r="C979" s="23"/>
      <c r="D979" s="23"/>
      <c r="E979" s="23"/>
      <c r="F979" s="23"/>
      <c r="G979" s="23"/>
      <c r="H979" s="23"/>
      <c r="I979" s="23"/>
      <c r="J979" s="23"/>
      <c r="K979" s="24"/>
      <c r="L979" s="23"/>
      <c r="M979" s="25"/>
      <c r="N979" s="25"/>
      <c r="O979" s="23"/>
      <c r="P979" s="26"/>
      <c r="Q979" s="26"/>
      <c r="R979" s="27" t="str">
        <f aca="false">IF(AND(ISNUMBER(P979),ISNUMBER(Q979)),P979-Q979,"")</f>
        <v/>
      </c>
      <c r="S979" s="24"/>
      <c r="T979" s="28" t="str">
        <f aca="false">IF(S979&lt;&gt;"",S979,IF(B979="","",IFERROR(IF(INDEX(Batches!$G$5:$G$64,MATCH(B979,Batches!$A$5:$A$64,0))="","",INDEX(Batches!$G$5:$G$64,MATCH(B979,Batches!$A$5:$A$64,0))),"")))</f>
        <v/>
      </c>
      <c r="U979" s="23"/>
      <c r="V979" s="24"/>
      <c r="W979" s="28" t="str">
        <f aca="false">IF(OR(X979="",X979="Pending"),"",IF(V979&lt;&gt;"",V979,IFERROR(IF(INDEX(Batches!$H$5:$H$64,MATCH(B979,Batches!$A$5:$A$64,0))="","",INDEX(Batches!$H$5:$H$64,MATCH(B979,Batches!$A$5:$A$64,0))),"")))</f>
        <v/>
      </c>
      <c r="X979" s="23"/>
      <c r="Y979" s="23"/>
      <c r="Z979" s="26"/>
      <c r="AA979" s="27" t="str">
        <f aca="false">IF(R979="","",IF(X979="Not accepted",R979,IF(OR(X979="Accepted",X979="Withdrawn by hospital"),IF(X979="Accepted",0,R979),IF(ISNUMBER(Z979),R979-Z979,""))))</f>
        <v/>
      </c>
      <c r="AB979" s="23"/>
      <c r="AC979" s="25"/>
      <c r="AD979" s="23"/>
      <c r="AE979" s="23"/>
      <c r="AF979" s="24"/>
      <c r="AG979" s="23"/>
      <c r="AH979" s="24"/>
      <c r="AI979" s="29" t="str">
        <f aca="false">IF(X979="Not accepted","Maintained",IF(X979="Partially accepted","Partially maintained",IF(X979="Accepted","Reversed",IF(X979="Withdrawn by hospital","Withdrawn by hospital",""))))</f>
        <v/>
      </c>
      <c r="AJ979" s="28" t="str">
        <f aca="false">IF(AI979="","",W979)</f>
        <v/>
      </c>
      <c r="AK979" s="29" t="str">
        <f aca="false">IF(AND(ISNUMBER(T979),ISNUMBER(W979)),W979-T979,"")</f>
        <v/>
      </c>
      <c r="AL979" s="29" t="str">
        <f aca="false">IF(A979="","",SUMIF(Actions!$C$5:$C$1004,A979,Actions!$F$5:$F$1004))</f>
        <v/>
      </c>
      <c r="AM979" s="25"/>
    </row>
    <row r="980" customFormat="false" ht="15" hidden="false" customHeight="false" outlineLevel="0" collapsed="false">
      <c r="A980" s="23"/>
      <c r="B980" s="23"/>
      <c r="C980" s="23"/>
      <c r="D980" s="23"/>
      <c r="E980" s="23"/>
      <c r="F980" s="23"/>
      <c r="G980" s="23"/>
      <c r="H980" s="23"/>
      <c r="I980" s="23"/>
      <c r="J980" s="23"/>
      <c r="K980" s="24"/>
      <c r="L980" s="23"/>
      <c r="M980" s="25"/>
      <c r="N980" s="25"/>
      <c r="O980" s="23"/>
      <c r="P980" s="26"/>
      <c r="Q980" s="26"/>
      <c r="R980" s="27" t="str">
        <f aca="false">IF(AND(ISNUMBER(P980),ISNUMBER(Q980)),P980-Q980,"")</f>
        <v/>
      </c>
      <c r="S980" s="24"/>
      <c r="T980" s="28" t="str">
        <f aca="false">IF(S980&lt;&gt;"",S980,IF(B980="","",IFERROR(IF(INDEX(Batches!$G$5:$G$64,MATCH(B980,Batches!$A$5:$A$64,0))="","",INDEX(Batches!$G$5:$G$64,MATCH(B980,Batches!$A$5:$A$64,0))),"")))</f>
        <v/>
      </c>
      <c r="U980" s="23"/>
      <c r="V980" s="24"/>
      <c r="W980" s="28" t="str">
        <f aca="false">IF(OR(X980="",X980="Pending"),"",IF(V980&lt;&gt;"",V980,IFERROR(IF(INDEX(Batches!$H$5:$H$64,MATCH(B980,Batches!$A$5:$A$64,0))="","",INDEX(Batches!$H$5:$H$64,MATCH(B980,Batches!$A$5:$A$64,0))),"")))</f>
        <v/>
      </c>
      <c r="X980" s="23"/>
      <c r="Y980" s="23"/>
      <c r="Z980" s="26"/>
      <c r="AA980" s="27" t="str">
        <f aca="false">IF(R980="","",IF(X980="Not accepted",R980,IF(OR(X980="Accepted",X980="Withdrawn by hospital"),IF(X980="Accepted",0,R980),IF(ISNUMBER(Z980),R980-Z980,""))))</f>
        <v/>
      </c>
      <c r="AB980" s="23"/>
      <c r="AC980" s="25"/>
      <c r="AD980" s="23"/>
      <c r="AE980" s="23"/>
      <c r="AF980" s="24"/>
      <c r="AG980" s="23"/>
      <c r="AH980" s="24"/>
      <c r="AI980" s="29" t="str">
        <f aca="false">IF(X980="Not accepted","Maintained",IF(X980="Partially accepted","Partially maintained",IF(X980="Accepted","Reversed",IF(X980="Withdrawn by hospital","Withdrawn by hospital",""))))</f>
        <v/>
      </c>
      <c r="AJ980" s="28" t="str">
        <f aca="false">IF(AI980="","",W980)</f>
        <v/>
      </c>
      <c r="AK980" s="29" t="str">
        <f aca="false">IF(AND(ISNUMBER(T980),ISNUMBER(W980)),W980-T980,"")</f>
        <v/>
      </c>
      <c r="AL980" s="29" t="str">
        <f aca="false">IF(A980="","",SUMIF(Actions!$C$5:$C$1004,A980,Actions!$F$5:$F$1004))</f>
        <v/>
      </c>
      <c r="AM980" s="25"/>
    </row>
    <row r="981" customFormat="false" ht="15" hidden="false" customHeight="false" outlineLevel="0" collapsed="false">
      <c r="A981" s="23"/>
      <c r="B981" s="23"/>
      <c r="C981" s="23"/>
      <c r="D981" s="23"/>
      <c r="E981" s="23"/>
      <c r="F981" s="23"/>
      <c r="G981" s="23"/>
      <c r="H981" s="23"/>
      <c r="I981" s="23"/>
      <c r="J981" s="23"/>
      <c r="K981" s="24"/>
      <c r="L981" s="23"/>
      <c r="M981" s="25"/>
      <c r="N981" s="25"/>
      <c r="O981" s="23"/>
      <c r="P981" s="26"/>
      <c r="Q981" s="26"/>
      <c r="R981" s="27" t="str">
        <f aca="false">IF(AND(ISNUMBER(P981),ISNUMBER(Q981)),P981-Q981,"")</f>
        <v/>
      </c>
      <c r="S981" s="24"/>
      <c r="T981" s="28" t="str">
        <f aca="false">IF(S981&lt;&gt;"",S981,IF(B981="","",IFERROR(IF(INDEX(Batches!$G$5:$G$64,MATCH(B981,Batches!$A$5:$A$64,0))="","",INDEX(Batches!$G$5:$G$64,MATCH(B981,Batches!$A$5:$A$64,0))),"")))</f>
        <v/>
      </c>
      <c r="U981" s="23"/>
      <c r="V981" s="24"/>
      <c r="W981" s="28" t="str">
        <f aca="false">IF(OR(X981="",X981="Pending"),"",IF(V981&lt;&gt;"",V981,IFERROR(IF(INDEX(Batches!$H$5:$H$64,MATCH(B981,Batches!$A$5:$A$64,0))="","",INDEX(Batches!$H$5:$H$64,MATCH(B981,Batches!$A$5:$A$64,0))),"")))</f>
        <v/>
      </c>
      <c r="X981" s="23"/>
      <c r="Y981" s="23"/>
      <c r="Z981" s="26"/>
      <c r="AA981" s="27" t="str">
        <f aca="false">IF(R981="","",IF(X981="Not accepted",R981,IF(OR(X981="Accepted",X981="Withdrawn by hospital"),IF(X981="Accepted",0,R981),IF(ISNUMBER(Z981),R981-Z981,""))))</f>
        <v/>
      </c>
      <c r="AB981" s="23"/>
      <c r="AC981" s="25"/>
      <c r="AD981" s="23"/>
      <c r="AE981" s="23"/>
      <c r="AF981" s="24"/>
      <c r="AG981" s="23"/>
      <c r="AH981" s="24"/>
      <c r="AI981" s="29" t="str">
        <f aca="false">IF(X981="Not accepted","Maintained",IF(X981="Partially accepted","Partially maintained",IF(X981="Accepted","Reversed",IF(X981="Withdrawn by hospital","Withdrawn by hospital",""))))</f>
        <v/>
      </c>
      <c r="AJ981" s="28" t="str">
        <f aca="false">IF(AI981="","",W981)</f>
        <v/>
      </c>
      <c r="AK981" s="29" t="str">
        <f aca="false">IF(AND(ISNUMBER(T981),ISNUMBER(W981)),W981-T981,"")</f>
        <v/>
      </c>
      <c r="AL981" s="29" t="str">
        <f aca="false">IF(A981="","",SUMIF(Actions!$C$5:$C$1004,A981,Actions!$F$5:$F$1004))</f>
        <v/>
      </c>
      <c r="AM981" s="25"/>
    </row>
    <row r="982" customFormat="false" ht="15" hidden="false" customHeight="false" outlineLevel="0" collapsed="false">
      <c r="A982" s="23"/>
      <c r="B982" s="23"/>
      <c r="C982" s="23"/>
      <c r="D982" s="23"/>
      <c r="E982" s="23"/>
      <c r="F982" s="23"/>
      <c r="G982" s="23"/>
      <c r="H982" s="23"/>
      <c r="I982" s="23"/>
      <c r="J982" s="23"/>
      <c r="K982" s="24"/>
      <c r="L982" s="23"/>
      <c r="M982" s="25"/>
      <c r="N982" s="25"/>
      <c r="O982" s="23"/>
      <c r="P982" s="26"/>
      <c r="Q982" s="26"/>
      <c r="R982" s="27" t="str">
        <f aca="false">IF(AND(ISNUMBER(P982),ISNUMBER(Q982)),P982-Q982,"")</f>
        <v/>
      </c>
      <c r="S982" s="24"/>
      <c r="T982" s="28" t="str">
        <f aca="false">IF(S982&lt;&gt;"",S982,IF(B982="","",IFERROR(IF(INDEX(Batches!$G$5:$G$64,MATCH(B982,Batches!$A$5:$A$64,0))="","",INDEX(Batches!$G$5:$G$64,MATCH(B982,Batches!$A$5:$A$64,0))),"")))</f>
        <v/>
      </c>
      <c r="U982" s="23"/>
      <c r="V982" s="24"/>
      <c r="W982" s="28" t="str">
        <f aca="false">IF(OR(X982="",X982="Pending"),"",IF(V982&lt;&gt;"",V982,IFERROR(IF(INDEX(Batches!$H$5:$H$64,MATCH(B982,Batches!$A$5:$A$64,0))="","",INDEX(Batches!$H$5:$H$64,MATCH(B982,Batches!$A$5:$A$64,0))),"")))</f>
        <v/>
      </c>
      <c r="X982" s="23"/>
      <c r="Y982" s="23"/>
      <c r="Z982" s="26"/>
      <c r="AA982" s="27" t="str">
        <f aca="false">IF(R982="","",IF(X982="Not accepted",R982,IF(OR(X982="Accepted",X982="Withdrawn by hospital"),IF(X982="Accepted",0,R982),IF(ISNUMBER(Z982),R982-Z982,""))))</f>
        <v/>
      </c>
      <c r="AB982" s="23"/>
      <c r="AC982" s="25"/>
      <c r="AD982" s="23"/>
      <c r="AE982" s="23"/>
      <c r="AF982" s="24"/>
      <c r="AG982" s="23"/>
      <c r="AH982" s="24"/>
      <c r="AI982" s="29" t="str">
        <f aca="false">IF(X982="Not accepted","Maintained",IF(X982="Partially accepted","Partially maintained",IF(X982="Accepted","Reversed",IF(X982="Withdrawn by hospital","Withdrawn by hospital",""))))</f>
        <v/>
      </c>
      <c r="AJ982" s="28" t="str">
        <f aca="false">IF(AI982="","",W982)</f>
        <v/>
      </c>
      <c r="AK982" s="29" t="str">
        <f aca="false">IF(AND(ISNUMBER(T982),ISNUMBER(W982)),W982-T982,"")</f>
        <v/>
      </c>
      <c r="AL982" s="29" t="str">
        <f aca="false">IF(A982="","",SUMIF(Actions!$C$5:$C$1004,A982,Actions!$F$5:$F$1004))</f>
        <v/>
      </c>
      <c r="AM982" s="25"/>
    </row>
    <row r="983" customFormat="false" ht="15" hidden="false" customHeight="false" outlineLevel="0" collapsed="false">
      <c r="A983" s="23"/>
      <c r="B983" s="23"/>
      <c r="C983" s="23"/>
      <c r="D983" s="23"/>
      <c r="E983" s="23"/>
      <c r="F983" s="23"/>
      <c r="G983" s="23"/>
      <c r="H983" s="23"/>
      <c r="I983" s="23"/>
      <c r="J983" s="23"/>
      <c r="K983" s="24"/>
      <c r="L983" s="23"/>
      <c r="M983" s="25"/>
      <c r="N983" s="25"/>
      <c r="O983" s="23"/>
      <c r="P983" s="26"/>
      <c r="Q983" s="26"/>
      <c r="R983" s="27" t="str">
        <f aca="false">IF(AND(ISNUMBER(P983),ISNUMBER(Q983)),P983-Q983,"")</f>
        <v/>
      </c>
      <c r="S983" s="24"/>
      <c r="T983" s="28" t="str">
        <f aca="false">IF(S983&lt;&gt;"",S983,IF(B983="","",IFERROR(IF(INDEX(Batches!$G$5:$G$64,MATCH(B983,Batches!$A$5:$A$64,0))="","",INDEX(Batches!$G$5:$G$64,MATCH(B983,Batches!$A$5:$A$64,0))),"")))</f>
        <v/>
      </c>
      <c r="U983" s="23"/>
      <c r="V983" s="24"/>
      <c r="W983" s="28" t="str">
        <f aca="false">IF(OR(X983="",X983="Pending"),"",IF(V983&lt;&gt;"",V983,IFERROR(IF(INDEX(Batches!$H$5:$H$64,MATCH(B983,Batches!$A$5:$A$64,0))="","",INDEX(Batches!$H$5:$H$64,MATCH(B983,Batches!$A$5:$A$64,0))),"")))</f>
        <v/>
      </c>
      <c r="X983" s="23"/>
      <c r="Y983" s="23"/>
      <c r="Z983" s="26"/>
      <c r="AA983" s="27" t="str">
        <f aca="false">IF(R983="","",IF(X983="Not accepted",R983,IF(OR(X983="Accepted",X983="Withdrawn by hospital"),IF(X983="Accepted",0,R983),IF(ISNUMBER(Z983),R983-Z983,""))))</f>
        <v/>
      </c>
      <c r="AB983" s="23"/>
      <c r="AC983" s="25"/>
      <c r="AD983" s="23"/>
      <c r="AE983" s="23"/>
      <c r="AF983" s="24"/>
      <c r="AG983" s="23"/>
      <c r="AH983" s="24"/>
      <c r="AI983" s="29" t="str">
        <f aca="false">IF(X983="Not accepted","Maintained",IF(X983="Partially accepted","Partially maintained",IF(X983="Accepted","Reversed",IF(X983="Withdrawn by hospital","Withdrawn by hospital",""))))</f>
        <v/>
      </c>
      <c r="AJ983" s="28" t="str">
        <f aca="false">IF(AI983="","",W983)</f>
        <v/>
      </c>
      <c r="AK983" s="29" t="str">
        <f aca="false">IF(AND(ISNUMBER(T983),ISNUMBER(W983)),W983-T983,"")</f>
        <v/>
      </c>
      <c r="AL983" s="29" t="str">
        <f aca="false">IF(A983="","",SUMIF(Actions!$C$5:$C$1004,A983,Actions!$F$5:$F$1004))</f>
        <v/>
      </c>
      <c r="AM983" s="25"/>
    </row>
    <row r="984" customFormat="false" ht="15" hidden="false" customHeight="false" outlineLevel="0" collapsed="false">
      <c r="A984" s="23"/>
      <c r="B984" s="23"/>
      <c r="C984" s="23"/>
      <c r="D984" s="23"/>
      <c r="E984" s="23"/>
      <c r="F984" s="23"/>
      <c r="G984" s="23"/>
      <c r="H984" s="23"/>
      <c r="I984" s="23"/>
      <c r="J984" s="23"/>
      <c r="K984" s="24"/>
      <c r="L984" s="23"/>
      <c r="M984" s="25"/>
      <c r="N984" s="25"/>
      <c r="O984" s="23"/>
      <c r="P984" s="26"/>
      <c r="Q984" s="26"/>
      <c r="R984" s="27" t="str">
        <f aca="false">IF(AND(ISNUMBER(P984),ISNUMBER(Q984)),P984-Q984,"")</f>
        <v/>
      </c>
      <c r="S984" s="24"/>
      <c r="T984" s="28" t="str">
        <f aca="false">IF(S984&lt;&gt;"",S984,IF(B984="","",IFERROR(IF(INDEX(Batches!$G$5:$G$64,MATCH(B984,Batches!$A$5:$A$64,0))="","",INDEX(Batches!$G$5:$G$64,MATCH(B984,Batches!$A$5:$A$64,0))),"")))</f>
        <v/>
      </c>
      <c r="U984" s="23"/>
      <c r="V984" s="24"/>
      <c r="W984" s="28" t="str">
        <f aca="false">IF(OR(X984="",X984="Pending"),"",IF(V984&lt;&gt;"",V984,IFERROR(IF(INDEX(Batches!$H$5:$H$64,MATCH(B984,Batches!$A$5:$A$64,0))="","",INDEX(Batches!$H$5:$H$64,MATCH(B984,Batches!$A$5:$A$64,0))),"")))</f>
        <v/>
      </c>
      <c r="X984" s="23"/>
      <c r="Y984" s="23"/>
      <c r="Z984" s="26"/>
      <c r="AA984" s="27" t="str">
        <f aca="false">IF(R984="","",IF(X984="Not accepted",R984,IF(OR(X984="Accepted",X984="Withdrawn by hospital"),IF(X984="Accepted",0,R984),IF(ISNUMBER(Z984),R984-Z984,""))))</f>
        <v/>
      </c>
      <c r="AB984" s="23"/>
      <c r="AC984" s="25"/>
      <c r="AD984" s="23"/>
      <c r="AE984" s="23"/>
      <c r="AF984" s="24"/>
      <c r="AG984" s="23"/>
      <c r="AH984" s="24"/>
      <c r="AI984" s="29" t="str">
        <f aca="false">IF(X984="Not accepted","Maintained",IF(X984="Partially accepted","Partially maintained",IF(X984="Accepted","Reversed",IF(X984="Withdrawn by hospital","Withdrawn by hospital",""))))</f>
        <v/>
      </c>
      <c r="AJ984" s="28" t="str">
        <f aca="false">IF(AI984="","",W984)</f>
        <v/>
      </c>
      <c r="AK984" s="29" t="str">
        <f aca="false">IF(AND(ISNUMBER(T984),ISNUMBER(W984)),W984-T984,"")</f>
        <v/>
      </c>
      <c r="AL984" s="29" t="str">
        <f aca="false">IF(A984="","",SUMIF(Actions!$C$5:$C$1004,A984,Actions!$F$5:$F$1004))</f>
        <v/>
      </c>
      <c r="AM984" s="25"/>
    </row>
    <row r="985" customFormat="false" ht="15" hidden="false" customHeight="false" outlineLevel="0" collapsed="false">
      <c r="A985" s="23"/>
      <c r="B985" s="23"/>
      <c r="C985" s="23"/>
      <c r="D985" s="23"/>
      <c r="E985" s="23"/>
      <c r="F985" s="23"/>
      <c r="G985" s="23"/>
      <c r="H985" s="23"/>
      <c r="I985" s="23"/>
      <c r="J985" s="23"/>
      <c r="K985" s="24"/>
      <c r="L985" s="23"/>
      <c r="M985" s="25"/>
      <c r="N985" s="25"/>
      <c r="O985" s="23"/>
      <c r="P985" s="26"/>
      <c r="Q985" s="26"/>
      <c r="R985" s="27" t="str">
        <f aca="false">IF(AND(ISNUMBER(P985),ISNUMBER(Q985)),P985-Q985,"")</f>
        <v/>
      </c>
      <c r="S985" s="24"/>
      <c r="T985" s="28" t="str">
        <f aca="false">IF(S985&lt;&gt;"",S985,IF(B985="","",IFERROR(IF(INDEX(Batches!$G$5:$G$64,MATCH(B985,Batches!$A$5:$A$64,0))="","",INDEX(Batches!$G$5:$G$64,MATCH(B985,Batches!$A$5:$A$64,0))),"")))</f>
        <v/>
      </c>
      <c r="U985" s="23"/>
      <c r="V985" s="24"/>
      <c r="W985" s="28" t="str">
        <f aca="false">IF(OR(X985="",X985="Pending"),"",IF(V985&lt;&gt;"",V985,IFERROR(IF(INDEX(Batches!$H$5:$H$64,MATCH(B985,Batches!$A$5:$A$64,0))="","",INDEX(Batches!$H$5:$H$64,MATCH(B985,Batches!$A$5:$A$64,0))),"")))</f>
        <v/>
      </c>
      <c r="X985" s="23"/>
      <c r="Y985" s="23"/>
      <c r="Z985" s="26"/>
      <c r="AA985" s="27" t="str">
        <f aca="false">IF(R985="","",IF(X985="Not accepted",R985,IF(OR(X985="Accepted",X985="Withdrawn by hospital"),IF(X985="Accepted",0,R985),IF(ISNUMBER(Z985),R985-Z985,""))))</f>
        <v/>
      </c>
      <c r="AB985" s="23"/>
      <c r="AC985" s="25"/>
      <c r="AD985" s="23"/>
      <c r="AE985" s="23"/>
      <c r="AF985" s="24"/>
      <c r="AG985" s="23"/>
      <c r="AH985" s="24"/>
      <c r="AI985" s="29" t="str">
        <f aca="false">IF(X985="Not accepted","Maintained",IF(X985="Partially accepted","Partially maintained",IF(X985="Accepted","Reversed",IF(X985="Withdrawn by hospital","Withdrawn by hospital",""))))</f>
        <v/>
      </c>
      <c r="AJ985" s="28" t="str">
        <f aca="false">IF(AI985="","",W985)</f>
        <v/>
      </c>
      <c r="AK985" s="29" t="str">
        <f aca="false">IF(AND(ISNUMBER(T985),ISNUMBER(W985)),W985-T985,"")</f>
        <v/>
      </c>
      <c r="AL985" s="29" t="str">
        <f aca="false">IF(A985="","",SUMIF(Actions!$C$5:$C$1004,A985,Actions!$F$5:$F$1004))</f>
        <v/>
      </c>
      <c r="AM985" s="25"/>
    </row>
    <row r="986" customFormat="false" ht="15" hidden="false" customHeight="false" outlineLevel="0" collapsed="false">
      <c r="A986" s="23"/>
      <c r="B986" s="23"/>
      <c r="C986" s="23"/>
      <c r="D986" s="23"/>
      <c r="E986" s="23"/>
      <c r="F986" s="23"/>
      <c r="G986" s="23"/>
      <c r="H986" s="23"/>
      <c r="I986" s="23"/>
      <c r="J986" s="23"/>
      <c r="K986" s="24"/>
      <c r="L986" s="23"/>
      <c r="M986" s="25"/>
      <c r="N986" s="25"/>
      <c r="O986" s="23"/>
      <c r="P986" s="26"/>
      <c r="Q986" s="26"/>
      <c r="R986" s="27" t="str">
        <f aca="false">IF(AND(ISNUMBER(P986),ISNUMBER(Q986)),P986-Q986,"")</f>
        <v/>
      </c>
      <c r="S986" s="24"/>
      <c r="T986" s="28" t="str">
        <f aca="false">IF(S986&lt;&gt;"",S986,IF(B986="","",IFERROR(IF(INDEX(Batches!$G$5:$G$64,MATCH(B986,Batches!$A$5:$A$64,0))="","",INDEX(Batches!$G$5:$G$64,MATCH(B986,Batches!$A$5:$A$64,0))),"")))</f>
        <v/>
      </c>
      <c r="U986" s="23"/>
      <c r="V986" s="24"/>
      <c r="W986" s="28" t="str">
        <f aca="false">IF(OR(X986="",X986="Pending"),"",IF(V986&lt;&gt;"",V986,IFERROR(IF(INDEX(Batches!$H$5:$H$64,MATCH(B986,Batches!$A$5:$A$64,0))="","",INDEX(Batches!$H$5:$H$64,MATCH(B986,Batches!$A$5:$A$64,0))),"")))</f>
        <v/>
      </c>
      <c r="X986" s="23"/>
      <c r="Y986" s="23"/>
      <c r="Z986" s="26"/>
      <c r="AA986" s="27" t="str">
        <f aca="false">IF(R986="","",IF(X986="Not accepted",R986,IF(OR(X986="Accepted",X986="Withdrawn by hospital"),IF(X986="Accepted",0,R986),IF(ISNUMBER(Z986),R986-Z986,""))))</f>
        <v/>
      </c>
      <c r="AB986" s="23"/>
      <c r="AC986" s="25"/>
      <c r="AD986" s="23"/>
      <c r="AE986" s="23"/>
      <c r="AF986" s="24"/>
      <c r="AG986" s="23"/>
      <c r="AH986" s="24"/>
      <c r="AI986" s="29" t="str">
        <f aca="false">IF(X986="Not accepted","Maintained",IF(X986="Partially accepted","Partially maintained",IF(X986="Accepted","Reversed",IF(X986="Withdrawn by hospital","Withdrawn by hospital",""))))</f>
        <v/>
      </c>
      <c r="AJ986" s="28" t="str">
        <f aca="false">IF(AI986="","",W986)</f>
        <v/>
      </c>
      <c r="AK986" s="29" t="str">
        <f aca="false">IF(AND(ISNUMBER(T986),ISNUMBER(W986)),W986-T986,"")</f>
        <v/>
      </c>
      <c r="AL986" s="29" t="str">
        <f aca="false">IF(A986="","",SUMIF(Actions!$C$5:$C$1004,A986,Actions!$F$5:$F$1004))</f>
        <v/>
      </c>
      <c r="AM986" s="25"/>
    </row>
    <row r="987" customFormat="false" ht="15" hidden="false" customHeight="false" outlineLevel="0" collapsed="false">
      <c r="A987" s="23"/>
      <c r="B987" s="23"/>
      <c r="C987" s="23"/>
      <c r="D987" s="23"/>
      <c r="E987" s="23"/>
      <c r="F987" s="23"/>
      <c r="G987" s="23"/>
      <c r="H987" s="23"/>
      <c r="I987" s="23"/>
      <c r="J987" s="23"/>
      <c r="K987" s="24"/>
      <c r="L987" s="23"/>
      <c r="M987" s="25"/>
      <c r="N987" s="25"/>
      <c r="O987" s="23"/>
      <c r="P987" s="26"/>
      <c r="Q987" s="26"/>
      <c r="R987" s="27" t="str">
        <f aca="false">IF(AND(ISNUMBER(P987),ISNUMBER(Q987)),P987-Q987,"")</f>
        <v/>
      </c>
      <c r="S987" s="24"/>
      <c r="T987" s="28" t="str">
        <f aca="false">IF(S987&lt;&gt;"",S987,IF(B987="","",IFERROR(IF(INDEX(Batches!$G$5:$G$64,MATCH(B987,Batches!$A$5:$A$64,0))="","",INDEX(Batches!$G$5:$G$64,MATCH(B987,Batches!$A$5:$A$64,0))),"")))</f>
        <v/>
      </c>
      <c r="U987" s="23"/>
      <c r="V987" s="24"/>
      <c r="W987" s="28" t="str">
        <f aca="false">IF(OR(X987="",X987="Pending"),"",IF(V987&lt;&gt;"",V987,IFERROR(IF(INDEX(Batches!$H$5:$H$64,MATCH(B987,Batches!$A$5:$A$64,0))="","",INDEX(Batches!$H$5:$H$64,MATCH(B987,Batches!$A$5:$A$64,0))),"")))</f>
        <v/>
      </c>
      <c r="X987" s="23"/>
      <c r="Y987" s="23"/>
      <c r="Z987" s="26"/>
      <c r="AA987" s="27" t="str">
        <f aca="false">IF(R987="","",IF(X987="Not accepted",R987,IF(OR(X987="Accepted",X987="Withdrawn by hospital"),IF(X987="Accepted",0,R987),IF(ISNUMBER(Z987),R987-Z987,""))))</f>
        <v/>
      </c>
      <c r="AB987" s="23"/>
      <c r="AC987" s="25"/>
      <c r="AD987" s="23"/>
      <c r="AE987" s="23"/>
      <c r="AF987" s="24"/>
      <c r="AG987" s="23"/>
      <c r="AH987" s="24"/>
      <c r="AI987" s="29" t="str">
        <f aca="false">IF(X987="Not accepted","Maintained",IF(X987="Partially accepted","Partially maintained",IF(X987="Accepted","Reversed",IF(X987="Withdrawn by hospital","Withdrawn by hospital",""))))</f>
        <v/>
      </c>
      <c r="AJ987" s="28" t="str">
        <f aca="false">IF(AI987="","",W987)</f>
        <v/>
      </c>
      <c r="AK987" s="29" t="str">
        <f aca="false">IF(AND(ISNUMBER(T987),ISNUMBER(W987)),W987-T987,"")</f>
        <v/>
      </c>
      <c r="AL987" s="29" t="str">
        <f aca="false">IF(A987="","",SUMIF(Actions!$C$5:$C$1004,A987,Actions!$F$5:$F$1004))</f>
        <v/>
      </c>
      <c r="AM987" s="25"/>
    </row>
    <row r="988" customFormat="false" ht="15" hidden="false" customHeight="false" outlineLevel="0" collapsed="false">
      <c r="A988" s="23"/>
      <c r="B988" s="23"/>
      <c r="C988" s="23"/>
      <c r="D988" s="23"/>
      <c r="E988" s="23"/>
      <c r="F988" s="23"/>
      <c r="G988" s="23"/>
      <c r="H988" s="23"/>
      <c r="I988" s="23"/>
      <c r="J988" s="23"/>
      <c r="K988" s="24"/>
      <c r="L988" s="23"/>
      <c r="M988" s="25"/>
      <c r="N988" s="25"/>
      <c r="O988" s="23"/>
      <c r="P988" s="26"/>
      <c r="Q988" s="26"/>
      <c r="R988" s="27" t="str">
        <f aca="false">IF(AND(ISNUMBER(P988),ISNUMBER(Q988)),P988-Q988,"")</f>
        <v/>
      </c>
      <c r="S988" s="24"/>
      <c r="T988" s="28" t="str">
        <f aca="false">IF(S988&lt;&gt;"",S988,IF(B988="","",IFERROR(IF(INDEX(Batches!$G$5:$G$64,MATCH(B988,Batches!$A$5:$A$64,0))="","",INDEX(Batches!$G$5:$G$64,MATCH(B988,Batches!$A$5:$A$64,0))),"")))</f>
        <v/>
      </c>
      <c r="U988" s="23"/>
      <c r="V988" s="24"/>
      <c r="W988" s="28" t="str">
        <f aca="false">IF(OR(X988="",X988="Pending"),"",IF(V988&lt;&gt;"",V988,IFERROR(IF(INDEX(Batches!$H$5:$H$64,MATCH(B988,Batches!$A$5:$A$64,0))="","",INDEX(Batches!$H$5:$H$64,MATCH(B988,Batches!$A$5:$A$64,0))),"")))</f>
        <v/>
      </c>
      <c r="X988" s="23"/>
      <c r="Y988" s="23"/>
      <c r="Z988" s="26"/>
      <c r="AA988" s="27" t="str">
        <f aca="false">IF(R988="","",IF(X988="Not accepted",R988,IF(OR(X988="Accepted",X988="Withdrawn by hospital"),IF(X988="Accepted",0,R988),IF(ISNUMBER(Z988),R988-Z988,""))))</f>
        <v/>
      </c>
      <c r="AB988" s="23"/>
      <c r="AC988" s="25"/>
      <c r="AD988" s="23"/>
      <c r="AE988" s="23"/>
      <c r="AF988" s="24"/>
      <c r="AG988" s="23"/>
      <c r="AH988" s="24"/>
      <c r="AI988" s="29" t="str">
        <f aca="false">IF(X988="Not accepted","Maintained",IF(X988="Partially accepted","Partially maintained",IF(X988="Accepted","Reversed",IF(X988="Withdrawn by hospital","Withdrawn by hospital",""))))</f>
        <v/>
      </c>
      <c r="AJ988" s="28" t="str">
        <f aca="false">IF(AI988="","",W988)</f>
        <v/>
      </c>
      <c r="AK988" s="29" t="str">
        <f aca="false">IF(AND(ISNUMBER(T988),ISNUMBER(W988)),W988-T988,"")</f>
        <v/>
      </c>
      <c r="AL988" s="29" t="str">
        <f aca="false">IF(A988="","",SUMIF(Actions!$C$5:$C$1004,A988,Actions!$F$5:$F$1004))</f>
        <v/>
      </c>
      <c r="AM988" s="25"/>
    </row>
    <row r="989" customFormat="false" ht="15" hidden="false" customHeight="false" outlineLevel="0" collapsed="false">
      <c r="A989" s="23"/>
      <c r="B989" s="23"/>
      <c r="C989" s="23"/>
      <c r="D989" s="23"/>
      <c r="E989" s="23"/>
      <c r="F989" s="23"/>
      <c r="G989" s="23"/>
      <c r="H989" s="23"/>
      <c r="I989" s="23"/>
      <c r="J989" s="23"/>
      <c r="K989" s="24"/>
      <c r="L989" s="23"/>
      <c r="M989" s="25"/>
      <c r="N989" s="25"/>
      <c r="O989" s="23"/>
      <c r="P989" s="26"/>
      <c r="Q989" s="26"/>
      <c r="R989" s="27" t="str">
        <f aca="false">IF(AND(ISNUMBER(P989),ISNUMBER(Q989)),P989-Q989,"")</f>
        <v/>
      </c>
      <c r="S989" s="24"/>
      <c r="T989" s="28" t="str">
        <f aca="false">IF(S989&lt;&gt;"",S989,IF(B989="","",IFERROR(IF(INDEX(Batches!$G$5:$G$64,MATCH(B989,Batches!$A$5:$A$64,0))="","",INDEX(Batches!$G$5:$G$64,MATCH(B989,Batches!$A$5:$A$64,0))),"")))</f>
        <v/>
      </c>
      <c r="U989" s="23"/>
      <c r="V989" s="24"/>
      <c r="W989" s="28" t="str">
        <f aca="false">IF(OR(X989="",X989="Pending"),"",IF(V989&lt;&gt;"",V989,IFERROR(IF(INDEX(Batches!$H$5:$H$64,MATCH(B989,Batches!$A$5:$A$64,0))="","",INDEX(Batches!$H$5:$H$64,MATCH(B989,Batches!$A$5:$A$64,0))),"")))</f>
        <v/>
      </c>
      <c r="X989" s="23"/>
      <c r="Y989" s="23"/>
      <c r="Z989" s="26"/>
      <c r="AA989" s="27" t="str">
        <f aca="false">IF(R989="","",IF(X989="Not accepted",R989,IF(OR(X989="Accepted",X989="Withdrawn by hospital"),IF(X989="Accepted",0,R989),IF(ISNUMBER(Z989),R989-Z989,""))))</f>
        <v/>
      </c>
      <c r="AB989" s="23"/>
      <c r="AC989" s="25"/>
      <c r="AD989" s="23"/>
      <c r="AE989" s="23"/>
      <c r="AF989" s="24"/>
      <c r="AG989" s="23"/>
      <c r="AH989" s="24"/>
      <c r="AI989" s="29" t="str">
        <f aca="false">IF(X989="Not accepted","Maintained",IF(X989="Partially accepted","Partially maintained",IF(X989="Accepted","Reversed",IF(X989="Withdrawn by hospital","Withdrawn by hospital",""))))</f>
        <v/>
      </c>
      <c r="AJ989" s="28" t="str">
        <f aca="false">IF(AI989="","",W989)</f>
        <v/>
      </c>
      <c r="AK989" s="29" t="str">
        <f aca="false">IF(AND(ISNUMBER(T989),ISNUMBER(W989)),W989-T989,"")</f>
        <v/>
      </c>
      <c r="AL989" s="29" t="str">
        <f aca="false">IF(A989="","",SUMIF(Actions!$C$5:$C$1004,A989,Actions!$F$5:$F$1004))</f>
        <v/>
      </c>
      <c r="AM989" s="25"/>
    </row>
    <row r="990" customFormat="false" ht="15" hidden="false" customHeight="false" outlineLevel="0" collapsed="false">
      <c r="A990" s="23"/>
      <c r="B990" s="23"/>
      <c r="C990" s="23"/>
      <c r="D990" s="23"/>
      <c r="E990" s="23"/>
      <c r="F990" s="23"/>
      <c r="G990" s="23"/>
      <c r="H990" s="23"/>
      <c r="I990" s="23"/>
      <c r="J990" s="23"/>
      <c r="K990" s="24"/>
      <c r="L990" s="23"/>
      <c r="M990" s="25"/>
      <c r="N990" s="25"/>
      <c r="O990" s="23"/>
      <c r="P990" s="26"/>
      <c r="Q990" s="26"/>
      <c r="R990" s="27" t="str">
        <f aca="false">IF(AND(ISNUMBER(P990),ISNUMBER(Q990)),P990-Q990,"")</f>
        <v/>
      </c>
      <c r="S990" s="24"/>
      <c r="T990" s="28" t="str">
        <f aca="false">IF(S990&lt;&gt;"",S990,IF(B990="","",IFERROR(IF(INDEX(Batches!$G$5:$G$64,MATCH(B990,Batches!$A$5:$A$64,0))="","",INDEX(Batches!$G$5:$G$64,MATCH(B990,Batches!$A$5:$A$64,0))),"")))</f>
        <v/>
      </c>
      <c r="U990" s="23"/>
      <c r="V990" s="24"/>
      <c r="W990" s="28" t="str">
        <f aca="false">IF(OR(X990="",X990="Pending"),"",IF(V990&lt;&gt;"",V990,IFERROR(IF(INDEX(Batches!$H$5:$H$64,MATCH(B990,Batches!$A$5:$A$64,0))="","",INDEX(Batches!$H$5:$H$64,MATCH(B990,Batches!$A$5:$A$64,0))),"")))</f>
        <v/>
      </c>
      <c r="X990" s="23"/>
      <c r="Y990" s="23"/>
      <c r="Z990" s="26"/>
      <c r="AA990" s="27" t="str">
        <f aca="false">IF(R990="","",IF(X990="Not accepted",R990,IF(OR(X990="Accepted",X990="Withdrawn by hospital"),IF(X990="Accepted",0,R990),IF(ISNUMBER(Z990),R990-Z990,""))))</f>
        <v/>
      </c>
      <c r="AB990" s="23"/>
      <c r="AC990" s="25"/>
      <c r="AD990" s="23"/>
      <c r="AE990" s="23"/>
      <c r="AF990" s="24"/>
      <c r="AG990" s="23"/>
      <c r="AH990" s="24"/>
      <c r="AI990" s="29" t="str">
        <f aca="false">IF(X990="Not accepted","Maintained",IF(X990="Partially accepted","Partially maintained",IF(X990="Accepted","Reversed",IF(X990="Withdrawn by hospital","Withdrawn by hospital",""))))</f>
        <v/>
      </c>
      <c r="AJ990" s="28" t="str">
        <f aca="false">IF(AI990="","",W990)</f>
        <v/>
      </c>
      <c r="AK990" s="29" t="str">
        <f aca="false">IF(AND(ISNUMBER(T990),ISNUMBER(W990)),W990-T990,"")</f>
        <v/>
      </c>
      <c r="AL990" s="29" t="str">
        <f aca="false">IF(A990="","",SUMIF(Actions!$C$5:$C$1004,A990,Actions!$F$5:$F$1004))</f>
        <v/>
      </c>
      <c r="AM990" s="25"/>
    </row>
    <row r="991" customFormat="false" ht="15" hidden="false" customHeight="false" outlineLevel="0" collapsed="false">
      <c r="A991" s="23"/>
      <c r="B991" s="23"/>
      <c r="C991" s="23"/>
      <c r="D991" s="23"/>
      <c r="E991" s="23"/>
      <c r="F991" s="23"/>
      <c r="G991" s="23"/>
      <c r="H991" s="23"/>
      <c r="I991" s="23"/>
      <c r="J991" s="23"/>
      <c r="K991" s="24"/>
      <c r="L991" s="23"/>
      <c r="M991" s="25"/>
      <c r="N991" s="25"/>
      <c r="O991" s="23"/>
      <c r="P991" s="26"/>
      <c r="Q991" s="26"/>
      <c r="R991" s="27" t="str">
        <f aca="false">IF(AND(ISNUMBER(P991),ISNUMBER(Q991)),P991-Q991,"")</f>
        <v/>
      </c>
      <c r="S991" s="24"/>
      <c r="T991" s="28" t="str">
        <f aca="false">IF(S991&lt;&gt;"",S991,IF(B991="","",IFERROR(IF(INDEX(Batches!$G$5:$G$64,MATCH(B991,Batches!$A$5:$A$64,0))="","",INDEX(Batches!$G$5:$G$64,MATCH(B991,Batches!$A$5:$A$64,0))),"")))</f>
        <v/>
      </c>
      <c r="U991" s="23"/>
      <c r="V991" s="24"/>
      <c r="W991" s="28" t="str">
        <f aca="false">IF(OR(X991="",X991="Pending"),"",IF(V991&lt;&gt;"",V991,IFERROR(IF(INDEX(Batches!$H$5:$H$64,MATCH(B991,Batches!$A$5:$A$64,0))="","",INDEX(Batches!$H$5:$H$64,MATCH(B991,Batches!$A$5:$A$64,0))),"")))</f>
        <v/>
      </c>
      <c r="X991" s="23"/>
      <c r="Y991" s="23"/>
      <c r="Z991" s="26"/>
      <c r="AA991" s="27" t="str">
        <f aca="false">IF(R991="","",IF(X991="Not accepted",R991,IF(OR(X991="Accepted",X991="Withdrawn by hospital"),IF(X991="Accepted",0,R991),IF(ISNUMBER(Z991),R991-Z991,""))))</f>
        <v/>
      </c>
      <c r="AB991" s="23"/>
      <c r="AC991" s="25"/>
      <c r="AD991" s="23"/>
      <c r="AE991" s="23"/>
      <c r="AF991" s="24"/>
      <c r="AG991" s="23"/>
      <c r="AH991" s="24"/>
      <c r="AI991" s="29" t="str">
        <f aca="false">IF(X991="Not accepted","Maintained",IF(X991="Partially accepted","Partially maintained",IF(X991="Accepted","Reversed",IF(X991="Withdrawn by hospital","Withdrawn by hospital",""))))</f>
        <v/>
      </c>
      <c r="AJ991" s="28" t="str">
        <f aca="false">IF(AI991="","",W991)</f>
        <v/>
      </c>
      <c r="AK991" s="29" t="str">
        <f aca="false">IF(AND(ISNUMBER(T991),ISNUMBER(W991)),W991-T991,"")</f>
        <v/>
      </c>
      <c r="AL991" s="29" t="str">
        <f aca="false">IF(A991="","",SUMIF(Actions!$C$5:$C$1004,A991,Actions!$F$5:$F$1004))</f>
        <v/>
      </c>
      <c r="AM991" s="25"/>
    </row>
    <row r="992" customFormat="false" ht="15" hidden="false" customHeight="false" outlineLevel="0" collapsed="false">
      <c r="A992" s="23"/>
      <c r="B992" s="23"/>
      <c r="C992" s="23"/>
      <c r="D992" s="23"/>
      <c r="E992" s="23"/>
      <c r="F992" s="23"/>
      <c r="G992" s="23"/>
      <c r="H992" s="23"/>
      <c r="I992" s="23"/>
      <c r="J992" s="23"/>
      <c r="K992" s="24"/>
      <c r="L992" s="23"/>
      <c r="M992" s="25"/>
      <c r="N992" s="25"/>
      <c r="O992" s="23"/>
      <c r="P992" s="26"/>
      <c r="Q992" s="26"/>
      <c r="R992" s="27" t="str">
        <f aca="false">IF(AND(ISNUMBER(P992),ISNUMBER(Q992)),P992-Q992,"")</f>
        <v/>
      </c>
      <c r="S992" s="24"/>
      <c r="T992" s="28" t="str">
        <f aca="false">IF(S992&lt;&gt;"",S992,IF(B992="","",IFERROR(IF(INDEX(Batches!$G$5:$G$64,MATCH(B992,Batches!$A$5:$A$64,0))="","",INDEX(Batches!$G$5:$G$64,MATCH(B992,Batches!$A$5:$A$64,0))),"")))</f>
        <v/>
      </c>
      <c r="U992" s="23"/>
      <c r="V992" s="24"/>
      <c r="W992" s="28" t="str">
        <f aca="false">IF(OR(X992="",X992="Pending"),"",IF(V992&lt;&gt;"",V992,IFERROR(IF(INDEX(Batches!$H$5:$H$64,MATCH(B992,Batches!$A$5:$A$64,0))="","",INDEX(Batches!$H$5:$H$64,MATCH(B992,Batches!$A$5:$A$64,0))),"")))</f>
        <v/>
      </c>
      <c r="X992" s="23"/>
      <c r="Y992" s="23"/>
      <c r="Z992" s="26"/>
      <c r="AA992" s="27" t="str">
        <f aca="false">IF(R992="","",IF(X992="Not accepted",R992,IF(OR(X992="Accepted",X992="Withdrawn by hospital"),IF(X992="Accepted",0,R992),IF(ISNUMBER(Z992),R992-Z992,""))))</f>
        <v/>
      </c>
      <c r="AB992" s="23"/>
      <c r="AC992" s="25"/>
      <c r="AD992" s="23"/>
      <c r="AE992" s="23"/>
      <c r="AF992" s="24"/>
      <c r="AG992" s="23"/>
      <c r="AH992" s="24"/>
      <c r="AI992" s="29" t="str">
        <f aca="false">IF(X992="Not accepted","Maintained",IF(X992="Partially accepted","Partially maintained",IF(X992="Accepted","Reversed",IF(X992="Withdrawn by hospital","Withdrawn by hospital",""))))</f>
        <v/>
      </c>
      <c r="AJ992" s="28" t="str">
        <f aca="false">IF(AI992="","",W992)</f>
        <v/>
      </c>
      <c r="AK992" s="29" t="str">
        <f aca="false">IF(AND(ISNUMBER(T992),ISNUMBER(W992)),W992-T992,"")</f>
        <v/>
      </c>
      <c r="AL992" s="29" t="str">
        <f aca="false">IF(A992="","",SUMIF(Actions!$C$5:$C$1004,A992,Actions!$F$5:$F$1004))</f>
        <v/>
      </c>
      <c r="AM992" s="25"/>
    </row>
    <row r="993" customFormat="false" ht="15" hidden="false" customHeight="false" outlineLevel="0" collapsed="false">
      <c r="A993" s="23"/>
      <c r="B993" s="23"/>
      <c r="C993" s="23"/>
      <c r="D993" s="23"/>
      <c r="E993" s="23"/>
      <c r="F993" s="23"/>
      <c r="G993" s="23"/>
      <c r="H993" s="23"/>
      <c r="I993" s="23"/>
      <c r="J993" s="23"/>
      <c r="K993" s="24"/>
      <c r="L993" s="23"/>
      <c r="M993" s="25"/>
      <c r="N993" s="25"/>
      <c r="O993" s="23"/>
      <c r="P993" s="26"/>
      <c r="Q993" s="26"/>
      <c r="R993" s="27" t="str">
        <f aca="false">IF(AND(ISNUMBER(P993),ISNUMBER(Q993)),P993-Q993,"")</f>
        <v/>
      </c>
      <c r="S993" s="24"/>
      <c r="T993" s="28" t="str">
        <f aca="false">IF(S993&lt;&gt;"",S993,IF(B993="","",IFERROR(IF(INDEX(Batches!$G$5:$G$64,MATCH(B993,Batches!$A$5:$A$64,0))="","",INDEX(Batches!$G$5:$G$64,MATCH(B993,Batches!$A$5:$A$64,0))),"")))</f>
        <v/>
      </c>
      <c r="U993" s="23"/>
      <c r="V993" s="24"/>
      <c r="W993" s="28" t="str">
        <f aca="false">IF(OR(X993="",X993="Pending"),"",IF(V993&lt;&gt;"",V993,IFERROR(IF(INDEX(Batches!$H$5:$H$64,MATCH(B993,Batches!$A$5:$A$64,0))="","",INDEX(Batches!$H$5:$H$64,MATCH(B993,Batches!$A$5:$A$64,0))),"")))</f>
        <v/>
      </c>
      <c r="X993" s="23"/>
      <c r="Y993" s="23"/>
      <c r="Z993" s="26"/>
      <c r="AA993" s="27" t="str">
        <f aca="false">IF(R993="","",IF(X993="Not accepted",R993,IF(OR(X993="Accepted",X993="Withdrawn by hospital"),IF(X993="Accepted",0,R993),IF(ISNUMBER(Z993),R993-Z993,""))))</f>
        <v/>
      </c>
      <c r="AB993" s="23"/>
      <c r="AC993" s="25"/>
      <c r="AD993" s="23"/>
      <c r="AE993" s="23"/>
      <c r="AF993" s="24"/>
      <c r="AG993" s="23"/>
      <c r="AH993" s="24"/>
      <c r="AI993" s="29" t="str">
        <f aca="false">IF(X993="Not accepted","Maintained",IF(X993="Partially accepted","Partially maintained",IF(X993="Accepted","Reversed",IF(X993="Withdrawn by hospital","Withdrawn by hospital",""))))</f>
        <v/>
      </c>
      <c r="AJ993" s="28" t="str">
        <f aca="false">IF(AI993="","",W993)</f>
        <v/>
      </c>
      <c r="AK993" s="29" t="str">
        <f aca="false">IF(AND(ISNUMBER(T993),ISNUMBER(W993)),W993-T993,"")</f>
        <v/>
      </c>
      <c r="AL993" s="29" t="str">
        <f aca="false">IF(A993="","",SUMIF(Actions!$C$5:$C$1004,A993,Actions!$F$5:$F$1004))</f>
        <v/>
      </c>
      <c r="AM993" s="25"/>
    </row>
    <row r="994" customFormat="false" ht="15" hidden="false" customHeight="false" outlineLevel="0" collapsed="false">
      <c r="A994" s="23"/>
      <c r="B994" s="23"/>
      <c r="C994" s="23"/>
      <c r="D994" s="23"/>
      <c r="E994" s="23"/>
      <c r="F994" s="23"/>
      <c r="G994" s="23"/>
      <c r="H994" s="23"/>
      <c r="I994" s="23"/>
      <c r="J994" s="23"/>
      <c r="K994" s="24"/>
      <c r="L994" s="23"/>
      <c r="M994" s="25"/>
      <c r="N994" s="25"/>
      <c r="O994" s="23"/>
      <c r="P994" s="26"/>
      <c r="Q994" s="26"/>
      <c r="R994" s="27" t="str">
        <f aca="false">IF(AND(ISNUMBER(P994),ISNUMBER(Q994)),P994-Q994,"")</f>
        <v/>
      </c>
      <c r="S994" s="24"/>
      <c r="T994" s="28" t="str">
        <f aca="false">IF(S994&lt;&gt;"",S994,IF(B994="","",IFERROR(IF(INDEX(Batches!$G$5:$G$64,MATCH(B994,Batches!$A$5:$A$64,0))="","",INDEX(Batches!$G$5:$G$64,MATCH(B994,Batches!$A$5:$A$64,0))),"")))</f>
        <v/>
      </c>
      <c r="U994" s="23"/>
      <c r="V994" s="24"/>
      <c r="W994" s="28" t="str">
        <f aca="false">IF(OR(X994="",X994="Pending"),"",IF(V994&lt;&gt;"",V994,IFERROR(IF(INDEX(Batches!$H$5:$H$64,MATCH(B994,Batches!$A$5:$A$64,0))="","",INDEX(Batches!$H$5:$H$64,MATCH(B994,Batches!$A$5:$A$64,0))),"")))</f>
        <v/>
      </c>
      <c r="X994" s="23"/>
      <c r="Y994" s="23"/>
      <c r="Z994" s="26"/>
      <c r="AA994" s="27" t="str">
        <f aca="false">IF(R994="","",IF(X994="Not accepted",R994,IF(OR(X994="Accepted",X994="Withdrawn by hospital"),IF(X994="Accepted",0,R994),IF(ISNUMBER(Z994),R994-Z994,""))))</f>
        <v/>
      </c>
      <c r="AB994" s="23"/>
      <c r="AC994" s="25"/>
      <c r="AD994" s="23"/>
      <c r="AE994" s="23"/>
      <c r="AF994" s="24"/>
      <c r="AG994" s="23"/>
      <c r="AH994" s="24"/>
      <c r="AI994" s="29" t="str">
        <f aca="false">IF(X994="Not accepted","Maintained",IF(X994="Partially accepted","Partially maintained",IF(X994="Accepted","Reversed",IF(X994="Withdrawn by hospital","Withdrawn by hospital",""))))</f>
        <v/>
      </c>
      <c r="AJ994" s="28" t="str">
        <f aca="false">IF(AI994="","",W994)</f>
        <v/>
      </c>
      <c r="AK994" s="29" t="str">
        <f aca="false">IF(AND(ISNUMBER(T994),ISNUMBER(W994)),W994-T994,"")</f>
        <v/>
      </c>
      <c r="AL994" s="29" t="str">
        <f aca="false">IF(A994="","",SUMIF(Actions!$C$5:$C$1004,A994,Actions!$F$5:$F$1004))</f>
        <v/>
      </c>
      <c r="AM994" s="25"/>
    </row>
    <row r="995" customFormat="false" ht="15" hidden="false" customHeight="false" outlineLevel="0" collapsed="false">
      <c r="A995" s="23"/>
      <c r="B995" s="23"/>
      <c r="C995" s="23"/>
      <c r="D995" s="23"/>
      <c r="E995" s="23"/>
      <c r="F995" s="23"/>
      <c r="G995" s="23"/>
      <c r="H995" s="23"/>
      <c r="I995" s="23"/>
      <c r="J995" s="23"/>
      <c r="K995" s="24"/>
      <c r="L995" s="23"/>
      <c r="M995" s="25"/>
      <c r="N995" s="25"/>
      <c r="O995" s="23"/>
      <c r="P995" s="26"/>
      <c r="Q995" s="26"/>
      <c r="R995" s="27" t="str">
        <f aca="false">IF(AND(ISNUMBER(P995),ISNUMBER(Q995)),P995-Q995,"")</f>
        <v/>
      </c>
      <c r="S995" s="24"/>
      <c r="T995" s="28" t="str">
        <f aca="false">IF(S995&lt;&gt;"",S995,IF(B995="","",IFERROR(IF(INDEX(Batches!$G$5:$G$64,MATCH(B995,Batches!$A$5:$A$64,0))="","",INDEX(Batches!$G$5:$G$64,MATCH(B995,Batches!$A$5:$A$64,0))),"")))</f>
        <v/>
      </c>
      <c r="U995" s="23"/>
      <c r="V995" s="24"/>
      <c r="W995" s="28" t="str">
        <f aca="false">IF(OR(X995="",X995="Pending"),"",IF(V995&lt;&gt;"",V995,IFERROR(IF(INDEX(Batches!$H$5:$H$64,MATCH(B995,Batches!$A$5:$A$64,0))="","",INDEX(Batches!$H$5:$H$64,MATCH(B995,Batches!$A$5:$A$64,0))),"")))</f>
        <v/>
      </c>
      <c r="X995" s="23"/>
      <c r="Y995" s="23"/>
      <c r="Z995" s="26"/>
      <c r="AA995" s="27" t="str">
        <f aca="false">IF(R995="","",IF(X995="Not accepted",R995,IF(OR(X995="Accepted",X995="Withdrawn by hospital"),IF(X995="Accepted",0,R995),IF(ISNUMBER(Z995),R995-Z995,""))))</f>
        <v/>
      </c>
      <c r="AB995" s="23"/>
      <c r="AC995" s="25"/>
      <c r="AD995" s="23"/>
      <c r="AE995" s="23"/>
      <c r="AF995" s="24"/>
      <c r="AG995" s="23"/>
      <c r="AH995" s="24"/>
      <c r="AI995" s="29" t="str">
        <f aca="false">IF(X995="Not accepted","Maintained",IF(X995="Partially accepted","Partially maintained",IF(X995="Accepted","Reversed",IF(X995="Withdrawn by hospital","Withdrawn by hospital",""))))</f>
        <v/>
      </c>
      <c r="AJ995" s="28" t="str">
        <f aca="false">IF(AI995="","",W995)</f>
        <v/>
      </c>
      <c r="AK995" s="29" t="str">
        <f aca="false">IF(AND(ISNUMBER(T995),ISNUMBER(W995)),W995-T995,"")</f>
        <v/>
      </c>
      <c r="AL995" s="29" t="str">
        <f aca="false">IF(A995="","",SUMIF(Actions!$C$5:$C$1004,A995,Actions!$F$5:$F$1004))</f>
        <v/>
      </c>
      <c r="AM995" s="25"/>
    </row>
    <row r="996" customFormat="false" ht="15" hidden="false" customHeight="false" outlineLevel="0" collapsed="false">
      <c r="A996" s="23"/>
      <c r="B996" s="23"/>
      <c r="C996" s="23"/>
      <c r="D996" s="23"/>
      <c r="E996" s="23"/>
      <c r="F996" s="23"/>
      <c r="G996" s="23"/>
      <c r="H996" s="23"/>
      <c r="I996" s="23"/>
      <c r="J996" s="23"/>
      <c r="K996" s="24"/>
      <c r="L996" s="23"/>
      <c r="M996" s="25"/>
      <c r="N996" s="25"/>
      <c r="O996" s="23"/>
      <c r="P996" s="26"/>
      <c r="Q996" s="26"/>
      <c r="R996" s="27" t="str">
        <f aca="false">IF(AND(ISNUMBER(P996),ISNUMBER(Q996)),P996-Q996,"")</f>
        <v/>
      </c>
      <c r="S996" s="24"/>
      <c r="T996" s="28" t="str">
        <f aca="false">IF(S996&lt;&gt;"",S996,IF(B996="","",IFERROR(IF(INDEX(Batches!$G$5:$G$64,MATCH(B996,Batches!$A$5:$A$64,0))="","",INDEX(Batches!$G$5:$G$64,MATCH(B996,Batches!$A$5:$A$64,0))),"")))</f>
        <v/>
      </c>
      <c r="U996" s="23"/>
      <c r="V996" s="24"/>
      <c r="W996" s="28" t="str">
        <f aca="false">IF(OR(X996="",X996="Pending"),"",IF(V996&lt;&gt;"",V996,IFERROR(IF(INDEX(Batches!$H$5:$H$64,MATCH(B996,Batches!$A$5:$A$64,0))="","",INDEX(Batches!$H$5:$H$64,MATCH(B996,Batches!$A$5:$A$64,0))),"")))</f>
        <v/>
      </c>
      <c r="X996" s="23"/>
      <c r="Y996" s="23"/>
      <c r="Z996" s="26"/>
      <c r="AA996" s="27" t="str">
        <f aca="false">IF(R996="","",IF(X996="Not accepted",R996,IF(OR(X996="Accepted",X996="Withdrawn by hospital"),IF(X996="Accepted",0,R996),IF(ISNUMBER(Z996),R996-Z996,""))))</f>
        <v/>
      </c>
      <c r="AB996" s="23"/>
      <c r="AC996" s="25"/>
      <c r="AD996" s="23"/>
      <c r="AE996" s="23"/>
      <c r="AF996" s="24"/>
      <c r="AG996" s="23"/>
      <c r="AH996" s="24"/>
      <c r="AI996" s="29" t="str">
        <f aca="false">IF(X996="Not accepted","Maintained",IF(X996="Partially accepted","Partially maintained",IF(X996="Accepted","Reversed",IF(X996="Withdrawn by hospital","Withdrawn by hospital",""))))</f>
        <v/>
      </c>
      <c r="AJ996" s="28" t="str">
        <f aca="false">IF(AI996="","",W996)</f>
        <v/>
      </c>
      <c r="AK996" s="29" t="str">
        <f aca="false">IF(AND(ISNUMBER(T996),ISNUMBER(W996)),W996-T996,"")</f>
        <v/>
      </c>
      <c r="AL996" s="29" t="str">
        <f aca="false">IF(A996="","",SUMIF(Actions!$C$5:$C$1004,A996,Actions!$F$5:$F$1004))</f>
        <v/>
      </c>
      <c r="AM996" s="25"/>
    </row>
    <row r="997" customFormat="false" ht="15" hidden="false" customHeight="false" outlineLevel="0" collapsed="false">
      <c r="A997" s="23"/>
      <c r="B997" s="23"/>
      <c r="C997" s="23"/>
      <c r="D997" s="23"/>
      <c r="E997" s="23"/>
      <c r="F997" s="23"/>
      <c r="G997" s="23"/>
      <c r="H997" s="23"/>
      <c r="I997" s="23"/>
      <c r="J997" s="23"/>
      <c r="K997" s="24"/>
      <c r="L997" s="23"/>
      <c r="M997" s="25"/>
      <c r="N997" s="25"/>
      <c r="O997" s="23"/>
      <c r="P997" s="26"/>
      <c r="Q997" s="26"/>
      <c r="R997" s="27" t="str">
        <f aca="false">IF(AND(ISNUMBER(P997),ISNUMBER(Q997)),P997-Q997,"")</f>
        <v/>
      </c>
      <c r="S997" s="24"/>
      <c r="T997" s="28" t="str">
        <f aca="false">IF(S997&lt;&gt;"",S997,IF(B997="","",IFERROR(IF(INDEX(Batches!$G$5:$G$64,MATCH(B997,Batches!$A$5:$A$64,0))="","",INDEX(Batches!$G$5:$G$64,MATCH(B997,Batches!$A$5:$A$64,0))),"")))</f>
        <v/>
      </c>
      <c r="U997" s="23"/>
      <c r="V997" s="24"/>
      <c r="W997" s="28" t="str">
        <f aca="false">IF(OR(X997="",X997="Pending"),"",IF(V997&lt;&gt;"",V997,IFERROR(IF(INDEX(Batches!$H$5:$H$64,MATCH(B997,Batches!$A$5:$A$64,0))="","",INDEX(Batches!$H$5:$H$64,MATCH(B997,Batches!$A$5:$A$64,0))),"")))</f>
        <v/>
      </c>
      <c r="X997" s="23"/>
      <c r="Y997" s="23"/>
      <c r="Z997" s="26"/>
      <c r="AA997" s="27" t="str">
        <f aca="false">IF(R997="","",IF(X997="Not accepted",R997,IF(OR(X997="Accepted",X997="Withdrawn by hospital"),IF(X997="Accepted",0,R997),IF(ISNUMBER(Z997),R997-Z997,""))))</f>
        <v/>
      </c>
      <c r="AB997" s="23"/>
      <c r="AC997" s="25"/>
      <c r="AD997" s="23"/>
      <c r="AE997" s="23"/>
      <c r="AF997" s="24"/>
      <c r="AG997" s="23"/>
      <c r="AH997" s="24"/>
      <c r="AI997" s="29" t="str">
        <f aca="false">IF(X997="Not accepted","Maintained",IF(X997="Partially accepted","Partially maintained",IF(X997="Accepted","Reversed",IF(X997="Withdrawn by hospital","Withdrawn by hospital",""))))</f>
        <v/>
      </c>
      <c r="AJ997" s="28" t="str">
        <f aca="false">IF(AI997="","",W997)</f>
        <v/>
      </c>
      <c r="AK997" s="29" t="str">
        <f aca="false">IF(AND(ISNUMBER(T997),ISNUMBER(W997)),W997-T997,"")</f>
        <v/>
      </c>
      <c r="AL997" s="29" t="str">
        <f aca="false">IF(A997="","",SUMIF(Actions!$C$5:$C$1004,A997,Actions!$F$5:$F$1004))</f>
        <v/>
      </c>
      <c r="AM997" s="25"/>
    </row>
    <row r="998" customFormat="false" ht="15" hidden="false" customHeight="false" outlineLevel="0" collapsed="false">
      <c r="A998" s="23"/>
      <c r="B998" s="23"/>
      <c r="C998" s="23"/>
      <c r="D998" s="23"/>
      <c r="E998" s="23"/>
      <c r="F998" s="23"/>
      <c r="G998" s="23"/>
      <c r="H998" s="23"/>
      <c r="I998" s="23"/>
      <c r="J998" s="23"/>
      <c r="K998" s="24"/>
      <c r="L998" s="23"/>
      <c r="M998" s="25"/>
      <c r="N998" s="25"/>
      <c r="O998" s="23"/>
      <c r="P998" s="26"/>
      <c r="Q998" s="26"/>
      <c r="R998" s="27" t="str">
        <f aca="false">IF(AND(ISNUMBER(P998),ISNUMBER(Q998)),P998-Q998,"")</f>
        <v/>
      </c>
      <c r="S998" s="24"/>
      <c r="T998" s="28" t="str">
        <f aca="false">IF(S998&lt;&gt;"",S998,IF(B998="","",IFERROR(IF(INDEX(Batches!$G$5:$G$64,MATCH(B998,Batches!$A$5:$A$64,0))="","",INDEX(Batches!$G$5:$G$64,MATCH(B998,Batches!$A$5:$A$64,0))),"")))</f>
        <v/>
      </c>
      <c r="U998" s="23"/>
      <c r="V998" s="24"/>
      <c r="W998" s="28" t="str">
        <f aca="false">IF(OR(X998="",X998="Pending"),"",IF(V998&lt;&gt;"",V998,IFERROR(IF(INDEX(Batches!$H$5:$H$64,MATCH(B998,Batches!$A$5:$A$64,0))="","",INDEX(Batches!$H$5:$H$64,MATCH(B998,Batches!$A$5:$A$64,0))),"")))</f>
        <v/>
      </c>
      <c r="X998" s="23"/>
      <c r="Y998" s="23"/>
      <c r="Z998" s="26"/>
      <c r="AA998" s="27" t="str">
        <f aca="false">IF(R998="","",IF(X998="Not accepted",R998,IF(OR(X998="Accepted",X998="Withdrawn by hospital"),IF(X998="Accepted",0,R998),IF(ISNUMBER(Z998),R998-Z998,""))))</f>
        <v/>
      </c>
      <c r="AB998" s="23"/>
      <c r="AC998" s="25"/>
      <c r="AD998" s="23"/>
      <c r="AE998" s="23"/>
      <c r="AF998" s="24"/>
      <c r="AG998" s="23"/>
      <c r="AH998" s="24"/>
      <c r="AI998" s="29" t="str">
        <f aca="false">IF(X998="Not accepted","Maintained",IF(X998="Partially accepted","Partially maintained",IF(X998="Accepted","Reversed",IF(X998="Withdrawn by hospital","Withdrawn by hospital",""))))</f>
        <v/>
      </c>
      <c r="AJ998" s="28" t="str">
        <f aca="false">IF(AI998="","",W998)</f>
        <v/>
      </c>
      <c r="AK998" s="29" t="str">
        <f aca="false">IF(AND(ISNUMBER(T998),ISNUMBER(W998)),W998-T998,"")</f>
        <v/>
      </c>
      <c r="AL998" s="29" t="str">
        <f aca="false">IF(A998="","",SUMIF(Actions!$C$5:$C$1004,A998,Actions!$F$5:$F$1004))</f>
        <v/>
      </c>
      <c r="AM998" s="25"/>
    </row>
    <row r="999" customFormat="false" ht="15" hidden="false" customHeight="false" outlineLevel="0" collapsed="false">
      <c r="A999" s="23"/>
      <c r="B999" s="23"/>
      <c r="C999" s="23"/>
      <c r="D999" s="23"/>
      <c r="E999" s="23"/>
      <c r="F999" s="23"/>
      <c r="G999" s="23"/>
      <c r="H999" s="23"/>
      <c r="I999" s="23"/>
      <c r="J999" s="23"/>
      <c r="K999" s="24"/>
      <c r="L999" s="23"/>
      <c r="M999" s="25"/>
      <c r="N999" s="25"/>
      <c r="O999" s="23"/>
      <c r="P999" s="26"/>
      <c r="Q999" s="26"/>
      <c r="R999" s="27" t="str">
        <f aca="false">IF(AND(ISNUMBER(P999),ISNUMBER(Q999)),P999-Q999,"")</f>
        <v/>
      </c>
      <c r="S999" s="24"/>
      <c r="T999" s="28" t="str">
        <f aca="false">IF(S999&lt;&gt;"",S999,IF(B999="","",IFERROR(IF(INDEX(Batches!$G$5:$G$64,MATCH(B999,Batches!$A$5:$A$64,0))="","",INDEX(Batches!$G$5:$G$64,MATCH(B999,Batches!$A$5:$A$64,0))),"")))</f>
        <v/>
      </c>
      <c r="U999" s="23"/>
      <c r="V999" s="24"/>
      <c r="W999" s="28" t="str">
        <f aca="false">IF(OR(X999="",X999="Pending"),"",IF(V999&lt;&gt;"",V999,IFERROR(IF(INDEX(Batches!$H$5:$H$64,MATCH(B999,Batches!$A$5:$A$64,0))="","",INDEX(Batches!$H$5:$H$64,MATCH(B999,Batches!$A$5:$A$64,0))),"")))</f>
        <v/>
      </c>
      <c r="X999" s="23"/>
      <c r="Y999" s="23"/>
      <c r="Z999" s="26"/>
      <c r="AA999" s="27" t="str">
        <f aca="false">IF(R999="","",IF(X999="Not accepted",R999,IF(OR(X999="Accepted",X999="Withdrawn by hospital"),IF(X999="Accepted",0,R999),IF(ISNUMBER(Z999),R999-Z999,""))))</f>
        <v/>
      </c>
      <c r="AB999" s="23"/>
      <c r="AC999" s="25"/>
      <c r="AD999" s="23"/>
      <c r="AE999" s="23"/>
      <c r="AF999" s="24"/>
      <c r="AG999" s="23"/>
      <c r="AH999" s="24"/>
      <c r="AI999" s="29" t="str">
        <f aca="false">IF(X999="Not accepted","Maintained",IF(X999="Partially accepted","Partially maintained",IF(X999="Accepted","Reversed",IF(X999="Withdrawn by hospital","Withdrawn by hospital",""))))</f>
        <v/>
      </c>
      <c r="AJ999" s="28" t="str">
        <f aca="false">IF(AI999="","",W999)</f>
        <v/>
      </c>
      <c r="AK999" s="29" t="str">
        <f aca="false">IF(AND(ISNUMBER(T999),ISNUMBER(W999)),W999-T999,"")</f>
        <v/>
      </c>
      <c r="AL999" s="29" t="str">
        <f aca="false">IF(A999="","",SUMIF(Actions!$C$5:$C$1004,A999,Actions!$F$5:$F$1004))</f>
        <v/>
      </c>
      <c r="AM999" s="25"/>
    </row>
    <row r="1000" customFormat="false" ht="15" hidden="false" customHeight="false" outlineLevel="0" collapsed="false">
      <c r="A1000" s="23"/>
      <c r="B1000" s="23"/>
      <c r="C1000" s="23"/>
      <c r="D1000" s="23"/>
      <c r="E1000" s="23"/>
      <c r="F1000" s="23"/>
      <c r="G1000" s="23"/>
      <c r="H1000" s="23"/>
      <c r="I1000" s="23"/>
      <c r="J1000" s="23"/>
      <c r="K1000" s="24"/>
      <c r="L1000" s="23"/>
      <c r="M1000" s="25"/>
      <c r="N1000" s="25"/>
      <c r="O1000" s="23"/>
      <c r="P1000" s="26"/>
      <c r="Q1000" s="26"/>
      <c r="R1000" s="27" t="str">
        <f aca="false">IF(AND(ISNUMBER(P1000),ISNUMBER(Q1000)),P1000-Q1000,"")</f>
        <v/>
      </c>
      <c r="S1000" s="24"/>
      <c r="T1000" s="28" t="str">
        <f aca="false">IF(S1000&lt;&gt;"",S1000,IF(B1000="","",IFERROR(IF(INDEX(Batches!$G$5:$G$64,MATCH(B1000,Batches!$A$5:$A$64,0))="","",INDEX(Batches!$G$5:$G$64,MATCH(B1000,Batches!$A$5:$A$64,0))),"")))</f>
        <v/>
      </c>
      <c r="U1000" s="23"/>
      <c r="V1000" s="24"/>
      <c r="W1000" s="28" t="str">
        <f aca="false">IF(OR(X1000="",X1000="Pending"),"",IF(V1000&lt;&gt;"",V1000,IFERROR(IF(INDEX(Batches!$H$5:$H$64,MATCH(B1000,Batches!$A$5:$A$64,0))="","",INDEX(Batches!$H$5:$H$64,MATCH(B1000,Batches!$A$5:$A$64,0))),"")))</f>
        <v/>
      </c>
      <c r="X1000" s="23"/>
      <c r="Y1000" s="23"/>
      <c r="Z1000" s="26"/>
      <c r="AA1000" s="27" t="str">
        <f aca="false">IF(R1000="","",IF(X1000="Not accepted",R1000,IF(OR(X1000="Accepted",X1000="Withdrawn by hospital"),IF(X1000="Accepted",0,R1000),IF(ISNUMBER(Z1000),R1000-Z1000,""))))</f>
        <v/>
      </c>
      <c r="AB1000" s="23"/>
      <c r="AC1000" s="25"/>
      <c r="AD1000" s="23"/>
      <c r="AE1000" s="23"/>
      <c r="AF1000" s="24"/>
      <c r="AG1000" s="23"/>
      <c r="AH1000" s="24"/>
      <c r="AI1000" s="29" t="str">
        <f aca="false">IF(X1000="Not accepted","Maintained",IF(X1000="Partially accepted","Partially maintained",IF(X1000="Accepted","Reversed",IF(X1000="Withdrawn by hospital","Withdrawn by hospital",""))))</f>
        <v/>
      </c>
      <c r="AJ1000" s="28" t="str">
        <f aca="false">IF(AI1000="","",W1000)</f>
        <v/>
      </c>
      <c r="AK1000" s="29" t="str">
        <f aca="false">IF(AND(ISNUMBER(T1000),ISNUMBER(W1000)),W1000-T1000,"")</f>
        <v/>
      </c>
      <c r="AL1000" s="29" t="str">
        <f aca="false">IF(A1000="","",SUMIF(Actions!$C$5:$C$1004,A1000,Actions!$F$5:$F$1004))</f>
        <v/>
      </c>
      <c r="AM1000" s="25"/>
    </row>
    <row r="1001" customFormat="false" ht="15" hidden="false" customHeight="false" outlineLevel="0" collapsed="false">
      <c r="A1001" s="23"/>
      <c r="B1001" s="23"/>
      <c r="C1001" s="23"/>
      <c r="D1001" s="23"/>
      <c r="E1001" s="23"/>
      <c r="F1001" s="23"/>
      <c r="G1001" s="23"/>
      <c r="H1001" s="23"/>
      <c r="I1001" s="23"/>
      <c r="J1001" s="23"/>
      <c r="K1001" s="24"/>
      <c r="L1001" s="23"/>
      <c r="M1001" s="25"/>
      <c r="N1001" s="25"/>
      <c r="O1001" s="23"/>
      <c r="P1001" s="26"/>
      <c r="Q1001" s="26"/>
      <c r="R1001" s="27" t="str">
        <f aca="false">IF(AND(ISNUMBER(P1001),ISNUMBER(Q1001)),P1001-Q1001,"")</f>
        <v/>
      </c>
      <c r="S1001" s="24"/>
      <c r="T1001" s="28" t="str">
        <f aca="false">IF(S1001&lt;&gt;"",S1001,IF(B1001="","",IFERROR(IF(INDEX(Batches!$G$5:$G$64,MATCH(B1001,Batches!$A$5:$A$64,0))="","",INDEX(Batches!$G$5:$G$64,MATCH(B1001,Batches!$A$5:$A$64,0))),"")))</f>
        <v/>
      </c>
      <c r="U1001" s="23"/>
      <c r="V1001" s="24"/>
      <c r="W1001" s="28" t="str">
        <f aca="false">IF(OR(X1001="",X1001="Pending"),"",IF(V1001&lt;&gt;"",V1001,IFERROR(IF(INDEX(Batches!$H$5:$H$64,MATCH(B1001,Batches!$A$5:$A$64,0))="","",INDEX(Batches!$H$5:$H$64,MATCH(B1001,Batches!$A$5:$A$64,0))),"")))</f>
        <v/>
      </c>
      <c r="X1001" s="23"/>
      <c r="Y1001" s="23"/>
      <c r="Z1001" s="26"/>
      <c r="AA1001" s="27" t="str">
        <f aca="false">IF(R1001="","",IF(X1001="Not accepted",R1001,IF(OR(X1001="Accepted",X1001="Withdrawn by hospital"),IF(X1001="Accepted",0,R1001),IF(ISNUMBER(Z1001),R1001-Z1001,""))))</f>
        <v/>
      </c>
      <c r="AB1001" s="23"/>
      <c r="AC1001" s="25"/>
      <c r="AD1001" s="23"/>
      <c r="AE1001" s="23"/>
      <c r="AF1001" s="24"/>
      <c r="AG1001" s="23"/>
      <c r="AH1001" s="24"/>
      <c r="AI1001" s="29" t="str">
        <f aca="false">IF(X1001="Not accepted","Maintained",IF(X1001="Partially accepted","Partially maintained",IF(X1001="Accepted","Reversed",IF(X1001="Withdrawn by hospital","Withdrawn by hospital",""))))</f>
        <v/>
      </c>
      <c r="AJ1001" s="28" t="str">
        <f aca="false">IF(AI1001="","",W1001)</f>
        <v/>
      </c>
      <c r="AK1001" s="29" t="str">
        <f aca="false">IF(AND(ISNUMBER(T1001),ISNUMBER(W1001)),W1001-T1001,"")</f>
        <v/>
      </c>
      <c r="AL1001" s="29" t="str">
        <f aca="false">IF(A1001="","",SUMIF(Actions!$C$5:$C$1004,A1001,Actions!$F$5:$F$1004))</f>
        <v/>
      </c>
      <c r="AM1001" s="25"/>
    </row>
    <row r="1002" customFormat="false" ht="15" hidden="false" customHeight="false" outlineLevel="0" collapsed="false">
      <c r="A1002" s="23"/>
      <c r="B1002" s="23"/>
      <c r="C1002" s="23"/>
      <c r="D1002" s="23"/>
      <c r="E1002" s="23"/>
      <c r="F1002" s="23"/>
      <c r="G1002" s="23"/>
      <c r="H1002" s="23"/>
      <c r="I1002" s="23"/>
      <c r="J1002" s="23"/>
      <c r="K1002" s="24"/>
      <c r="L1002" s="23"/>
      <c r="M1002" s="25"/>
      <c r="N1002" s="25"/>
      <c r="O1002" s="23"/>
      <c r="P1002" s="26"/>
      <c r="Q1002" s="26"/>
      <c r="R1002" s="27" t="str">
        <f aca="false">IF(AND(ISNUMBER(P1002),ISNUMBER(Q1002)),P1002-Q1002,"")</f>
        <v/>
      </c>
      <c r="S1002" s="24"/>
      <c r="T1002" s="28" t="str">
        <f aca="false">IF(S1002&lt;&gt;"",S1002,IF(B1002="","",IFERROR(IF(INDEX(Batches!$G$5:$G$64,MATCH(B1002,Batches!$A$5:$A$64,0))="","",INDEX(Batches!$G$5:$G$64,MATCH(B1002,Batches!$A$5:$A$64,0))),"")))</f>
        <v/>
      </c>
      <c r="U1002" s="23"/>
      <c r="V1002" s="24"/>
      <c r="W1002" s="28" t="str">
        <f aca="false">IF(OR(X1002="",X1002="Pending"),"",IF(V1002&lt;&gt;"",V1002,IFERROR(IF(INDEX(Batches!$H$5:$H$64,MATCH(B1002,Batches!$A$5:$A$64,0))="","",INDEX(Batches!$H$5:$H$64,MATCH(B1002,Batches!$A$5:$A$64,0))),"")))</f>
        <v/>
      </c>
      <c r="X1002" s="23"/>
      <c r="Y1002" s="23"/>
      <c r="Z1002" s="26"/>
      <c r="AA1002" s="27" t="str">
        <f aca="false">IF(R1002="","",IF(X1002="Not accepted",R1002,IF(OR(X1002="Accepted",X1002="Withdrawn by hospital"),IF(X1002="Accepted",0,R1002),IF(ISNUMBER(Z1002),R1002-Z1002,""))))</f>
        <v/>
      </c>
      <c r="AB1002" s="23"/>
      <c r="AC1002" s="25"/>
      <c r="AD1002" s="23"/>
      <c r="AE1002" s="23"/>
      <c r="AF1002" s="24"/>
      <c r="AG1002" s="23"/>
      <c r="AH1002" s="24"/>
      <c r="AI1002" s="29" t="str">
        <f aca="false">IF(X1002="Not accepted","Maintained",IF(X1002="Partially accepted","Partially maintained",IF(X1002="Accepted","Reversed",IF(X1002="Withdrawn by hospital","Withdrawn by hospital",""))))</f>
        <v/>
      </c>
      <c r="AJ1002" s="28" t="str">
        <f aca="false">IF(AI1002="","",W1002)</f>
        <v/>
      </c>
      <c r="AK1002" s="29" t="str">
        <f aca="false">IF(AND(ISNUMBER(T1002),ISNUMBER(W1002)),W1002-T1002,"")</f>
        <v/>
      </c>
      <c r="AL1002" s="29" t="str">
        <f aca="false">IF(A1002="","",SUMIF(Actions!$C$5:$C$1004,A1002,Actions!$F$5:$F$1004))</f>
        <v/>
      </c>
      <c r="AM1002" s="25"/>
    </row>
    <row r="1003" customFormat="false" ht="15" hidden="false" customHeight="false" outlineLevel="0" collapsed="false">
      <c r="A1003" s="23"/>
      <c r="B1003" s="23"/>
      <c r="C1003" s="23"/>
      <c r="D1003" s="23"/>
      <c r="E1003" s="23"/>
      <c r="F1003" s="23"/>
      <c r="G1003" s="23"/>
      <c r="H1003" s="23"/>
      <c r="I1003" s="23"/>
      <c r="J1003" s="23"/>
      <c r="K1003" s="24"/>
      <c r="L1003" s="23"/>
      <c r="M1003" s="25"/>
      <c r="N1003" s="25"/>
      <c r="O1003" s="23"/>
      <c r="P1003" s="26"/>
      <c r="Q1003" s="26"/>
      <c r="R1003" s="27" t="str">
        <f aca="false">IF(AND(ISNUMBER(P1003),ISNUMBER(Q1003)),P1003-Q1003,"")</f>
        <v/>
      </c>
      <c r="S1003" s="24"/>
      <c r="T1003" s="28" t="str">
        <f aca="false">IF(S1003&lt;&gt;"",S1003,IF(B1003="","",IFERROR(IF(INDEX(Batches!$G$5:$G$64,MATCH(B1003,Batches!$A$5:$A$64,0))="","",INDEX(Batches!$G$5:$G$64,MATCH(B1003,Batches!$A$5:$A$64,0))),"")))</f>
        <v/>
      </c>
      <c r="U1003" s="23"/>
      <c r="V1003" s="24"/>
      <c r="W1003" s="28" t="str">
        <f aca="false">IF(OR(X1003="",X1003="Pending"),"",IF(V1003&lt;&gt;"",V1003,IFERROR(IF(INDEX(Batches!$H$5:$H$64,MATCH(B1003,Batches!$A$5:$A$64,0))="","",INDEX(Batches!$H$5:$H$64,MATCH(B1003,Batches!$A$5:$A$64,0))),"")))</f>
        <v/>
      </c>
      <c r="X1003" s="23"/>
      <c r="Y1003" s="23"/>
      <c r="Z1003" s="26"/>
      <c r="AA1003" s="27" t="str">
        <f aca="false">IF(R1003="","",IF(X1003="Not accepted",R1003,IF(OR(X1003="Accepted",X1003="Withdrawn by hospital"),IF(X1003="Accepted",0,R1003),IF(ISNUMBER(Z1003),R1003-Z1003,""))))</f>
        <v/>
      </c>
      <c r="AB1003" s="23"/>
      <c r="AC1003" s="25"/>
      <c r="AD1003" s="23"/>
      <c r="AE1003" s="23"/>
      <c r="AF1003" s="24"/>
      <c r="AG1003" s="23"/>
      <c r="AH1003" s="24"/>
      <c r="AI1003" s="29" t="str">
        <f aca="false">IF(X1003="Not accepted","Maintained",IF(X1003="Partially accepted","Partially maintained",IF(X1003="Accepted","Reversed",IF(X1003="Withdrawn by hospital","Withdrawn by hospital",""))))</f>
        <v/>
      </c>
      <c r="AJ1003" s="28" t="str">
        <f aca="false">IF(AI1003="","",W1003)</f>
        <v/>
      </c>
      <c r="AK1003" s="29" t="str">
        <f aca="false">IF(AND(ISNUMBER(T1003),ISNUMBER(W1003)),W1003-T1003,"")</f>
        <v/>
      </c>
      <c r="AL1003" s="29" t="str">
        <f aca="false">IF(A1003="","",SUMIF(Actions!$C$5:$C$1004,A1003,Actions!$F$5:$F$1004))</f>
        <v/>
      </c>
      <c r="AM1003" s="25"/>
    </row>
    <row r="1004" customFormat="false" ht="15" hidden="false" customHeight="false" outlineLevel="0" collapsed="false">
      <c r="A1004" s="23"/>
      <c r="B1004" s="23"/>
      <c r="C1004" s="23"/>
      <c r="D1004" s="23"/>
      <c r="E1004" s="23"/>
      <c r="F1004" s="23"/>
      <c r="G1004" s="23"/>
      <c r="H1004" s="23"/>
      <c r="I1004" s="23"/>
      <c r="J1004" s="23"/>
      <c r="K1004" s="24"/>
      <c r="L1004" s="23"/>
      <c r="M1004" s="25"/>
      <c r="N1004" s="25"/>
      <c r="O1004" s="23"/>
      <c r="P1004" s="26"/>
      <c r="Q1004" s="26"/>
      <c r="R1004" s="27" t="str">
        <f aca="false">IF(AND(ISNUMBER(P1004),ISNUMBER(Q1004)),P1004-Q1004,"")</f>
        <v/>
      </c>
      <c r="S1004" s="24"/>
      <c r="T1004" s="28" t="str">
        <f aca="false">IF(S1004&lt;&gt;"",S1004,IF(B1004="","",IFERROR(IF(INDEX(Batches!$G$5:$G$64,MATCH(B1004,Batches!$A$5:$A$64,0))="","",INDEX(Batches!$G$5:$G$64,MATCH(B1004,Batches!$A$5:$A$64,0))),"")))</f>
        <v/>
      </c>
      <c r="U1004" s="23"/>
      <c r="V1004" s="24"/>
      <c r="W1004" s="28" t="str">
        <f aca="false">IF(OR(X1004="",X1004="Pending"),"",IF(V1004&lt;&gt;"",V1004,IFERROR(IF(INDEX(Batches!$H$5:$H$64,MATCH(B1004,Batches!$A$5:$A$64,0))="","",INDEX(Batches!$H$5:$H$64,MATCH(B1004,Batches!$A$5:$A$64,0))),"")))</f>
        <v/>
      </c>
      <c r="X1004" s="23"/>
      <c r="Y1004" s="23"/>
      <c r="Z1004" s="26"/>
      <c r="AA1004" s="27" t="str">
        <f aca="false">IF(R1004="","",IF(X1004="Not accepted",R1004,IF(OR(X1004="Accepted",X1004="Withdrawn by hospital"),IF(X1004="Accepted",0,R1004),IF(ISNUMBER(Z1004),R1004-Z1004,""))))</f>
        <v/>
      </c>
      <c r="AB1004" s="23"/>
      <c r="AC1004" s="25"/>
      <c r="AD1004" s="23"/>
      <c r="AE1004" s="23"/>
      <c r="AF1004" s="24"/>
      <c r="AG1004" s="23"/>
      <c r="AH1004" s="24"/>
      <c r="AI1004" s="29" t="str">
        <f aca="false">IF(X1004="Not accepted","Maintained",IF(X1004="Partially accepted","Partially maintained",IF(X1004="Accepted","Reversed",IF(X1004="Withdrawn by hospital","Withdrawn by hospital",""))))</f>
        <v/>
      </c>
      <c r="AJ1004" s="28" t="str">
        <f aca="false">IF(AI1004="","",W1004)</f>
        <v/>
      </c>
      <c r="AK1004" s="29" t="str">
        <f aca="false">IF(AND(ISNUMBER(T1004),ISNUMBER(W1004)),W1004-T1004,"")</f>
        <v/>
      </c>
      <c r="AL1004" s="29" t="str">
        <f aca="false">IF(A1004="","",SUMIF(Actions!$C$5:$C$1004,A1004,Actions!$F$5:$F$1004))</f>
        <v/>
      </c>
      <c r="AM1004" s="25"/>
    </row>
  </sheetData>
  <autoFilter ref="A4:AM1004"/>
  <conditionalFormatting sqref="X5:X1004">
    <cfRule type="cellIs" priority="2" operator="equal" aboveAverage="0" equalAverage="0" bottom="0" percent="0" rank="0" text="" dxfId="6">
      <formula>"Not accepted"</formula>
    </cfRule>
    <cfRule type="cellIs" priority="3" operator="equal" aboveAverage="0" equalAverage="0" bottom="0" percent="0" rank="0" text="" dxfId="7">
      <formula>"Partially accepted"</formula>
    </cfRule>
    <cfRule type="cellIs" priority="4" operator="equal" aboveAverage="0" equalAverage="0" bottom="0" percent="0" rank="0" text="" dxfId="8">
      <formula>"Accepted"</formula>
    </cfRule>
    <cfRule type="cellIs" priority="5" operator="equal" aboveAverage="0" equalAverage="0" bottom="0" percent="0" rank="0" text="" dxfId="9">
      <formula>"Pending"</formula>
    </cfRule>
  </conditionalFormatting>
  <conditionalFormatting sqref="AB5:AB1004">
    <cfRule type="cellIs" priority="6" operator="equal" aboveAverage="0" equalAverage="0" bottom="0" percent="0" rank="0" text="" dxfId="10">
      <formula>"Suspected fraud"</formula>
    </cfRule>
    <cfRule type="cellIs" priority="7" operator="equal" aboveAverage="0" equalAverage="0" bottom="0" percent="0" rank="0" text="" dxfId="11">
      <formula>"Suspected abuse"</formula>
    </cfRule>
    <cfRule type="cellIs" priority="8" operator="equal" aboveAverage="0" equalAverage="0" bottom="0" percent="0" rank="0" text="" dxfId="7">
      <formula>"Potential abuse"</formula>
    </cfRule>
    <cfRule type="cellIs" priority="9" operator="equal" aboveAverage="0" equalAverage="0" bottom="0" percent="0" rank="0" text="" dxfId="12">
      <formula>"Waste (overpayment risk)"</formula>
    </cfRule>
  </conditionalFormatting>
  <conditionalFormatting sqref="T5:T1004">
    <cfRule type="expression" priority="10" aboveAverage="0" equalAverage="0" bottom="0" percent="0" rank="0" text="" dxfId="13">
      <formula>AND($A5&lt;&gt;"",T5="")</formula>
    </cfRule>
  </conditionalFormatting>
  <conditionalFormatting sqref="Q5:Q1004">
    <cfRule type="expression" priority="11" aboveAverage="0" equalAverage="0" bottom="0" percent="0" rank="0" text="" dxfId="14">
      <formula>AND($A5&lt;&gt;"",X5&lt;&gt;"Pending",Q5="")</formula>
    </cfRule>
  </conditionalFormatting>
  <conditionalFormatting sqref="Z5:Z1004">
    <cfRule type="expression" priority="12" aboveAverage="0" equalAverage="0" bottom="0" percent="0" rank="0" text="" dxfId="13">
      <formula>AND(X5="Partially accepted",Z5="")</formula>
    </cfRule>
  </conditionalFormatting>
  <dataValidations count="11">
    <dataValidation allowBlank="true" errorStyle="stop" operator="between" showDropDown="false" showErrorMessage="false" showInputMessage="false" sqref="C5:C1004" type="list">
      <formula1>Lists!$A$5:$A$40</formula1>
      <formula2>0</formula2>
    </dataValidation>
    <dataValidation allowBlank="true" errorStyle="stop" operator="between" showDropDown="false" showErrorMessage="false" showInputMessage="false" sqref="D5:D1004" type="list">
      <formula1>Lists!$B$5:$B$40</formula1>
      <formula2>0</formula2>
    </dataValidation>
    <dataValidation allowBlank="true" errorStyle="stop" operator="between" showDropDown="false" showErrorMessage="false" showInputMessage="false" sqref="E5:E1004" type="list">
      <formula1>Lists!$C$5:$C$40</formula1>
      <formula2>0</formula2>
    </dataValidation>
    <dataValidation allowBlank="true" errorStyle="stop" operator="between" showDropDown="false" showErrorMessage="false" showInputMessage="false" sqref="F5:F1004" type="list">
      <formula1>Lists!$D$5:$D$40</formula1>
      <formula2>0</formula2>
    </dataValidation>
    <dataValidation allowBlank="true" errorStyle="stop" operator="between" showDropDown="false" showErrorMessage="false" showInputMessage="false" sqref="O5:O1004" type="list">
      <formula1>Lists!$E$5:$E$40</formula1>
      <formula2>0</formula2>
    </dataValidation>
    <dataValidation allowBlank="true" errorStyle="stop" operator="between" showDropDown="false" showErrorMessage="false" showInputMessage="false" sqref="X5:X1004" type="list">
      <formula1>Lists!$F$5:$F$40</formula1>
      <formula2>0</formula2>
    </dataValidation>
    <dataValidation allowBlank="true" errorStyle="stop" operator="between" showDropDown="false" showErrorMessage="false" showInputMessage="false" sqref="Y5:Y1004" type="list">
      <formula1>Lists!$G$5:$G$40</formula1>
      <formula2>0</formula2>
    </dataValidation>
    <dataValidation allowBlank="true" errorStyle="stop" operator="between" showDropDown="false" showErrorMessage="false" showInputMessage="false" sqref="AB5:AB1004" type="list">
      <formula1>Lists!$H$5:$H$40</formula1>
      <formula2>0</formula2>
    </dataValidation>
    <dataValidation allowBlank="true" errorStyle="stop" operator="between" showDropDown="false" showErrorMessage="false" showInputMessage="false" sqref="AE5:AE1004" type="list">
      <formula1>Lists!$I$5:$I$40</formula1>
      <formula2>0</formula2>
    </dataValidation>
    <dataValidation allowBlank="true" errorStyle="stop" operator="between" showDropDown="false" showErrorMessage="false" showInputMessage="false" sqref="AG5:AG1004" type="list">
      <formula1>Lists!$J$5:$J$40</formula1>
      <formula2>0</formula2>
    </dataValidation>
    <dataValidation allowBlank="true" error="This Dispute ID already exists." errorStyle="stop" operator="between" showDropDown="false" showErrorMessage="true" showInputMessage="false" sqref="A5:A1004" type="custom">
      <formula1>COUNTIF($A$5:$A$1004,A5)=1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8B8D"/>
    <pageSetUpPr fitToPage="false"/>
  </sheetPr>
  <dimension ref="A1:J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8"/>
    <col collapsed="false" customWidth="true" hidden="false" outlineLevel="0" max="6" min="6" style="0" width="8"/>
    <col collapsed="false" customWidth="true" hidden="false" outlineLevel="0" max="7" min="7" style="0" width="12"/>
    <col collapsed="false" customWidth="true" hidden="false" outlineLevel="0" max="8" min="8" style="0" width="50"/>
    <col collapsed="false" customWidth="true" hidden="false" outlineLevel="0" max="9" min="9" style="0" width="24"/>
    <col collapsed="false" customWidth="true" hidden="false" outlineLevel="0" max="10" min="10" style="0" width="10"/>
  </cols>
  <sheetData>
    <row r="1" customFormat="false" ht="18.55" hidden="false" customHeight="false" outlineLevel="0" collapsed="false">
      <c r="A1" s="1" t="s">
        <v>172</v>
      </c>
    </row>
    <row r="2" customFormat="false" ht="15" hidden="false" customHeight="false" outlineLevel="0" collapsed="false">
      <c r="A2" s="2" t="s">
        <v>173</v>
      </c>
    </row>
    <row r="4" customFormat="false" ht="43.5" hidden="false" customHeight="true" outlineLevel="0" collapsed="false">
      <c r="A4" s="18" t="s">
        <v>174</v>
      </c>
      <c r="B4" s="18" t="s">
        <v>175</v>
      </c>
      <c r="C4" s="18" t="s">
        <v>142</v>
      </c>
      <c r="D4" s="18" t="s">
        <v>176</v>
      </c>
      <c r="E4" s="18" t="s">
        <v>177</v>
      </c>
      <c r="F4" s="18" t="s">
        <v>52</v>
      </c>
      <c r="G4" s="18" t="s">
        <v>178</v>
      </c>
      <c r="H4" s="18" t="s">
        <v>179</v>
      </c>
      <c r="I4" s="19" t="s">
        <v>91</v>
      </c>
      <c r="J4" s="19" t="s">
        <v>180</v>
      </c>
    </row>
    <row r="5" customFormat="false" ht="15" hidden="false" customHeight="false" outlineLevel="0" collapsed="false">
      <c r="A5" s="30" t="s">
        <v>181</v>
      </c>
      <c r="B5" s="31" t="n">
        <v>46322</v>
      </c>
      <c r="C5" s="30" t="s">
        <v>182</v>
      </c>
      <c r="D5" s="30" t="s">
        <v>183</v>
      </c>
      <c r="E5" s="30" t="s">
        <v>184</v>
      </c>
      <c r="F5" s="32" t="n">
        <v>1.5</v>
      </c>
      <c r="G5" s="30" t="s">
        <v>185</v>
      </c>
      <c r="H5" s="30" t="s">
        <v>186</v>
      </c>
      <c r="I5" s="8" t="str">
        <f aca="false">IF(C5="","",IFERROR(INDEX(Disputes!$C$5:$C$1004,MATCH(C5,Disputes!$A$5:$A$1004,0)),IFERROR(INDEX(Batches!$B$5:$B$64,MATCH(C5,Batches!$A$5:$A$64,0)),"")))</f>
        <v/>
      </c>
      <c r="J5" s="17" t="n">
        <f aca="false">IF(B5="","",DATE(YEAR(B5),MONTH(B5),1))</f>
        <v>46296</v>
      </c>
    </row>
    <row r="6" customFormat="false" ht="15" hidden="false" customHeight="false" outlineLevel="0" collapsed="false">
      <c r="A6" s="20"/>
      <c r="B6" s="21"/>
      <c r="C6" s="20"/>
      <c r="D6" s="20"/>
      <c r="E6" s="20"/>
      <c r="F6" s="33"/>
      <c r="G6" s="20"/>
      <c r="H6" s="20"/>
      <c r="I6" s="8" t="str">
        <f aca="false">IF(C6="","",IFERROR(INDEX(Disputes!$C$5:$C$1004,MATCH(C6,Disputes!$A$5:$A$1004,0)),IFERROR(INDEX(Batches!$B$5:$B$64,MATCH(C6,Batches!$A$5:$A$64,0)),"")))</f>
        <v/>
      </c>
      <c r="J6" s="17" t="str">
        <f aca="false">IF(B6="","",DATE(YEAR(B6),MONTH(B6),1))</f>
        <v/>
      </c>
    </row>
    <row r="7" customFormat="false" ht="15" hidden="false" customHeight="false" outlineLevel="0" collapsed="false">
      <c r="A7" s="20"/>
      <c r="B7" s="21"/>
      <c r="C7" s="20"/>
      <c r="D7" s="20"/>
      <c r="E7" s="20"/>
      <c r="F7" s="33"/>
      <c r="G7" s="20"/>
      <c r="H7" s="20"/>
      <c r="I7" s="8" t="str">
        <f aca="false">IF(C7="","",IFERROR(INDEX(Disputes!$C$5:$C$1004,MATCH(C7,Disputes!$A$5:$A$1004,0)),IFERROR(INDEX(Batches!$B$5:$B$64,MATCH(C7,Batches!$A$5:$A$64,0)),"")))</f>
        <v/>
      </c>
      <c r="J7" s="17" t="str">
        <f aca="false">IF(B7="","",DATE(YEAR(B7),MONTH(B7),1))</f>
        <v/>
      </c>
    </row>
    <row r="8" customFormat="false" ht="15" hidden="false" customHeight="false" outlineLevel="0" collapsed="false">
      <c r="A8" s="20"/>
      <c r="B8" s="21"/>
      <c r="C8" s="20"/>
      <c r="D8" s="20"/>
      <c r="E8" s="20"/>
      <c r="F8" s="33"/>
      <c r="G8" s="20"/>
      <c r="H8" s="20"/>
      <c r="I8" s="8" t="str">
        <f aca="false">IF(C8="","",IFERROR(INDEX(Disputes!$C$5:$C$1004,MATCH(C8,Disputes!$A$5:$A$1004,0)),IFERROR(INDEX(Batches!$B$5:$B$64,MATCH(C8,Batches!$A$5:$A$64,0)),"")))</f>
        <v/>
      </c>
      <c r="J8" s="17" t="str">
        <f aca="false">IF(B8="","",DATE(YEAR(B8),MONTH(B8),1))</f>
        <v/>
      </c>
    </row>
    <row r="9" customFormat="false" ht="15" hidden="false" customHeight="false" outlineLevel="0" collapsed="false">
      <c r="A9" s="20"/>
      <c r="B9" s="21"/>
      <c r="C9" s="20"/>
      <c r="D9" s="20"/>
      <c r="E9" s="20"/>
      <c r="F9" s="33"/>
      <c r="G9" s="20"/>
      <c r="H9" s="20"/>
      <c r="I9" s="8" t="str">
        <f aca="false">IF(C9="","",IFERROR(INDEX(Disputes!$C$5:$C$1004,MATCH(C9,Disputes!$A$5:$A$1004,0)),IFERROR(INDEX(Batches!$B$5:$B$64,MATCH(C9,Batches!$A$5:$A$64,0)),"")))</f>
        <v/>
      </c>
      <c r="J9" s="17" t="str">
        <f aca="false">IF(B9="","",DATE(YEAR(B9),MONTH(B9),1))</f>
        <v/>
      </c>
    </row>
    <row r="10" customFormat="false" ht="15" hidden="false" customHeight="false" outlineLevel="0" collapsed="false">
      <c r="A10" s="20"/>
      <c r="B10" s="21"/>
      <c r="C10" s="20"/>
      <c r="D10" s="20"/>
      <c r="E10" s="20"/>
      <c r="F10" s="33"/>
      <c r="G10" s="20"/>
      <c r="H10" s="20"/>
      <c r="I10" s="8" t="str">
        <f aca="false">IF(C10="","",IFERROR(INDEX(Disputes!$C$5:$C$1004,MATCH(C10,Disputes!$A$5:$A$1004,0)),IFERROR(INDEX(Batches!$B$5:$B$64,MATCH(C10,Batches!$A$5:$A$64,0)),"")))</f>
        <v/>
      </c>
      <c r="J10" s="17" t="str">
        <f aca="false">IF(B10="","",DATE(YEAR(B10),MONTH(B10),1))</f>
        <v/>
      </c>
    </row>
    <row r="11" customFormat="false" ht="15" hidden="false" customHeight="false" outlineLevel="0" collapsed="false">
      <c r="A11" s="20"/>
      <c r="B11" s="21"/>
      <c r="C11" s="20"/>
      <c r="D11" s="20"/>
      <c r="E11" s="20"/>
      <c r="F11" s="33"/>
      <c r="G11" s="20"/>
      <c r="H11" s="20"/>
      <c r="I11" s="8" t="str">
        <f aca="false">IF(C11="","",IFERROR(INDEX(Disputes!$C$5:$C$1004,MATCH(C11,Disputes!$A$5:$A$1004,0)),IFERROR(INDEX(Batches!$B$5:$B$64,MATCH(C11,Batches!$A$5:$A$64,0)),"")))</f>
        <v/>
      </c>
      <c r="J11" s="17" t="str">
        <f aca="false">IF(B11="","",DATE(YEAR(B11),MONTH(B11),1))</f>
        <v/>
      </c>
    </row>
    <row r="12" customFormat="false" ht="15" hidden="false" customHeight="false" outlineLevel="0" collapsed="false">
      <c r="A12" s="20"/>
      <c r="B12" s="21"/>
      <c r="C12" s="20"/>
      <c r="D12" s="20"/>
      <c r="E12" s="20"/>
      <c r="F12" s="33"/>
      <c r="G12" s="20"/>
      <c r="H12" s="20"/>
      <c r="I12" s="8" t="str">
        <f aca="false">IF(C12="","",IFERROR(INDEX(Disputes!$C$5:$C$1004,MATCH(C12,Disputes!$A$5:$A$1004,0)),IFERROR(INDEX(Batches!$B$5:$B$64,MATCH(C12,Batches!$A$5:$A$64,0)),"")))</f>
        <v/>
      </c>
      <c r="J12" s="17" t="str">
        <f aca="false">IF(B12="","",DATE(YEAR(B12),MONTH(B12),1))</f>
        <v/>
      </c>
    </row>
    <row r="13" customFormat="false" ht="15" hidden="false" customHeight="false" outlineLevel="0" collapsed="false">
      <c r="A13" s="20"/>
      <c r="B13" s="21"/>
      <c r="C13" s="20"/>
      <c r="D13" s="20"/>
      <c r="E13" s="20"/>
      <c r="F13" s="33"/>
      <c r="G13" s="20"/>
      <c r="H13" s="20"/>
      <c r="I13" s="8" t="str">
        <f aca="false">IF(C13="","",IFERROR(INDEX(Disputes!$C$5:$C$1004,MATCH(C13,Disputes!$A$5:$A$1004,0)),IFERROR(INDEX(Batches!$B$5:$B$64,MATCH(C13,Batches!$A$5:$A$64,0)),"")))</f>
        <v/>
      </c>
      <c r="J13" s="17" t="str">
        <f aca="false">IF(B13="","",DATE(YEAR(B13),MONTH(B13),1))</f>
        <v/>
      </c>
    </row>
    <row r="14" customFormat="false" ht="15" hidden="false" customHeight="false" outlineLevel="0" collapsed="false">
      <c r="A14" s="20"/>
      <c r="B14" s="21"/>
      <c r="C14" s="20"/>
      <c r="D14" s="20"/>
      <c r="E14" s="20"/>
      <c r="F14" s="33"/>
      <c r="G14" s="20"/>
      <c r="H14" s="20"/>
      <c r="I14" s="8" t="str">
        <f aca="false">IF(C14="","",IFERROR(INDEX(Disputes!$C$5:$C$1004,MATCH(C14,Disputes!$A$5:$A$1004,0)),IFERROR(INDEX(Batches!$B$5:$B$64,MATCH(C14,Batches!$A$5:$A$64,0)),"")))</f>
        <v/>
      </c>
      <c r="J14" s="17" t="str">
        <f aca="false">IF(B14="","",DATE(YEAR(B14),MONTH(B14),1))</f>
        <v/>
      </c>
    </row>
    <row r="15" customFormat="false" ht="15" hidden="false" customHeight="false" outlineLevel="0" collapsed="false">
      <c r="A15" s="20"/>
      <c r="B15" s="21"/>
      <c r="C15" s="20"/>
      <c r="D15" s="20"/>
      <c r="E15" s="20"/>
      <c r="F15" s="33"/>
      <c r="G15" s="20"/>
      <c r="H15" s="20"/>
      <c r="I15" s="8" t="str">
        <f aca="false">IF(C15="","",IFERROR(INDEX(Disputes!$C$5:$C$1004,MATCH(C15,Disputes!$A$5:$A$1004,0)),IFERROR(INDEX(Batches!$B$5:$B$64,MATCH(C15,Batches!$A$5:$A$64,0)),"")))</f>
        <v/>
      </c>
      <c r="J15" s="17" t="str">
        <f aca="false">IF(B15="","",DATE(YEAR(B15),MONTH(B15),1))</f>
        <v/>
      </c>
    </row>
    <row r="16" customFormat="false" ht="15" hidden="false" customHeight="false" outlineLevel="0" collapsed="false">
      <c r="A16" s="20"/>
      <c r="B16" s="21"/>
      <c r="C16" s="20"/>
      <c r="D16" s="20"/>
      <c r="E16" s="20"/>
      <c r="F16" s="33"/>
      <c r="G16" s="20"/>
      <c r="H16" s="20"/>
      <c r="I16" s="8" t="str">
        <f aca="false">IF(C16="","",IFERROR(INDEX(Disputes!$C$5:$C$1004,MATCH(C16,Disputes!$A$5:$A$1004,0)),IFERROR(INDEX(Batches!$B$5:$B$64,MATCH(C16,Batches!$A$5:$A$64,0)),"")))</f>
        <v/>
      </c>
      <c r="J16" s="17" t="str">
        <f aca="false">IF(B16="","",DATE(YEAR(B16),MONTH(B16),1))</f>
        <v/>
      </c>
    </row>
    <row r="17" customFormat="false" ht="15" hidden="false" customHeight="false" outlineLevel="0" collapsed="false">
      <c r="A17" s="20"/>
      <c r="B17" s="21"/>
      <c r="C17" s="20"/>
      <c r="D17" s="20"/>
      <c r="E17" s="20"/>
      <c r="F17" s="33"/>
      <c r="G17" s="20"/>
      <c r="H17" s="20"/>
      <c r="I17" s="8" t="str">
        <f aca="false">IF(C17="","",IFERROR(INDEX(Disputes!$C$5:$C$1004,MATCH(C17,Disputes!$A$5:$A$1004,0)),IFERROR(INDEX(Batches!$B$5:$B$64,MATCH(C17,Batches!$A$5:$A$64,0)),"")))</f>
        <v/>
      </c>
      <c r="J17" s="17" t="str">
        <f aca="false">IF(B17="","",DATE(YEAR(B17),MONTH(B17),1))</f>
        <v/>
      </c>
    </row>
    <row r="18" customFormat="false" ht="15" hidden="false" customHeight="false" outlineLevel="0" collapsed="false">
      <c r="A18" s="20"/>
      <c r="B18" s="21"/>
      <c r="C18" s="20"/>
      <c r="D18" s="20"/>
      <c r="E18" s="20"/>
      <c r="F18" s="33"/>
      <c r="G18" s="20"/>
      <c r="H18" s="20"/>
      <c r="I18" s="8" t="str">
        <f aca="false">IF(C18="","",IFERROR(INDEX(Disputes!$C$5:$C$1004,MATCH(C18,Disputes!$A$5:$A$1004,0)),IFERROR(INDEX(Batches!$B$5:$B$64,MATCH(C18,Batches!$A$5:$A$64,0)),"")))</f>
        <v/>
      </c>
      <c r="J18" s="17" t="str">
        <f aca="false">IF(B18="","",DATE(YEAR(B18),MONTH(B18),1))</f>
        <v/>
      </c>
    </row>
    <row r="19" customFormat="false" ht="15" hidden="false" customHeight="false" outlineLevel="0" collapsed="false">
      <c r="A19" s="20"/>
      <c r="B19" s="21"/>
      <c r="C19" s="20"/>
      <c r="D19" s="20"/>
      <c r="E19" s="20"/>
      <c r="F19" s="33"/>
      <c r="G19" s="20"/>
      <c r="H19" s="20"/>
      <c r="I19" s="8" t="str">
        <f aca="false">IF(C19="","",IFERROR(INDEX(Disputes!$C$5:$C$1004,MATCH(C19,Disputes!$A$5:$A$1004,0)),IFERROR(INDEX(Batches!$B$5:$B$64,MATCH(C19,Batches!$A$5:$A$64,0)),"")))</f>
        <v/>
      </c>
      <c r="J19" s="17" t="str">
        <f aca="false">IF(B19="","",DATE(YEAR(B19),MONTH(B19),1))</f>
        <v/>
      </c>
    </row>
    <row r="20" customFormat="false" ht="15" hidden="false" customHeight="false" outlineLevel="0" collapsed="false">
      <c r="A20" s="20"/>
      <c r="B20" s="21"/>
      <c r="C20" s="20"/>
      <c r="D20" s="20"/>
      <c r="E20" s="20"/>
      <c r="F20" s="33"/>
      <c r="G20" s="20"/>
      <c r="H20" s="20"/>
      <c r="I20" s="8" t="str">
        <f aca="false">IF(C20="","",IFERROR(INDEX(Disputes!$C$5:$C$1004,MATCH(C20,Disputes!$A$5:$A$1004,0)),IFERROR(INDEX(Batches!$B$5:$B$64,MATCH(C20,Batches!$A$5:$A$64,0)),"")))</f>
        <v/>
      </c>
      <c r="J20" s="17" t="str">
        <f aca="false">IF(B20="","",DATE(YEAR(B20),MONTH(B20),1))</f>
        <v/>
      </c>
    </row>
    <row r="21" customFormat="false" ht="15" hidden="false" customHeight="false" outlineLevel="0" collapsed="false">
      <c r="A21" s="20"/>
      <c r="B21" s="21"/>
      <c r="C21" s="20"/>
      <c r="D21" s="20"/>
      <c r="E21" s="20"/>
      <c r="F21" s="33"/>
      <c r="G21" s="20"/>
      <c r="H21" s="20"/>
      <c r="I21" s="8" t="str">
        <f aca="false">IF(C21="","",IFERROR(INDEX(Disputes!$C$5:$C$1004,MATCH(C21,Disputes!$A$5:$A$1004,0)),IFERROR(INDEX(Batches!$B$5:$B$64,MATCH(C21,Batches!$A$5:$A$64,0)),"")))</f>
        <v/>
      </c>
      <c r="J21" s="17" t="str">
        <f aca="false">IF(B21="","",DATE(YEAR(B21),MONTH(B21),1))</f>
        <v/>
      </c>
    </row>
    <row r="22" customFormat="false" ht="15" hidden="false" customHeight="false" outlineLevel="0" collapsed="false">
      <c r="A22" s="20"/>
      <c r="B22" s="21"/>
      <c r="C22" s="20"/>
      <c r="D22" s="20"/>
      <c r="E22" s="20"/>
      <c r="F22" s="33"/>
      <c r="G22" s="20"/>
      <c r="H22" s="20"/>
      <c r="I22" s="8" t="str">
        <f aca="false">IF(C22="","",IFERROR(INDEX(Disputes!$C$5:$C$1004,MATCH(C22,Disputes!$A$5:$A$1004,0)),IFERROR(INDEX(Batches!$B$5:$B$64,MATCH(C22,Batches!$A$5:$A$64,0)),"")))</f>
        <v/>
      </c>
      <c r="J22" s="17" t="str">
        <f aca="false">IF(B22="","",DATE(YEAR(B22),MONTH(B22),1))</f>
        <v/>
      </c>
    </row>
    <row r="23" customFormat="false" ht="15" hidden="false" customHeight="false" outlineLevel="0" collapsed="false">
      <c r="A23" s="20"/>
      <c r="B23" s="21"/>
      <c r="C23" s="20"/>
      <c r="D23" s="20"/>
      <c r="E23" s="20"/>
      <c r="F23" s="33"/>
      <c r="G23" s="20"/>
      <c r="H23" s="20"/>
      <c r="I23" s="8" t="str">
        <f aca="false">IF(C23="","",IFERROR(INDEX(Disputes!$C$5:$C$1004,MATCH(C23,Disputes!$A$5:$A$1004,0)),IFERROR(INDEX(Batches!$B$5:$B$64,MATCH(C23,Batches!$A$5:$A$64,0)),"")))</f>
        <v/>
      </c>
      <c r="J23" s="17" t="str">
        <f aca="false">IF(B23="","",DATE(YEAR(B23),MONTH(B23),1))</f>
        <v/>
      </c>
    </row>
    <row r="24" customFormat="false" ht="15" hidden="false" customHeight="false" outlineLevel="0" collapsed="false">
      <c r="A24" s="20"/>
      <c r="B24" s="21"/>
      <c r="C24" s="20"/>
      <c r="D24" s="20"/>
      <c r="E24" s="20"/>
      <c r="F24" s="33"/>
      <c r="G24" s="20"/>
      <c r="H24" s="20"/>
      <c r="I24" s="8" t="str">
        <f aca="false">IF(C24="","",IFERROR(INDEX(Disputes!$C$5:$C$1004,MATCH(C24,Disputes!$A$5:$A$1004,0)),IFERROR(INDEX(Batches!$B$5:$B$64,MATCH(C24,Batches!$A$5:$A$64,0)),"")))</f>
        <v/>
      </c>
      <c r="J24" s="17" t="str">
        <f aca="false">IF(B24="","",DATE(YEAR(B24),MONTH(B24),1))</f>
        <v/>
      </c>
    </row>
    <row r="25" customFormat="false" ht="15" hidden="false" customHeight="false" outlineLevel="0" collapsed="false">
      <c r="A25" s="20"/>
      <c r="B25" s="21"/>
      <c r="C25" s="20"/>
      <c r="D25" s="20"/>
      <c r="E25" s="20"/>
      <c r="F25" s="33"/>
      <c r="G25" s="20"/>
      <c r="H25" s="20"/>
      <c r="I25" s="8" t="str">
        <f aca="false">IF(C25="","",IFERROR(INDEX(Disputes!$C$5:$C$1004,MATCH(C25,Disputes!$A$5:$A$1004,0)),IFERROR(INDEX(Batches!$B$5:$B$64,MATCH(C25,Batches!$A$5:$A$64,0)),"")))</f>
        <v/>
      </c>
      <c r="J25" s="17" t="str">
        <f aca="false">IF(B25="","",DATE(YEAR(B25),MONTH(B25),1))</f>
        <v/>
      </c>
    </row>
    <row r="26" customFormat="false" ht="15" hidden="false" customHeight="false" outlineLevel="0" collapsed="false">
      <c r="A26" s="20"/>
      <c r="B26" s="21"/>
      <c r="C26" s="20"/>
      <c r="D26" s="20"/>
      <c r="E26" s="20"/>
      <c r="F26" s="33"/>
      <c r="G26" s="20"/>
      <c r="H26" s="20"/>
      <c r="I26" s="8" t="str">
        <f aca="false">IF(C26="","",IFERROR(INDEX(Disputes!$C$5:$C$1004,MATCH(C26,Disputes!$A$5:$A$1004,0)),IFERROR(INDEX(Batches!$B$5:$B$64,MATCH(C26,Batches!$A$5:$A$64,0)),"")))</f>
        <v/>
      </c>
      <c r="J26" s="17" t="str">
        <f aca="false">IF(B26="","",DATE(YEAR(B26),MONTH(B26),1))</f>
        <v/>
      </c>
    </row>
    <row r="27" customFormat="false" ht="15" hidden="false" customHeight="false" outlineLevel="0" collapsed="false">
      <c r="A27" s="20"/>
      <c r="B27" s="21"/>
      <c r="C27" s="20"/>
      <c r="D27" s="20"/>
      <c r="E27" s="20"/>
      <c r="F27" s="33"/>
      <c r="G27" s="20"/>
      <c r="H27" s="20"/>
      <c r="I27" s="8" t="str">
        <f aca="false">IF(C27="","",IFERROR(INDEX(Disputes!$C$5:$C$1004,MATCH(C27,Disputes!$A$5:$A$1004,0)),IFERROR(INDEX(Batches!$B$5:$B$64,MATCH(C27,Batches!$A$5:$A$64,0)),"")))</f>
        <v/>
      </c>
      <c r="J27" s="17" t="str">
        <f aca="false">IF(B27="","",DATE(YEAR(B27),MONTH(B27),1))</f>
        <v/>
      </c>
    </row>
    <row r="28" customFormat="false" ht="15" hidden="false" customHeight="false" outlineLevel="0" collapsed="false">
      <c r="A28" s="20"/>
      <c r="B28" s="21"/>
      <c r="C28" s="20"/>
      <c r="D28" s="20"/>
      <c r="E28" s="20"/>
      <c r="F28" s="33"/>
      <c r="G28" s="20"/>
      <c r="H28" s="20"/>
      <c r="I28" s="8" t="str">
        <f aca="false">IF(C28="","",IFERROR(INDEX(Disputes!$C$5:$C$1004,MATCH(C28,Disputes!$A$5:$A$1004,0)),IFERROR(INDEX(Batches!$B$5:$B$64,MATCH(C28,Batches!$A$5:$A$64,0)),"")))</f>
        <v/>
      </c>
      <c r="J28" s="17" t="str">
        <f aca="false">IF(B28="","",DATE(YEAR(B28),MONTH(B28),1))</f>
        <v/>
      </c>
    </row>
    <row r="29" customFormat="false" ht="15" hidden="false" customHeight="false" outlineLevel="0" collapsed="false">
      <c r="A29" s="20"/>
      <c r="B29" s="21"/>
      <c r="C29" s="20"/>
      <c r="D29" s="20"/>
      <c r="E29" s="20"/>
      <c r="F29" s="33"/>
      <c r="G29" s="20"/>
      <c r="H29" s="20"/>
      <c r="I29" s="8" t="str">
        <f aca="false">IF(C29="","",IFERROR(INDEX(Disputes!$C$5:$C$1004,MATCH(C29,Disputes!$A$5:$A$1004,0)),IFERROR(INDEX(Batches!$B$5:$B$64,MATCH(C29,Batches!$A$5:$A$64,0)),"")))</f>
        <v/>
      </c>
      <c r="J29" s="17" t="str">
        <f aca="false">IF(B29="","",DATE(YEAR(B29),MONTH(B29),1))</f>
        <v/>
      </c>
    </row>
    <row r="30" customFormat="false" ht="15" hidden="false" customHeight="false" outlineLevel="0" collapsed="false">
      <c r="A30" s="20"/>
      <c r="B30" s="21"/>
      <c r="C30" s="20"/>
      <c r="D30" s="20"/>
      <c r="E30" s="20"/>
      <c r="F30" s="33"/>
      <c r="G30" s="20"/>
      <c r="H30" s="20"/>
      <c r="I30" s="8" t="str">
        <f aca="false">IF(C30="","",IFERROR(INDEX(Disputes!$C$5:$C$1004,MATCH(C30,Disputes!$A$5:$A$1004,0)),IFERROR(INDEX(Batches!$B$5:$B$64,MATCH(C30,Batches!$A$5:$A$64,0)),"")))</f>
        <v/>
      </c>
      <c r="J30" s="17" t="str">
        <f aca="false">IF(B30="","",DATE(YEAR(B30),MONTH(B30),1))</f>
        <v/>
      </c>
    </row>
    <row r="31" customFormat="false" ht="15" hidden="false" customHeight="false" outlineLevel="0" collapsed="false">
      <c r="A31" s="20"/>
      <c r="B31" s="21"/>
      <c r="C31" s="20"/>
      <c r="D31" s="20"/>
      <c r="E31" s="20"/>
      <c r="F31" s="33"/>
      <c r="G31" s="20"/>
      <c r="H31" s="20"/>
      <c r="I31" s="8" t="str">
        <f aca="false">IF(C31="","",IFERROR(INDEX(Disputes!$C$5:$C$1004,MATCH(C31,Disputes!$A$5:$A$1004,0)),IFERROR(INDEX(Batches!$B$5:$B$64,MATCH(C31,Batches!$A$5:$A$64,0)),"")))</f>
        <v/>
      </c>
      <c r="J31" s="17" t="str">
        <f aca="false">IF(B31="","",DATE(YEAR(B31),MONTH(B31),1))</f>
        <v/>
      </c>
    </row>
    <row r="32" customFormat="false" ht="15" hidden="false" customHeight="false" outlineLevel="0" collapsed="false">
      <c r="A32" s="20"/>
      <c r="B32" s="21"/>
      <c r="C32" s="20"/>
      <c r="D32" s="20"/>
      <c r="E32" s="20"/>
      <c r="F32" s="33"/>
      <c r="G32" s="20"/>
      <c r="H32" s="20"/>
      <c r="I32" s="8" t="str">
        <f aca="false">IF(C32="","",IFERROR(INDEX(Disputes!$C$5:$C$1004,MATCH(C32,Disputes!$A$5:$A$1004,0)),IFERROR(INDEX(Batches!$B$5:$B$64,MATCH(C32,Batches!$A$5:$A$64,0)),"")))</f>
        <v/>
      </c>
      <c r="J32" s="17" t="str">
        <f aca="false">IF(B32="","",DATE(YEAR(B32),MONTH(B32),1))</f>
        <v/>
      </c>
    </row>
    <row r="33" customFormat="false" ht="15" hidden="false" customHeight="false" outlineLevel="0" collapsed="false">
      <c r="A33" s="20"/>
      <c r="B33" s="21"/>
      <c r="C33" s="20"/>
      <c r="D33" s="20"/>
      <c r="E33" s="20"/>
      <c r="F33" s="33"/>
      <c r="G33" s="20"/>
      <c r="H33" s="20"/>
      <c r="I33" s="8" t="str">
        <f aca="false">IF(C33="","",IFERROR(INDEX(Disputes!$C$5:$C$1004,MATCH(C33,Disputes!$A$5:$A$1004,0)),IFERROR(INDEX(Batches!$B$5:$B$64,MATCH(C33,Batches!$A$5:$A$64,0)),"")))</f>
        <v/>
      </c>
      <c r="J33" s="17" t="str">
        <f aca="false">IF(B33="","",DATE(YEAR(B33),MONTH(B33),1))</f>
        <v/>
      </c>
    </row>
    <row r="34" customFormat="false" ht="15" hidden="false" customHeight="false" outlineLevel="0" collapsed="false">
      <c r="A34" s="20"/>
      <c r="B34" s="21"/>
      <c r="C34" s="20"/>
      <c r="D34" s="20"/>
      <c r="E34" s="20"/>
      <c r="F34" s="33"/>
      <c r="G34" s="20"/>
      <c r="H34" s="20"/>
      <c r="I34" s="8" t="str">
        <f aca="false">IF(C34="","",IFERROR(INDEX(Disputes!$C$5:$C$1004,MATCH(C34,Disputes!$A$5:$A$1004,0)),IFERROR(INDEX(Batches!$B$5:$B$64,MATCH(C34,Batches!$A$5:$A$64,0)),"")))</f>
        <v/>
      </c>
      <c r="J34" s="17" t="str">
        <f aca="false">IF(B34="","",DATE(YEAR(B34),MONTH(B34),1))</f>
        <v/>
      </c>
    </row>
    <row r="35" customFormat="false" ht="15" hidden="false" customHeight="false" outlineLevel="0" collapsed="false">
      <c r="A35" s="20"/>
      <c r="B35" s="21"/>
      <c r="C35" s="20"/>
      <c r="D35" s="20"/>
      <c r="E35" s="20"/>
      <c r="F35" s="33"/>
      <c r="G35" s="20"/>
      <c r="H35" s="20"/>
      <c r="I35" s="8" t="str">
        <f aca="false">IF(C35="","",IFERROR(INDEX(Disputes!$C$5:$C$1004,MATCH(C35,Disputes!$A$5:$A$1004,0)),IFERROR(INDEX(Batches!$B$5:$B$64,MATCH(C35,Batches!$A$5:$A$64,0)),"")))</f>
        <v/>
      </c>
      <c r="J35" s="17" t="str">
        <f aca="false">IF(B35="","",DATE(YEAR(B35),MONTH(B35),1))</f>
        <v/>
      </c>
    </row>
    <row r="36" customFormat="false" ht="15" hidden="false" customHeight="false" outlineLevel="0" collapsed="false">
      <c r="A36" s="20"/>
      <c r="B36" s="21"/>
      <c r="C36" s="20"/>
      <c r="D36" s="20"/>
      <c r="E36" s="20"/>
      <c r="F36" s="33"/>
      <c r="G36" s="20"/>
      <c r="H36" s="20"/>
      <c r="I36" s="8" t="str">
        <f aca="false">IF(C36="","",IFERROR(INDEX(Disputes!$C$5:$C$1004,MATCH(C36,Disputes!$A$5:$A$1004,0)),IFERROR(INDEX(Batches!$B$5:$B$64,MATCH(C36,Batches!$A$5:$A$64,0)),"")))</f>
        <v/>
      </c>
      <c r="J36" s="17" t="str">
        <f aca="false">IF(B36="","",DATE(YEAR(B36),MONTH(B36),1))</f>
        <v/>
      </c>
    </row>
    <row r="37" customFormat="false" ht="15" hidden="false" customHeight="false" outlineLevel="0" collapsed="false">
      <c r="A37" s="20"/>
      <c r="B37" s="21"/>
      <c r="C37" s="20"/>
      <c r="D37" s="20"/>
      <c r="E37" s="20"/>
      <c r="F37" s="33"/>
      <c r="G37" s="20"/>
      <c r="H37" s="20"/>
      <c r="I37" s="8" t="str">
        <f aca="false">IF(C37="","",IFERROR(INDEX(Disputes!$C$5:$C$1004,MATCH(C37,Disputes!$A$5:$A$1004,0)),IFERROR(INDEX(Batches!$B$5:$B$64,MATCH(C37,Batches!$A$5:$A$64,0)),"")))</f>
        <v/>
      </c>
      <c r="J37" s="17" t="str">
        <f aca="false">IF(B37="","",DATE(YEAR(B37),MONTH(B37),1))</f>
        <v/>
      </c>
    </row>
    <row r="38" customFormat="false" ht="15" hidden="false" customHeight="false" outlineLevel="0" collapsed="false">
      <c r="A38" s="20"/>
      <c r="B38" s="21"/>
      <c r="C38" s="20"/>
      <c r="D38" s="20"/>
      <c r="E38" s="20"/>
      <c r="F38" s="33"/>
      <c r="G38" s="20"/>
      <c r="H38" s="20"/>
      <c r="I38" s="8" t="str">
        <f aca="false">IF(C38="","",IFERROR(INDEX(Disputes!$C$5:$C$1004,MATCH(C38,Disputes!$A$5:$A$1004,0)),IFERROR(INDEX(Batches!$B$5:$B$64,MATCH(C38,Batches!$A$5:$A$64,0)),"")))</f>
        <v/>
      </c>
      <c r="J38" s="17" t="str">
        <f aca="false">IF(B38="","",DATE(YEAR(B38),MONTH(B38),1))</f>
        <v/>
      </c>
    </row>
    <row r="39" customFormat="false" ht="15" hidden="false" customHeight="false" outlineLevel="0" collapsed="false">
      <c r="A39" s="20"/>
      <c r="B39" s="21"/>
      <c r="C39" s="20"/>
      <c r="D39" s="20"/>
      <c r="E39" s="20"/>
      <c r="F39" s="33"/>
      <c r="G39" s="20"/>
      <c r="H39" s="20"/>
      <c r="I39" s="8" t="str">
        <f aca="false">IF(C39="","",IFERROR(INDEX(Disputes!$C$5:$C$1004,MATCH(C39,Disputes!$A$5:$A$1004,0)),IFERROR(INDEX(Batches!$B$5:$B$64,MATCH(C39,Batches!$A$5:$A$64,0)),"")))</f>
        <v/>
      </c>
      <c r="J39" s="17" t="str">
        <f aca="false">IF(B39="","",DATE(YEAR(B39),MONTH(B39),1))</f>
        <v/>
      </c>
    </row>
    <row r="40" customFormat="false" ht="15" hidden="false" customHeight="false" outlineLevel="0" collapsed="false">
      <c r="A40" s="20"/>
      <c r="B40" s="21"/>
      <c r="C40" s="20"/>
      <c r="D40" s="20"/>
      <c r="E40" s="20"/>
      <c r="F40" s="33"/>
      <c r="G40" s="20"/>
      <c r="H40" s="20"/>
      <c r="I40" s="8" t="str">
        <f aca="false">IF(C40="","",IFERROR(INDEX(Disputes!$C$5:$C$1004,MATCH(C40,Disputes!$A$5:$A$1004,0)),IFERROR(INDEX(Batches!$B$5:$B$64,MATCH(C40,Batches!$A$5:$A$64,0)),"")))</f>
        <v/>
      </c>
      <c r="J40" s="17" t="str">
        <f aca="false">IF(B40="","",DATE(YEAR(B40),MONTH(B40),1))</f>
        <v/>
      </c>
    </row>
    <row r="41" customFormat="false" ht="15" hidden="false" customHeight="false" outlineLevel="0" collapsed="false">
      <c r="A41" s="20"/>
      <c r="B41" s="21"/>
      <c r="C41" s="20"/>
      <c r="D41" s="20"/>
      <c r="E41" s="20"/>
      <c r="F41" s="33"/>
      <c r="G41" s="20"/>
      <c r="H41" s="20"/>
      <c r="I41" s="8" t="str">
        <f aca="false">IF(C41="","",IFERROR(INDEX(Disputes!$C$5:$C$1004,MATCH(C41,Disputes!$A$5:$A$1004,0)),IFERROR(INDEX(Batches!$B$5:$B$64,MATCH(C41,Batches!$A$5:$A$64,0)),"")))</f>
        <v/>
      </c>
      <c r="J41" s="17" t="str">
        <f aca="false">IF(B41="","",DATE(YEAR(B41),MONTH(B41),1))</f>
        <v/>
      </c>
    </row>
    <row r="42" customFormat="false" ht="15" hidden="false" customHeight="false" outlineLevel="0" collapsed="false">
      <c r="A42" s="20"/>
      <c r="B42" s="21"/>
      <c r="C42" s="20"/>
      <c r="D42" s="20"/>
      <c r="E42" s="20"/>
      <c r="F42" s="33"/>
      <c r="G42" s="20"/>
      <c r="H42" s="20"/>
      <c r="I42" s="8" t="str">
        <f aca="false">IF(C42="","",IFERROR(INDEX(Disputes!$C$5:$C$1004,MATCH(C42,Disputes!$A$5:$A$1004,0)),IFERROR(INDEX(Batches!$B$5:$B$64,MATCH(C42,Batches!$A$5:$A$64,0)),"")))</f>
        <v/>
      </c>
      <c r="J42" s="17" t="str">
        <f aca="false">IF(B42="","",DATE(YEAR(B42),MONTH(B42),1))</f>
        <v/>
      </c>
    </row>
    <row r="43" customFormat="false" ht="15" hidden="false" customHeight="false" outlineLevel="0" collapsed="false">
      <c r="A43" s="20"/>
      <c r="B43" s="21"/>
      <c r="C43" s="20"/>
      <c r="D43" s="20"/>
      <c r="E43" s="20"/>
      <c r="F43" s="33"/>
      <c r="G43" s="20"/>
      <c r="H43" s="20"/>
      <c r="I43" s="8" t="str">
        <f aca="false">IF(C43="","",IFERROR(INDEX(Disputes!$C$5:$C$1004,MATCH(C43,Disputes!$A$5:$A$1004,0)),IFERROR(INDEX(Batches!$B$5:$B$64,MATCH(C43,Batches!$A$5:$A$64,0)),"")))</f>
        <v/>
      </c>
      <c r="J43" s="17" t="str">
        <f aca="false">IF(B43="","",DATE(YEAR(B43),MONTH(B43),1))</f>
        <v/>
      </c>
    </row>
    <row r="44" customFormat="false" ht="15" hidden="false" customHeight="false" outlineLevel="0" collapsed="false">
      <c r="A44" s="20"/>
      <c r="B44" s="21"/>
      <c r="C44" s="20"/>
      <c r="D44" s="20"/>
      <c r="E44" s="20"/>
      <c r="F44" s="33"/>
      <c r="G44" s="20"/>
      <c r="H44" s="20"/>
      <c r="I44" s="8" t="str">
        <f aca="false">IF(C44="","",IFERROR(INDEX(Disputes!$C$5:$C$1004,MATCH(C44,Disputes!$A$5:$A$1004,0)),IFERROR(INDEX(Batches!$B$5:$B$64,MATCH(C44,Batches!$A$5:$A$64,0)),"")))</f>
        <v/>
      </c>
      <c r="J44" s="17" t="str">
        <f aca="false">IF(B44="","",DATE(YEAR(B44),MONTH(B44),1))</f>
        <v/>
      </c>
    </row>
    <row r="45" customFormat="false" ht="15" hidden="false" customHeight="false" outlineLevel="0" collapsed="false">
      <c r="A45" s="20"/>
      <c r="B45" s="21"/>
      <c r="C45" s="20"/>
      <c r="D45" s="20"/>
      <c r="E45" s="20"/>
      <c r="F45" s="33"/>
      <c r="G45" s="20"/>
      <c r="H45" s="20"/>
      <c r="I45" s="8" t="str">
        <f aca="false">IF(C45="","",IFERROR(INDEX(Disputes!$C$5:$C$1004,MATCH(C45,Disputes!$A$5:$A$1004,0)),IFERROR(INDEX(Batches!$B$5:$B$64,MATCH(C45,Batches!$A$5:$A$64,0)),"")))</f>
        <v/>
      </c>
      <c r="J45" s="17" t="str">
        <f aca="false">IF(B45="","",DATE(YEAR(B45),MONTH(B45),1))</f>
        <v/>
      </c>
    </row>
    <row r="46" customFormat="false" ht="15" hidden="false" customHeight="false" outlineLevel="0" collapsed="false">
      <c r="A46" s="20"/>
      <c r="B46" s="21"/>
      <c r="C46" s="20"/>
      <c r="D46" s="20"/>
      <c r="E46" s="20"/>
      <c r="F46" s="33"/>
      <c r="G46" s="20"/>
      <c r="H46" s="20"/>
      <c r="I46" s="8" t="str">
        <f aca="false">IF(C46="","",IFERROR(INDEX(Disputes!$C$5:$C$1004,MATCH(C46,Disputes!$A$5:$A$1004,0)),IFERROR(INDEX(Batches!$B$5:$B$64,MATCH(C46,Batches!$A$5:$A$64,0)),"")))</f>
        <v/>
      </c>
      <c r="J46" s="17" t="str">
        <f aca="false">IF(B46="","",DATE(YEAR(B46),MONTH(B46),1))</f>
        <v/>
      </c>
    </row>
    <row r="47" customFormat="false" ht="15" hidden="false" customHeight="false" outlineLevel="0" collapsed="false">
      <c r="A47" s="20"/>
      <c r="B47" s="21"/>
      <c r="C47" s="20"/>
      <c r="D47" s="20"/>
      <c r="E47" s="20"/>
      <c r="F47" s="33"/>
      <c r="G47" s="20"/>
      <c r="H47" s="20"/>
      <c r="I47" s="8" t="str">
        <f aca="false">IF(C47="","",IFERROR(INDEX(Disputes!$C$5:$C$1004,MATCH(C47,Disputes!$A$5:$A$1004,0)),IFERROR(INDEX(Batches!$B$5:$B$64,MATCH(C47,Batches!$A$5:$A$64,0)),"")))</f>
        <v/>
      </c>
      <c r="J47" s="17" t="str">
        <f aca="false">IF(B47="","",DATE(YEAR(B47),MONTH(B47),1))</f>
        <v/>
      </c>
    </row>
    <row r="48" customFormat="false" ht="15" hidden="false" customHeight="false" outlineLevel="0" collapsed="false">
      <c r="A48" s="20"/>
      <c r="B48" s="21"/>
      <c r="C48" s="20"/>
      <c r="D48" s="20"/>
      <c r="E48" s="20"/>
      <c r="F48" s="33"/>
      <c r="G48" s="20"/>
      <c r="H48" s="20"/>
      <c r="I48" s="8" t="str">
        <f aca="false">IF(C48="","",IFERROR(INDEX(Disputes!$C$5:$C$1004,MATCH(C48,Disputes!$A$5:$A$1004,0)),IFERROR(INDEX(Batches!$B$5:$B$64,MATCH(C48,Batches!$A$5:$A$64,0)),"")))</f>
        <v/>
      </c>
      <c r="J48" s="17" t="str">
        <f aca="false">IF(B48="","",DATE(YEAR(B48),MONTH(B48),1))</f>
        <v/>
      </c>
    </row>
    <row r="49" customFormat="false" ht="15" hidden="false" customHeight="false" outlineLevel="0" collapsed="false">
      <c r="A49" s="20"/>
      <c r="B49" s="21"/>
      <c r="C49" s="20"/>
      <c r="D49" s="20"/>
      <c r="E49" s="20"/>
      <c r="F49" s="33"/>
      <c r="G49" s="20"/>
      <c r="H49" s="20"/>
      <c r="I49" s="8" t="str">
        <f aca="false">IF(C49="","",IFERROR(INDEX(Disputes!$C$5:$C$1004,MATCH(C49,Disputes!$A$5:$A$1004,0)),IFERROR(INDEX(Batches!$B$5:$B$64,MATCH(C49,Batches!$A$5:$A$64,0)),"")))</f>
        <v/>
      </c>
      <c r="J49" s="17" t="str">
        <f aca="false">IF(B49="","",DATE(YEAR(B49),MONTH(B49),1))</f>
        <v/>
      </c>
    </row>
    <row r="50" customFormat="false" ht="15" hidden="false" customHeight="false" outlineLevel="0" collapsed="false">
      <c r="A50" s="20"/>
      <c r="B50" s="21"/>
      <c r="C50" s="20"/>
      <c r="D50" s="20"/>
      <c r="E50" s="20"/>
      <c r="F50" s="33"/>
      <c r="G50" s="20"/>
      <c r="H50" s="20"/>
      <c r="I50" s="8" t="str">
        <f aca="false">IF(C50="","",IFERROR(INDEX(Disputes!$C$5:$C$1004,MATCH(C50,Disputes!$A$5:$A$1004,0)),IFERROR(INDEX(Batches!$B$5:$B$64,MATCH(C50,Batches!$A$5:$A$64,0)),"")))</f>
        <v/>
      </c>
      <c r="J50" s="17" t="str">
        <f aca="false">IF(B50="","",DATE(YEAR(B50),MONTH(B50),1))</f>
        <v/>
      </c>
    </row>
    <row r="51" customFormat="false" ht="15" hidden="false" customHeight="false" outlineLevel="0" collapsed="false">
      <c r="A51" s="20"/>
      <c r="B51" s="21"/>
      <c r="C51" s="20"/>
      <c r="D51" s="20"/>
      <c r="E51" s="20"/>
      <c r="F51" s="33"/>
      <c r="G51" s="20"/>
      <c r="H51" s="20"/>
      <c r="I51" s="8" t="str">
        <f aca="false">IF(C51="","",IFERROR(INDEX(Disputes!$C$5:$C$1004,MATCH(C51,Disputes!$A$5:$A$1004,0)),IFERROR(INDEX(Batches!$B$5:$B$64,MATCH(C51,Batches!$A$5:$A$64,0)),"")))</f>
        <v/>
      </c>
      <c r="J51" s="17" t="str">
        <f aca="false">IF(B51="","",DATE(YEAR(B51),MONTH(B51),1))</f>
        <v/>
      </c>
    </row>
    <row r="52" customFormat="false" ht="15" hidden="false" customHeight="false" outlineLevel="0" collapsed="false">
      <c r="A52" s="20"/>
      <c r="B52" s="21"/>
      <c r="C52" s="20"/>
      <c r="D52" s="20"/>
      <c r="E52" s="20"/>
      <c r="F52" s="33"/>
      <c r="G52" s="20"/>
      <c r="H52" s="20"/>
      <c r="I52" s="8" t="str">
        <f aca="false">IF(C52="","",IFERROR(INDEX(Disputes!$C$5:$C$1004,MATCH(C52,Disputes!$A$5:$A$1004,0)),IFERROR(INDEX(Batches!$B$5:$B$64,MATCH(C52,Batches!$A$5:$A$64,0)),"")))</f>
        <v/>
      </c>
      <c r="J52" s="17" t="str">
        <f aca="false">IF(B52="","",DATE(YEAR(B52),MONTH(B52),1))</f>
        <v/>
      </c>
    </row>
    <row r="53" customFormat="false" ht="15" hidden="false" customHeight="false" outlineLevel="0" collapsed="false">
      <c r="A53" s="20"/>
      <c r="B53" s="21"/>
      <c r="C53" s="20"/>
      <c r="D53" s="20"/>
      <c r="E53" s="20"/>
      <c r="F53" s="33"/>
      <c r="G53" s="20"/>
      <c r="H53" s="20"/>
      <c r="I53" s="8" t="str">
        <f aca="false">IF(C53="","",IFERROR(INDEX(Disputes!$C$5:$C$1004,MATCH(C53,Disputes!$A$5:$A$1004,0)),IFERROR(INDEX(Batches!$B$5:$B$64,MATCH(C53,Batches!$A$5:$A$64,0)),"")))</f>
        <v/>
      </c>
      <c r="J53" s="17" t="str">
        <f aca="false">IF(B53="","",DATE(YEAR(B53),MONTH(B53),1))</f>
        <v/>
      </c>
    </row>
    <row r="54" customFormat="false" ht="15" hidden="false" customHeight="false" outlineLevel="0" collapsed="false">
      <c r="A54" s="20"/>
      <c r="B54" s="21"/>
      <c r="C54" s="20"/>
      <c r="D54" s="20"/>
      <c r="E54" s="20"/>
      <c r="F54" s="33"/>
      <c r="G54" s="20"/>
      <c r="H54" s="20"/>
      <c r="I54" s="8" t="str">
        <f aca="false">IF(C54="","",IFERROR(INDEX(Disputes!$C$5:$C$1004,MATCH(C54,Disputes!$A$5:$A$1004,0)),IFERROR(INDEX(Batches!$B$5:$B$64,MATCH(C54,Batches!$A$5:$A$64,0)),"")))</f>
        <v/>
      </c>
      <c r="J54" s="17" t="str">
        <f aca="false">IF(B54="","",DATE(YEAR(B54),MONTH(B54),1))</f>
        <v/>
      </c>
    </row>
    <row r="55" customFormat="false" ht="15" hidden="false" customHeight="false" outlineLevel="0" collapsed="false">
      <c r="A55" s="20"/>
      <c r="B55" s="21"/>
      <c r="C55" s="20"/>
      <c r="D55" s="20"/>
      <c r="E55" s="20"/>
      <c r="F55" s="33"/>
      <c r="G55" s="20"/>
      <c r="H55" s="20"/>
      <c r="I55" s="8" t="str">
        <f aca="false">IF(C55="","",IFERROR(INDEX(Disputes!$C$5:$C$1004,MATCH(C55,Disputes!$A$5:$A$1004,0)),IFERROR(INDEX(Batches!$B$5:$B$64,MATCH(C55,Batches!$A$5:$A$64,0)),"")))</f>
        <v/>
      </c>
      <c r="J55" s="17" t="str">
        <f aca="false">IF(B55="","",DATE(YEAR(B55),MONTH(B55),1))</f>
        <v/>
      </c>
    </row>
    <row r="56" customFormat="false" ht="15" hidden="false" customHeight="false" outlineLevel="0" collapsed="false">
      <c r="A56" s="20"/>
      <c r="B56" s="21"/>
      <c r="C56" s="20"/>
      <c r="D56" s="20"/>
      <c r="E56" s="20"/>
      <c r="F56" s="33"/>
      <c r="G56" s="20"/>
      <c r="H56" s="20"/>
      <c r="I56" s="8" t="str">
        <f aca="false">IF(C56="","",IFERROR(INDEX(Disputes!$C$5:$C$1004,MATCH(C56,Disputes!$A$5:$A$1004,0)),IFERROR(INDEX(Batches!$B$5:$B$64,MATCH(C56,Batches!$A$5:$A$64,0)),"")))</f>
        <v/>
      </c>
      <c r="J56" s="17" t="str">
        <f aca="false">IF(B56="","",DATE(YEAR(B56),MONTH(B56),1))</f>
        <v/>
      </c>
    </row>
    <row r="57" customFormat="false" ht="15" hidden="false" customHeight="false" outlineLevel="0" collapsed="false">
      <c r="A57" s="20"/>
      <c r="B57" s="21"/>
      <c r="C57" s="20"/>
      <c r="D57" s="20"/>
      <c r="E57" s="20"/>
      <c r="F57" s="33"/>
      <c r="G57" s="20"/>
      <c r="H57" s="20"/>
      <c r="I57" s="8" t="str">
        <f aca="false">IF(C57="","",IFERROR(INDEX(Disputes!$C$5:$C$1004,MATCH(C57,Disputes!$A$5:$A$1004,0)),IFERROR(INDEX(Batches!$B$5:$B$64,MATCH(C57,Batches!$A$5:$A$64,0)),"")))</f>
        <v/>
      </c>
      <c r="J57" s="17" t="str">
        <f aca="false">IF(B57="","",DATE(YEAR(B57),MONTH(B57),1))</f>
        <v/>
      </c>
    </row>
    <row r="58" customFormat="false" ht="15" hidden="false" customHeight="false" outlineLevel="0" collapsed="false">
      <c r="A58" s="20"/>
      <c r="B58" s="21"/>
      <c r="C58" s="20"/>
      <c r="D58" s="20"/>
      <c r="E58" s="20"/>
      <c r="F58" s="33"/>
      <c r="G58" s="20"/>
      <c r="H58" s="20"/>
      <c r="I58" s="8" t="str">
        <f aca="false">IF(C58="","",IFERROR(INDEX(Disputes!$C$5:$C$1004,MATCH(C58,Disputes!$A$5:$A$1004,0)),IFERROR(INDEX(Batches!$B$5:$B$64,MATCH(C58,Batches!$A$5:$A$64,0)),"")))</f>
        <v/>
      </c>
      <c r="J58" s="17" t="str">
        <f aca="false">IF(B58="","",DATE(YEAR(B58),MONTH(B58),1))</f>
        <v/>
      </c>
    </row>
    <row r="59" customFormat="false" ht="15" hidden="false" customHeight="false" outlineLevel="0" collapsed="false">
      <c r="A59" s="20"/>
      <c r="B59" s="21"/>
      <c r="C59" s="20"/>
      <c r="D59" s="20"/>
      <c r="E59" s="20"/>
      <c r="F59" s="33"/>
      <c r="G59" s="20"/>
      <c r="H59" s="20"/>
      <c r="I59" s="8" t="str">
        <f aca="false">IF(C59="","",IFERROR(INDEX(Disputes!$C$5:$C$1004,MATCH(C59,Disputes!$A$5:$A$1004,0)),IFERROR(INDEX(Batches!$B$5:$B$64,MATCH(C59,Batches!$A$5:$A$64,0)),"")))</f>
        <v/>
      </c>
      <c r="J59" s="17" t="str">
        <f aca="false">IF(B59="","",DATE(YEAR(B59),MONTH(B59),1))</f>
        <v/>
      </c>
    </row>
    <row r="60" customFormat="false" ht="15" hidden="false" customHeight="false" outlineLevel="0" collapsed="false">
      <c r="A60" s="20"/>
      <c r="B60" s="21"/>
      <c r="C60" s="20"/>
      <c r="D60" s="20"/>
      <c r="E60" s="20"/>
      <c r="F60" s="33"/>
      <c r="G60" s="20"/>
      <c r="H60" s="20"/>
      <c r="I60" s="8" t="str">
        <f aca="false">IF(C60="","",IFERROR(INDEX(Disputes!$C$5:$C$1004,MATCH(C60,Disputes!$A$5:$A$1004,0)),IFERROR(INDEX(Batches!$B$5:$B$64,MATCH(C60,Batches!$A$5:$A$64,0)),"")))</f>
        <v/>
      </c>
      <c r="J60" s="17" t="str">
        <f aca="false">IF(B60="","",DATE(YEAR(B60),MONTH(B60),1))</f>
        <v/>
      </c>
    </row>
    <row r="61" customFormat="false" ht="15" hidden="false" customHeight="false" outlineLevel="0" collapsed="false">
      <c r="A61" s="20"/>
      <c r="B61" s="21"/>
      <c r="C61" s="20"/>
      <c r="D61" s="20"/>
      <c r="E61" s="20"/>
      <c r="F61" s="33"/>
      <c r="G61" s="20"/>
      <c r="H61" s="20"/>
      <c r="I61" s="8" t="str">
        <f aca="false">IF(C61="","",IFERROR(INDEX(Disputes!$C$5:$C$1004,MATCH(C61,Disputes!$A$5:$A$1004,0)),IFERROR(INDEX(Batches!$B$5:$B$64,MATCH(C61,Batches!$A$5:$A$64,0)),"")))</f>
        <v/>
      </c>
      <c r="J61" s="17" t="str">
        <f aca="false">IF(B61="","",DATE(YEAR(B61),MONTH(B61),1))</f>
        <v/>
      </c>
    </row>
    <row r="62" customFormat="false" ht="15" hidden="false" customHeight="false" outlineLevel="0" collapsed="false">
      <c r="A62" s="20"/>
      <c r="B62" s="21"/>
      <c r="C62" s="20"/>
      <c r="D62" s="20"/>
      <c r="E62" s="20"/>
      <c r="F62" s="33"/>
      <c r="G62" s="20"/>
      <c r="H62" s="20"/>
      <c r="I62" s="8" t="str">
        <f aca="false">IF(C62="","",IFERROR(INDEX(Disputes!$C$5:$C$1004,MATCH(C62,Disputes!$A$5:$A$1004,0)),IFERROR(INDEX(Batches!$B$5:$B$64,MATCH(C62,Batches!$A$5:$A$64,0)),"")))</f>
        <v/>
      </c>
      <c r="J62" s="17" t="str">
        <f aca="false">IF(B62="","",DATE(YEAR(B62),MONTH(B62),1))</f>
        <v/>
      </c>
    </row>
    <row r="63" customFormat="false" ht="15" hidden="false" customHeight="false" outlineLevel="0" collapsed="false">
      <c r="A63" s="20"/>
      <c r="B63" s="21"/>
      <c r="C63" s="20"/>
      <c r="D63" s="20"/>
      <c r="E63" s="20"/>
      <c r="F63" s="33"/>
      <c r="G63" s="20"/>
      <c r="H63" s="20"/>
      <c r="I63" s="8" t="str">
        <f aca="false">IF(C63="","",IFERROR(INDEX(Disputes!$C$5:$C$1004,MATCH(C63,Disputes!$A$5:$A$1004,0)),IFERROR(INDEX(Batches!$B$5:$B$64,MATCH(C63,Batches!$A$5:$A$64,0)),"")))</f>
        <v/>
      </c>
      <c r="J63" s="17" t="str">
        <f aca="false">IF(B63="","",DATE(YEAR(B63),MONTH(B63),1))</f>
        <v/>
      </c>
    </row>
    <row r="64" customFormat="false" ht="15" hidden="false" customHeight="false" outlineLevel="0" collapsed="false">
      <c r="A64" s="20"/>
      <c r="B64" s="21"/>
      <c r="C64" s="20"/>
      <c r="D64" s="20"/>
      <c r="E64" s="20"/>
      <c r="F64" s="33"/>
      <c r="G64" s="20"/>
      <c r="H64" s="20"/>
      <c r="I64" s="8" t="str">
        <f aca="false">IF(C64="","",IFERROR(INDEX(Disputes!$C$5:$C$1004,MATCH(C64,Disputes!$A$5:$A$1004,0)),IFERROR(INDEX(Batches!$B$5:$B$64,MATCH(C64,Batches!$A$5:$A$64,0)),"")))</f>
        <v/>
      </c>
      <c r="J64" s="17" t="str">
        <f aca="false">IF(B64="","",DATE(YEAR(B64),MONTH(B64),1))</f>
        <v/>
      </c>
    </row>
    <row r="65" customFormat="false" ht="15" hidden="false" customHeight="false" outlineLevel="0" collapsed="false">
      <c r="A65" s="20"/>
      <c r="B65" s="21"/>
      <c r="C65" s="20"/>
      <c r="D65" s="20"/>
      <c r="E65" s="20"/>
      <c r="F65" s="33"/>
      <c r="G65" s="20"/>
      <c r="H65" s="20"/>
      <c r="I65" s="8" t="str">
        <f aca="false">IF(C65="","",IFERROR(INDEX(Disputes!$C$5:$C$1004,MATCH(C65,Disputes!$A$5:$A$1004,0)),IFERROR(INDEX(Batches!$B$5:$B$64,MATCH(C65,Batches!$A$5:$A$64,0)),"")))</f>
        <v/>
      </c>
      <c r="J65" s="17" t="str">
        <f aca="false">IF(B65="","",DATE(YEAR(B65),MONTH(B65),1))</f>
        <v/>
      </c>
    </row>
    <row r="66" customFormat="false" ht="15" hidden="false" customHeight="false" outlineLevel="0" collapsed="false">
      <c r="A66" s="20"/>
      <c r="B66" s="21"/>
      <c r="C66" s="20"/>
      <c r="D66" s="20"/>
      <c r="E66" s="20"/>
      <c r="F66" s="33"/>
      <c r="G66" s="20"/>
      <c r="H66" s="20"/>
      <c r="I66" s="8" t="str">
        <f aca="false">IF(C66="","",IFERROR(INDEX(Disputes!$C$5:$C$1004,MATCH(C66,Disputes!$A$5:$A$1004,0)),IFERROR(INDEX(Batches!$B$5:$B$64,MATCH(C66,Batches!$A$5:$A$64,0)),"")))</f>
        <v/>
      </c>
      <c r="J66" s="17" t="str">
        <f aca="false">IF(B66="","",DATE(YEAR(B66),MONTH(B66),1))</f>
        <v/>
      </c>
    </row>
    <row r="67" customFormat="false" ht="15" hidden="false" customHeight="false" outlineLevel="0" collapsed="false">
      <c r="A67" s="20"/>
      <c r="B67" s="21"/>
      <c r="C67" s="20"/>
      <c r="D67" s="20"/>
      <c r="E67" s="20"/>
      <c r="F67" s="33"/>
      <c r="G67" s="20"/>
      <c r="H67" s="20"/>
      <c r="I67" s="8" t="str">
        <f aca="false">IF(C67="","",IFERROR(INDEX(Disputes!$C$5:$C$1004,MATCH(C67,Disputes!$A$5:$A$1004,0)),IFERROR(INDEX(Batches!$B$5:$B$64,MATCH(C67,Batches!$A$5:$A$64,0)),"")))</f>
        <v/>
      </c>
      <c r="J67" s="17" t="str">
        <f aca="false">IF(B67="","",DATE(YEAR(B67),MONTH(B67),1))</f>
        <v/>
      </c>
    </row>
    <row r="68" customFormat="false" ht="15" hidden="false" customHeight="false" outlineLevel="0" collapsed="false">
      <c r="A68" s="20"/>
      <c r="B68" s="21"/>
      <c r="C68" s="20"/>
      <c r="D68" s="20"/>
      <c r="E68" s="20"/>
      <c r="F68" s="33"/>
      <c r="G68" s="20"/>
      <c r="H68" s="20"/>
      <c r="I68" s="8" t="str">
        <f aca="false">IF(C68="","",IFERROR(INDEX(Disputes!$C$5:$C$1004,MATCH(C68,Disputes!$A$5:$A$1004,0)),IFERROR(INDEX(Batches!$B$5:$B$64,MATCH(C68,Batches!$A$5:$A$64,0)),"")))</f>
        <v/>
      </c>
      <c r="J68" s="17" t="str">
        <f aca="false">IF(B68="","",DATE(YEAR(B68),MONTH(B68),1))</f>
        <v/>
      </c>
    </row>
    <row r="69" customFormat="false" ht="15" hidden="false" customHeight="false" outlineLevel="0" collapsed="false">
      <c r="A69" s="20"/>
      <c r="B69" s="21"/>
      <c r="C69" s="20"/>
      <c r="D69" s="20"/>
      <c r="E69" s="20"/>
      <c r="F69" s="33"/>
      <c r="G69" s="20"/>
      <c r="H69" s="20"/>
      <c r="I69" s="8" t="str">
        <f aca="false">IF(C69="","",IFERROR(INDEX(Disputes!$C$5:$C$1004,MATCH(C69,Disputes!$A$5:$A$1004,0)),IFERROR(INDEX(Batches!$B$5:$B$64,MATCH(C69,Batches!$A$5:$A$64,0)),"")))</f>
        <v/>
      </c>
      <c r="J69" s="17" t="str">
        <f aca="false">IF(B69="","",DATE(YEAR(B69),MONTH(B69),1))</f>
        <v/>
      </c>
    </row>
    <row r="70" customFormat="false" ht="15" hidden="false" customHeight="false" outlineLevel="0" collapsed="false">
      <c r="A70" s="20"/>
      <c r="B70" s="21"/>
      <c r="C70" s="20"/>
      <c r="D70" s="20"/>
      <c r="E70" s="20"/>
      <c r="F70" s="33"/>
      <c r="G70" s="20"/>
      <c r="H70" s="20"/>
      <c r="I70" s="8" t="str">
        <f aca="false">IF(C70="","",IFERROR(INDEX(Disputes!$C$5:$C$1004,MATCH(C70,Disputes!$A$5:$A$1004,0)),IFERROR(INDEX(Batches!$B$5:$B$64,MATCH(C70,Batches!$A$5:$A$64,0)),"")))</f>
        <v/>
      </c>
      <c r="J70" s="17" t="str">
        <f aca="false">IF(B70="","",DATE(YEAR(B70),MONTH(B70),1))</f>
        <v/>
      </c>
    </row>
    <row r="71" customFormat="false" ht="15" hidden="false" customHeight="false" outlineLevel="0" collapsed="false">
      <c r="A71" s="20"/>
      <c r="B71" s="21"/>
      <c r="C71" s="20"/>
      <c r="D71" s="20"/>
      <c r="E71" s="20"/>
      <c r="F71" s="33"/>
      <c r="G71" s="20"/>
      <c r="H71" s="20"/>
      <c r="I71" s="8" t="str">
        <f aca="false">IF(C71="","",IFERROR(INDEX(Disputes!$C$5:$C$1004,MATCH(C71,Disputes!$A$5:$A$1004,0)),IFERROR(INDEX(Batches!$B$5:$B$64,MATCH(C71,Batches!$A$5:$A$64,0)),"")))</f>
        <v/>
      </c>
      <c r="J71" s="17" t="str">
        <f aca="false">IF(B71="","",DATE(YEAR(B71),MONTH(B71),1))</f>
        <v/>
      </c>
    </row>
    <row r="72" customFormat="false" ht="15" hidden="false" customHeight="false" outlineLevel="0" collapsed="false">
      <c r="A72" s="20"/>
      <c r="B72" s="21"/>
      <c r="C72" s="20"/>
      <c r="D72" s="20"/>
      <c r="E72" s="20"/>
      <c r="F72" s="33"/>
      <c r="G72" s="20"/>
      <c r="H72" s="20"/>
      <c r="I72" s="8" t="str">
        <f aca="false">IF(C72="","",IFERROR(INDEX(Disputes!$C$5:$C$1004,MATCH(C72,Disputes!$A$5:$A$1004,0)),IFERROR(INDEX(Batches!$B$5:$B$64,MATCH(C72,Batches!$A$5:$A$64,0)),"")))</f>
        <v/>
      </c>
      <c r="J72" s="17" t="str">
        <f aca="false">IF(B72="","",DATE(YEAR(B72),MONTH(B72),1))</f>
        <v/>
      </c>
    </row>
    <row r="73" customFormat="false" ht="15" hidden="false" customHeight="false" outlineLevel="0" collapsed="false">
      <c r="A73" s="20"/>
      <c r="B73" s="21"/>
      <c r="C73" s="20"/>
      <c r="D73" s="20"/>
      <c r="E73" s="20"/>
      <c r="F73" s="33"/>
      <c r="G73" s="20"/>
      <c r="H73" s="20"/>
      <c r="I73" s="8" t="str">
        <f aca="false">IF(C73="","",IFERROR(INDEX(Disputes!$C$5:$C$1004,MATCH(C73,Disputes!$A$5:$A$1004,0)),IFERROR(INDEX(Batches!$B$5:$B$64,MATCH(C73,Batches!$A$5:$A$64,0)),"")))</f>
        <v/>
      </c>
      <c r="J73" s="17" t="str">
        <f aca="false">IF(B73="","",DATE(YEAR(B73),MONTH(B73),1))</f>
        <v/>
      </c>
    </row>
    <row r="74" customFormat="false" ht="15" hidden="false" customHeight="false" outlineLevel="0" collapsed="false">
      <c r="A74" s="20"/>
      <c r="B74" s="21"/>
      <c r="C74" s="20"/>
      <c r="D74" s="20"/>
      <c r="E74" s="20"/>
      <c r="F74" s="33"/>
      <c r="G74" s="20"/>
      <c r="H74" s="20"/>
      <c r="I74" s="8" t="str">
        <f aca="false">IF(C74="","",IFERROR(INDEX(Disputes!$C$5:$C$1004,MATCH(C74,Disputes!$A$5:$A$1004,0)),IFERROR(INDEX(Batches!$B$5:$B$64,MATCH(C74,Batches!$A$5:$A$64,0)),"")))</f>
        <v/>
      </c>
      <c r="J74" s="17" t="str">
        <f aca="false">IF(B74="","",DATE(YEAR(B74),MONTH(B74),1))</f>
        <v/>
      </c>
    </row>
    <row r="75" customFormat="false" ht="15" hidden="false" customHeight="false" outlineLevel="0" collapsed="false">
      <c r="A75" s="20"/>
      <c r="B75" s="21"/>
      <c r="C75" s="20"/>
      <c r="D75" s="20"/>
      <c r="E75" s="20"/>
      <c r="F75" s="33"/>
      <c r="G75" s="20"/>
      <c r="H75" s="20"/>
      <c r="I75" s="8" t="str">
        <f aca="false">IF(C75="","",IFERROR(INDEX(Disputes!$C$5:$C$1004,MATCH(C75,Disputes!$A$5:$A$1004,0)),IFERROR(INDEX(Batches!$B$5:$B$64,MATCH(C75,Batches!$A$5:$A$64,0)),"")))</f>
        <v/>
      </c>
      <c r="J75" s="17" t="str">
        <f aca="false">IF(B75="","",DATE(YEAR(B75),MONTH(B75),1))</f>
        <v/>
      </c>
    </row>
    <row r="76" customFormat="false" ht="15" hidden="false" customHeight="false" outlineLevel="0" collapsed="false">
      <c r="A76" s="20"/>
      <c r="B76" s="21"/>
      <c r="C76" s="20"/>
      <c r="D76" s="20"/>
      <c r="E76" s="20"/>
      <c r="F76" s="33"/>
      <c r="G76" s="20"/>
      <c r="H76" s="20"/>
      <c r="I76" s="8" t="str">
        <f aca="false">IF(C76="","",IFERROR(INDEX(Disputes!$C$5:$C$1004,MATCH(C76,Disputes!$A$5:$A$1004,0)),IFERROR(INDEX(Batches!$B$5:$B$64,MATCH(C76,Batches!$A$5:$A$64,0)),"")))</f>
        <v/>
      </c>
      <c r="J76" s="17" t="str">
        <f aca="false">IF(B76="","",DATE(YEAR(B76),MONTH(B76),1))</f>
        <v/>
      </c>
    </row>
    <row r="77" customFormat="false" ht="15" hidden="false" customHeight="false" outlineLevel="0" collapsed="false">
      <c r="A77" s="20"/>
      <c r="B77" s="21"/>
      <c r="C77" s="20"/>
      <c r="D77" s="20"/>
      <c r="E77" s="20"/>
      <c r="F77" s="33"/>
      <c r="G77" s="20"/>
      <c r="H77" s="20"/>
      <c r="I77" s="8" t="str">
        <f aca="false">IF(C77="","",IFERROR(INDEX(Disputes!$C$5:$C$1004,MATCH(C77,Disputes!$A$5:$A$1004,0)),IFERROR(INDEX(Batches!$B$5:$B$64,MATCH(C77,Batches!$A$5:$A$64,0)),"")))</f>
        <v/>
      </c>
      <c r="J77" s="17" t="str">
        <f aca="false">IF(B77="","",DATE(YEAR(B77),MONTH(B77),1))</f>
        <v/>
      </c>
    </row>
    <row r="78" customFormat="false" ht="15" hidden="false" customHeight="false" outlineLevel="0" collapsed="false">
      <c r="A78" s="20"/>
      <c r="B78" s="21"/>
      <c r="C78" s="20"/>
      <c r="D78" s="20"/>
      <c r="E78" s="20"/>
      <c r="F78" s="33"/>
      <c r="G78" s="20"/>
      <c r="H78" s="20"/>
      <c r="I78" s="8" t="str">
        <f aca="false">IF(C78="","",IFERROR(INDEX(Disputes!$C$5:$C$1004,MATCH(C78,Disputes!$A$5:$A$1004,0)),IFERROR(INDEX(Batches!$B$5:$B$64,MATCH(C78,Batches!$A$5:$A$64,0)),"")))</f>
        <v/>
      </c>
      <c r="J78" s="17" t="str">
        <f aca="false">IF(B78="","",DATE(YEAR(B78),MONTH(B78),1))</f>
        <v/>
      </c>
    </row>
    <row r="79" customFormat="false" ht="15" hidden="false" customHeight="false" outlineLevel="0" collapsed="false">
      <c r="A79" s="20"/>
      <c r="B79" s="21"/>
      <c r="C79" s="20"/>
      <c r="D79" s="20"/>
      <c r="E79" s="20"/>
      <c r="F79" s="33"/>
      <c r="G79" s="20"/>
      <c r="H79" s="20"/>
      <c r="I79" s="8" t="str">
        <f aca="false">IF(C79="","",IFERROR(INDEX(Disputes!$C$5:$C$1004,MATCH(C79,Disputes!$A$5:$A$1004,0)),IFERROR(INDEX(Batches!$B$5:$B$64,MATCH(C79,Batches!$A$5:$A$64,0)),"")))</f>
        <v/>
      </c>
      <c r="J79" s="17" t="str">
        <f aca="false">IF(B79="","",DATE(YEAR(B79),MONTH(B79),1))</f>
        <v/>
      </c>
    </row>
    <row r="80" customFormat="false" ht="15" hidden="false" customHeight="false" outlineLevel="0" collapsed="false">
      <c r="A80" s="20"/>
      <c r="B80" s="21"/>
      <c r="C80" s="20"/>
      <c r="D80" s="20"/>
      <c r="E80" s="20"/>
      <c r="F80" s="33"/>
      <c r="G80" s="20"/>
      <c r="H80" s="20"/>
      <c r="I80" s="8" t="str">
        <f aca="false">IF(C80="","",IFERROR(INDEX(Disputes!$C$5:$C$1004,MATCH(C80,Disputes!$A$5:$A$1004,0)),IFERROR(INDEX(Batches!$B$5:$B$64,MATCH(C80,Batches!$A$5:$A$64,0)),"")))</f>
        <v/>
      </c>
      <c r="J80" s="17" t="str">
        <f aca="false">IF(B80="","",DATE(YEAR(B80),MONTH(B80),1))</f>
        <v/>
      </c>
    </row>
    <row r="81" customFormat="false" ht="15" hidden="false" customHeight="false" outlineLevel="0" collapsed="false">
      <c r="A81" s="20"/>
      <c r="B81" s="21"/>
      <c r="C81" s="20"/>
      <c r="D81" s="20"/>
      <c r="E81" s="20"/>
      <c r="F81" s="33"/>
      <c r="G81" s="20"/>
      <c r="H81" s="20"/>
      <c r="I81" s="8" t="str">
        <f aca="false">IF(C81="","",IFERROR(INDEX(Disputes!$C$5:$C$1004,MATCH(C81,Disputes!$A$5:$A$1004,0)),IFERROR(INDEX(Batches!$B$5:$B$64,MATCH(C81,Batches!$A$5:$A$64,0)),"")))</f>
        <v/>
      </c>
      <c r="J81" s="17" t="str">
        <f aca="false">IF(B81="","",DATE(YEAR(B81),MONTH(B81),1))</f>
        <v/>
      </c>
    </row>
    <row r="82" customFormat="false" ht="15" hidden="false" customHeight="false" outlineLevel="0" collapsed="false">
      <c r="A82" s="20"/>
      <c r="B82" s="21"/>
      <c r="C82" s="20"/>
      <c r="D82" s="20"/>
      <c r="E82" s="20"/>
      <c r="F82" s="33"/>
      <c r="G82" s="20"/>
      <c r="H82" s="20"/>
      <c r="I82" s="8" t="str">
        <f aca="false">IF(C82="","",IFERROR(INDEX(Disputes!$C$5:$C$1004,MATCH(C82,Disputes!$A$5:$A$1004,0)),IFERROR(INDEX(Batches!$B$5:$B$64,MATCH(C82,Batches!$A$5:$A$64,0)),"")))</f>
        <v/>
      </c>
      <c r="J82" s="17" t="str">
        <f aca="false">IF(B82="","",DATE(YEAR(B82),MONTH(B82),1))</f>
        <v/>
      </c>
    </row>
    <row r="83" customFormat="false" ht="15" hidden="false" customHeight="false" outlineLevel="0" collapsed="false">
      <c r="A83" s="20"/>
      <c r="B83" s="21"/>
      <c r="C83" s="20"/>
      <c r="D83" s="20"/>
      <c r="E83" s="20"/>
      <c r="F83" s="33"/>
      <c r="G83" s="20"/>
      <c r="H83" s="20"/>
      <c r="I83" s="8" t="str">
        <f aca="false">IF(C83="","",IFERROR(INDEX(Disputes!$C$5:$C$1004,MATCH(C83,Disputes!$A$5:$A$1004,0)),IFERROR(INDEX(Batches!$B$5:$B$64,MATCH(C83,Batches!$A$5:$A$64,0)),"")))</f>
        <v/>
      </c>
      <c r="J83" s="17" t="str">
        <f aca="false">IF(B83="","",DATE(YEAR(B83),MONTH(B83),1))</f>
        <v/>
      </c>
    </row>
    <row r="84" customFormat="false" ht="15" hidden="false" customHeight="false" outlineLevel="0" collapsed="false">
      <c r="A84" s="20"/>
      <c r="B84" s="21"/>
      <c r="C84" s="20"/>
      <c r="D84" s="20"/>
      <c r="E84" s="20"/>
      <c r="F84" s="33"/>
      <c r="G84" s="20"/>
      <c r="H84" s="20"/>
      <c r="I84" s="8" t="str">
        <f aca="false">IF(C84="","",IFERROR(INDEX(Disputes!$C$5:$C$1004,MATCH(C84,Disputes!$A$5:$A$1004,0)),IFERROR(INDEX(Batches!$B$5:$B$64,MATCH(C84,Batches!$A$5:$A$64,0)),"")))</f>
        <v/>
      </c>
      <c r="J84" s="17" t="str">
        <f aca="false">IF(B84="","",DATE(YEAR(B84),MONTH(B84),1))</f>
        <v/>
      </c>
    </row>
    <row r="85" customFormat="false" ht="15" hidden="false" customHeight="false" outlineLevel="0" collapsed="false">
      <c r="A85" s="20"/>
      <c r="B85" s="21"/>
      <c r="C85" s="20"/>
      <c r="D85" s="20"/>
      <c r="E85" s="20"/>
      <c r="F85" s="33"/>
      <c r="G85" s="20"/>
      <c r="H85" s="20"/>
      <c r="I85" s="8" t="str">
        <f aca="false">IF(C85="","",IFERROR(INDEX(Disputes!$C$5:$C$1004,MATCH(C85,Disputes!$A$5:$A$1004,0)),IFERROR(INDEX(Batches!$B$5:$B$64,MATCH(C85,Batches!$A$5:$A$64,0)),"")))</f>
        <v/>
      </c>
      <c r="J85" s="17" t="str">
        <f aca="false">IF(B85="","",DATE(YEAR(B85),MONTH(B85),1))</f>
        <v/>
      </c>
    </row>
    <row r="86" customFormat="false" ht="15" hidden="false" customHeight="false" outlineLevel="0" collapsed="false">
      <c r="A86" s="20"/>
      <c r="B86" s="21"/>
      <c r="C86" s="20"/>
      <c r="D86" s="20"/>
      <c r="E86" s="20"/>
      <c r="F86" s="33"/>
      <c r="G86" s="20"/>
      <c r="H86" s="20"/>
      <c r="I86" s="8" t="str">
        <f aca="false">IF(C86="","",IFERROR(INDEX(Disputes!$C$5:$C$1004,MATCH(C86,Disputes!$A$5:$A$1004,0)),IFERROR(INDEX(Batches!$B$5:$B$64,MATCH(C86,Batches!$A$5:$A$64,0)),"")))</f>
        <v/>
      </c>
      <c r="J86" s="17" t="str">
        <f aca="false">IF(B86="","",DATE(YEAR(B86),MONTH(B86),1))</f>
        <v/>
      </c>
    </row>
    <row r="87" customFormat="false" ht="15" hidden="false" customHeight="false" outlineLevel="0" collapsed="false">
      <c r="A87" s="20"/>
      <c r="B87" s="21"/>
      <c r="C87" s="20"/>
      <c r="D87" s="20"/>
      <c r="E87" s="20"/>
      <c r="F87" s="33"/>
      <c r="G87" s="20"/>
      <c r="H87" s="20"/>
      <c r="I87" s="8" t="str">
        <f aca="false">IF(C87="","",IFERROR(INDEX(Disputes!$C$5:$C$1004,MATCH(C87,Disputes!$A$5:$A$1004,0)),IFERROR(INDEX(Batches!$B$5:$B$64,MATCH(C87,Batches!$A$5:$A$64,0)),"")))</f>
        <v/>
      </c>
      <c r="J87" s="17" t="str">
        <f aca="false">IF(B87="","",DATE(YEAR(B87),MONTH(B87),1))</f>
        <v/>
      </c>
    </row>
    <row r="88" customFormat="false" ht="15" hidden="false" customHeight="false" outlineLevel="0" collapsed="false">
      <c r="A88" s="20"/>
      <c r="B88" s="21"/>
      <c r="C88" s="20"/>
      <c r="D88" s="20"/>
      <c r="E88" s="20"/>
      <c r="F88" s="33"/>
      <c r="G88" s="20"/>
      <c r="H88" s="20"/>
      <c r="I88" s="8" t="str">
        <f aca="false">IF(C88="","",IFERROR(INDEX(Disputes!$C$5:$C$1004,MATCH(C88,Disputes!$A$5:$A$1004,0)),IFERROR(INDEX(Batches!$B$5:$B$64,MATCH(C88,Batches!$A$5:$A$64,0)),"")))</f>
        <v/>
      </c>
      <c r="J88" s="17" t="str">
        <f aca="false">IF(B88="","",DATE(YEAR(B88),MONTH(B88),1))</f>
        <v/>
      </c>
    </row>
    <row r="89" customFormat="false" ht="15" hidden="false" customHeight="false" outlineLevel="0" collapsed="false">
      <c r="A89" s="20"/>
      <c r="B89" s="21"/>
      <c r="C89" s="20"/>
      <c r="D89" s="20"/>
      <c r="E89" s="20"/>
      <c r="F89" s="33"/>
      <c r="G89" s="20"/>
      <c r="H89" s="20"/>
      <c r="I89" s="8" t="str">
        <f aca="false">IF(C89="","",IFERROR(INDEX(Disputes!$C$5:$C$1004,MATCH(C89,Disputes!$A$5:$A$1004,0)),IFERROR(INDEX(Batches!$B$5:$B$64,MATCH(C89,Batches!$A$5:$A$64,0)),"")))</f>
        <v/>
      </c>
      <c r="J89" s="17" t="str">
        <f aca="false">IF(B89="","",DATE(YEAR(B89),MONTH(B89),1))</f>
        <v/>
      </c>
    </row>
    <row r="90" customFormat="false" ht="15" hidden="false" customHeight="false" outlineLevel="0" collapsed="false">
      <c r="A90" s="20"/>
      <c r="B90" s="21"/>
      <c r="C90" s="20"/>
      <c r="D90" s="20"/>
      <c r="E90" s="20"/>
      <c r="F90" s="33"/>
      <c r="G90" s="20"/>
      <c r="H90" s="20"/>
      <c r="I90" s="8" t="str">
        <f aca="false">IF(C90="","",IFERROR(INDEX(Disputes!$C$5:$C$1004,MATCH(C90,Disputes!$A$5:$A$1004,0)),IFERROR(INDEX(Batches!$B$5:$B$64,MATCH(C90,Batches!$A$5:$A$64,0)),"")))</f>
        <v/>
      </c>
      <c r="J90" s="17" t="str">
        <f aca="false">IF(B90="","",DATE(YEAR(B90),MONTH(B90),1))</f>
        <v/>
      </c>
    </row>
    <row r="91" customFormat="false" ht="15" hidden="false" customHeight="false" outlineLevel="0" collapsed="false">
      <c r="A91" s="20"/>
      <c r="B91" s="21"/>
      <c r="C91" s="20"/>
      <c r="D91" s="20"/>
      <c r="E91" s="20"/>
      <c r="F91" s="33"/>
      <c r="G91" s="20"/>
      <c r="H91" s="20"/>
      <c r="I91" s="8" t="str">
        <f aca="false">IF(C91="","",IFERROR(INDEX(Disputes!$C$5:$C$1004,MATCH(C91,Disputes!$A$5:$A$1004,0)),IFERROR(INDEX(Batches!$B$5:$B$64,MATCH(C91,Batches!$A$5:$A$64,0)),"")))</f>
        <v/>
      </c>
      <c r="J91" s="17" t="str">
        <f aca="false">IF(B91="","",DATE(YEAR(B91),MONTH(B91),1))</f>
        <v/>
      </c>
    </row>
    <row r="92" customFormat="false" ht="15" hidden="false" customHeight="false" outlineLevel="0" collapsed="false">
      <c r="A92" s="20"/>
      <c r="B92" s="21"/>
      <c r="C92" s="20"/>
      <c r="D92" s="20"/>
      <c r="E92" s="20"/>
      <c r="F92" s="33"/>
      <c r="G92" s="20"/>
      <c r="H92" s="20"/>
      <c r="I92" s="8" t="str">
        <f aca="false">IF(C92="","",IFERROR(INDEX(Disputes!$C$5:$C$1004,MATCH(C92,Disputes!$A$5:$A$1004,0)),IFERROR(INDEX(Batches!$B$5:$B$64,MATCH(C92,Batches!$A$5:$A$64,0)),"")))</f>
        <v/>
      </c>
      <c r="J92" s="17" t="str">
        <f aca="false">IF(B92="","",DATE(YEAR(B92),MONTH(B92),1))</f>
        <v/>
      </c>
    </row>
    <row r="93" customFormat="false" ht="15" hidden="false" customHeight="false" outlineLevel="0" collapsed="false">
      <c r="A93" s="20"/>
      <c r="B93" s="21"/>
      <c r="C93" s="20"/>
      <c r="D93" s="20"/>
      <c r="E93" s="20"/>
      <c r="F93" s="33"/>
      <c r="G93" s="20"/>
      <c r="H93" s="20"/>
      <c r="I93" s="8" t="str">
        <f aca="false">IF(C93="","",IFERROR(INDEX(Disputes!$C$5:$C$1004,MATCH(C93,Disputes!$A$5:$A$1004,0)),IFERROR(INDEX(Batches!$B$5:$B$64,MATCH(C93,Batches!$A$5:$A$64,0)),"")))</f>
        <v/>
      </c>
      <c r="J93" s="17" t="str">
        <f aca="false">IF(B93="","",DATE(YEAR(B93),MONTH(B93),1))</f>
        <v/>
      </c>
    </row>
    <row r="94" customFormat="false" ht="15" hidden="false" customHeight="false" outlineLevel="0" collapsed="false">
      <c r="A94" s="20"/>
      <c r="B94" s="21"/>
      <c r="C94" s="20"/>
      <c r="D94" s="20"/>
      <c r="E94" s="20"/>
      <c r="F94" s="33"/>
      <c r="G94" s="20"/>
      <c r="H94" s="20"/>
      <c r="I94" s="8" t="str">
        <f aca="false">IF(C94="","",IFERROR(INDEX(Disputes!$C$5:$C$1004,MATCH(C94,Disputes!$A$5:$A$1004,0)),IFERROR(INDEX(Batches!$B$5:$B$64,MATCH(C94,Batches!$A$5:$A$64,0)),"")))</f>
        <v/>
      </c>
      <c r="J94" s="17" t="str">
        <f aca="false">IF(B94="","",DATE(YEAR(B94),MONTH(B94),1))</f>
        <v/>
      </c>
    </row>
    <row r="95" customFormat="false" ht="15" hidden="false" customHeight="false" outlineLevel="0" collapsed="false">
      <c r="A95" s="20"/>
      <c r="B95" s="21"/>
      <c r="C95" s="20"/>
      <c r="D95" s="20"/>
      <c r="E95" s="20"/>
      <c r="F95" s="33"/>
      <c r="G95" s="20"/>
      <c r="H95" s="20"/>
      <c r="I95" s="8" t="str">
        <f aca="false">IF(C95="","",IFERROR(INDEX(Disputes!$C$5:$C$1004,MATCH(C95,Disputes!$A$5:$A$1004,0)),IFERROR(INDEX(Batches!$B$5:$B$64,MATCH(C95,Batches!$A$5:$A$64,0)),"")))</f>
        <v/>
      </c>
      <c r="J95" s="17" t="str">
        <f aca="false">IF(B95="","",DATE(YEAR(B95),MONTH(B95),1))</f>
        <v/>
      </c>
    </row>
    <row r="96" customFormat="false" ht="15" hidden="false" customHeight="false" outlineLevel="0" collapsed="false">
      <c r="A96" s="20"/>
      <c r="B96" s="21"/>
      <c r="C96" s="20"/>
      <c r="D96" s="20"/>
      <c r="E96" s="20"/>
      <c r="F96" s="33"/>
      <c r="G96" s="20"/>
      <c r="H96" s="20"/>
      <c r="I96" s="8" t="str">
        <f aca="false">IF(C96="","",IFERROR(INDEX(Disputes!$C$5:$C$1004,MATCH(C96,Disputes!$A$5:$A$1004,0)),IFERROR(INDEX(Batches!$B$5:$B$64,MATCH(C96,Batches!$A$5:$A$64,0)),"")))</f>
        <v/>
      </c>
      <c r="J96" s="17" t="str">
        <f aca="false">IF(B96="","",DATE(YEAR(B96),MONTH(B96),1))</f>
        <v/>
      </c>
    </row>
    <row r="97" customFormat="false" ht="15" hidden="false" customHeight="false" outlineLevel="0" collapsed="false">
      <c r="A97" s="20"/>
      <c r="B97" s="21"/>
      <c r="C97" s="20"/>
      <c r="D97" s="20"/>
      <c r="E97" s="20"/>
      <c r="F97" s="33"/>
      <c r="G97" s="20"/>
      <c r="H97" s="20"/>
      <c r="I97" s="8" t="str">
        <f aca="false">IF(C97="","",IFERROR(INDEX(Disputes!$C$5:$C$1004,MATCH(C97,Disputes!$A$5:$A$1004,0)),IFERROR(INDEX(Batches!$B$5:$B$64,MATCH(C97,Batches!$A$5:$A$64,0)),"")))</f>
        <v/>
      </c>
      <c r="J97" s="17" t="str">
        <f aca="false">IF(B97="","",DATE(YEAR(B97),MONTH(B97),1))</f>
        <v/>
      </c>
    </row>
    <row r="98" customFormat="false" ht="15" hidden="false" customHeight="false" outlineLevel="0" collapsed="false">
      <c r="A98" s="20"/>
      <c r="B98" s="21"/>
      <c r="C98" s="20"/>
      <c r="D98" s="20"/>
      <c r="E98" s="20"/>
      <c r="F98" s="33"/>
      <c r="G98" s="20"/>
      <c r="H98" s="20"/>
      <c r="I98" s="8" t="str">
        <f aca="false">IF(C98="","",IFERROR(INDEX(Disputes!$C$5:$C$1004,MATCH(C98,Disputes!$A$5:$A$1004,0)),IFERROR(INDEX(Batches!$B$5:$B$64,MATCH(C98,Batches!$A$5:$A$64,0)),"")))</f>
        <v/>
      </c>
      <c r="J98" s="17" t="str">
        <f aca="false">IF(B98="","",DATE(YEAR(B98),MONTH(B98),1))</f>
        <v/>
      </c>
    </row>
    <row r="99" customFormat="false" ht="15" hidden="false" customHeight="false" outlineLevel="0" collapsed="false">
      <c r="A99" s="20"/>
      <c r="B99" s="21"/>
      <c r="C99" s="20"/>
      <c r="D99" s="20"/>
      <c r="E99" s="20"/>
      <c r="F99" s="33"/>
      <c r="G99" s="20"/>
      <c r="H99" s="20"/>
      <c r="I99" s="8" t="str">
        <f aca="false">IF(C99="","",IFERROR(INDEX(Disputes!$C$5:$C$1004,MATCH(C99,Disputes!$A$5:$A$1004,0)),IFERROR(INDEX(Batches!$B$5:$B$64,MATCH(C99,Batches!$A$5:$A$64,0)),"")))</f>
        <v/>
      </c>
      <c r="J99" s="17" t="str">
        <f aca="false">IF(B99="","",DATE(YEAR(B99),MONTH(B99),1))</f>
        <v/>
      </c>
    </row>
    <row r="100" customFormat="false" ht="15" hidden="false" customHeight="false" outlineLevel="0" collapsed="false">
      <c r="A100" s="20"/>
      <c r="B100" s="21"/>
      <c r="C100" s="20"/>
      <c r="D100" s="20"/>
      <c r="E100" s="20"/>
      <c r="F100" s="33"/>
      <c r="G100" s="20"/>
      <c r="H100" s="20"/>
      <c r="I100" s="8" t="str">
        <f aca="false">IF(C100="","",IFERROR(INDEX(Disputes!$C$5:$C$1004,MATCH(C100,Disputes!$A$5:$A$1004,0)),IFERROR(INDEX(Batches!$B$5:$B$64,MATCH(C100,Batches!$A$5:$A$64,0)),"")))</f>
        <v/>
      </c>
      <c r="J100" s="17" t="str">
        <f aca="false">IF(B100="","",DATE(YEAR(B100),MONTH(B100),1))</f>
        <v/>
      </c>
    </row>
    <row r="101" customFormat="false" ht="15" hidden="false" customHeight="false" outlineLevel="0" collapsed="false">
      <c r="A101" s="20"/>
      <c r="B101" s="21"/>
      <c r="C101" s="20"/>
      <c r="D101" s="20"/>
      <c r="E101" s="20"/>
      <c r="F101" s="33"/>
      <c r="G101" s="20"/>
      <c r="H101" s="20"/>
      <c r="I101" s="8" t="str">
        <f aca="false">IF(C101="","",IFERROR(INDEX(Disputes!$C$5:$C$1004,MATCH(C101,Disputes!$A$5:$A$1004,0)),IFERROR(INDEX(Batches!$B$5:$B$64,MATCH(C101,Batches!$A$5:$A$64,0)),"")))</f>
        <v/>
      </c>
      <c r="J101" s="17" t="str">
        <f aca="false">IF(B101="","",DATE(YEAR(B101),MONTH(B101),1))</f>
        <v/>
      </c>
    </row>
    <row r="102" customFormat="false" ht="15" hidden="false" customHeight="false" outlineLevel="0" collapsed="false">
      <c r="A102" s="20"/>
      <c r="B102" s="21"/>
      <c r="C102" s="20"/>
      <c r="D102" s="20"/>
      <c r="E102" s="20"/>
      <c r="F102" s="33"/>
      <c r="G102" s="20"/>
      <c r="H102" s="20"/>
      <c r="I102" s="8" t="str">
        <f aca="false">IF(C102="","",IFERROR(INDEX(Disputes!$C$5:$C$1004,MATCH(C102,Disputes!$A$5:$A$1004,0)),IFERROR(INDEX(Batches!$B$5:$B$64,MATCH(C102,Batches!$A$5:$A$64,0)),"")))</f>
        <v/>
      </c>
      <c r="J102" s="17" t="str">
        <f aca="false">IF(B102="","",DATE(YEAR(B102),MONTH(B102),1))</f>
        <v/>
      </c>
    </row>
    <row r="103" customFormat="false" ht="15" hidden="false" customHeight="false" outlineLevel="0" collapsed="false">
      <c r="A103" s="20"/>
      <c r="B103" s="21"/>
      <c r="C103" s="20"/>
      <c r="D103" s="20"/>
      <c r="E103" s="20"/>
      <c r="F103" s="33"/>
      <c r="G103" s="20"/>
      <c r="H103" s="20"/>
      <c r="I103" s="8" t="str">
        <f aca="false">IF(C103="","",IFERROR(INDEX(Disputes!$C$5:$C$1004,MATCH(C103,Disputes!$A$5:$A$1004,0)),IFERROR(INDEX(Batches!$B$5:$B$64,MATCH(C103,Batches!$A$5:$A$64,0)),"")))</f>
        <v/>
      </c>
      <c r="J103" s="17" t="str">
        <f aca="false">IF(B103="","",DATE(YEAR(B103),MONTH(B103),1))</f>
        <v/>
      </c>
    </row>
    <row r="104" customFormat="false" ht="15" hidden="false" customHeight="false" outlineLevel="0" collapsed="false">
      <c r="A104" s="20"/>
      <c r="B104" s="21"/>
      <c r="C104" s="20"/>
      <c r="D104" s="20"/>
      <c r="E104" s="20"/>
      <c r="F104" s="33"/>
      <c r="G104" s="20"/>
      <c r="H104" s="20"/>
      <c r="I104" s="8" t="str">
        <f aca="false">IF(C104="","",IFERROR(INDEX(Disputes!$C$5:$C$1004,MATCH(C104,Disputes!$A$5:$A$1004,0)),IFERROR(INDEX(Batches!$B$5:$B$64,MATCH(C104,Batches!$A$5:$A$64,0)),"")))</f>
        <v/>
      </c>
      <c r="J104" s="17" t="str">
        <f aca="false">IF(B104="","",DATE(YEAR(B104),MONTH(B104),1))</f>
        <v/>
      </c>
    </row>
    <row r="105" customFormat="false" ht="15" hidden="false" customHeight="false" outlineLevel="0" collapsed="false">
      <c r="A105" s="20"/>
      <c r="B105" s="21"/>
      <c r="C105" s="20"/>
      <c r="D105" s="20"/>
      <c r="E105" s="20"/>
      <c r="F105" s="33"/>
      <c r="G105" s="20"/>
      <c r="H105" s="20"/>
      <c r="I105" s="8" t="str">
        <f aca="false">IF(C105="","",IFERROR(INDEX(Disputes!$C$5:$C$1004,MATCH(C105,Disputes!$A$5:$A$1004,0)),IFERROR(INDEX(Batches!$B$5:$B$64,MATCH(C105,Batches!$A$5:$A$64,0)),"")))</f>
        <v/>
      </c>
      <c r="J105" s="17" t="str">
        <f aca="false">IF(B105="","",DATE(YEAR(B105),MONTH(B105),1))</f>
        <v/>
      </c>
    </row>
    <row r="106" customFormat="false" ht="15" hidden="false" customHeight="false" outlineLevel="0" collapsed="false">
      <c r="A106" s="20"/>
      <c r="B106" s="21"/>
      <c r="C106" s="20"/>
      <c r="D106" s="20"/>
      <c r="E106" s="20"/>
      <c r="F106" s="33"/>
      <c r="G106" s="20"/>
      <c r="H106" s="20"/>
      <c r="I106" s="8" t="str">
        <f aca="false">IF(C106="","",IFERROR(INDEX(Disputes!$C$5:$C$1004,MATCH(C106,Disputes!$A$5:$A$1004,0)),IFERROR(INDEX(Batches!$B$5:$B$64,MATCH(C106,Batches!$A$5:$A$64,0)),"")))</f>
        <v/>
      </c>
      <c r="J106" s="17" t="str">
        <f aca="false">IF(B106="","",DATE(YEAR(B106),MONTH(B106),1))</f>
        <v/>
      </c>
    </row>
    <row r="107" customFormat="false" ht="15" hidden="false" customHeight="false" outlineLevel="0" collapsed="false">
      <c r="A107" s="20"/>
      <c r="B107" s="21"/>
      <c r="C107" s="20"/>
      <c r="D107" s="20"/>
      <c r="E107" s="20"/>
      <c r="F107" s="33"/>
      <c r="G107" s="20"/>
      <c r="H107" s="20"/>
      <c r="I107" s="8" t="str">
        <f aca="false">IF(C107="","",IFERROR(INDEX(Disputes!$C$5:$C$1004,MATCH(C107,Disputes!$A$5:$A$1004,0)),IFERROR(INDEX(Batches!$B$5:$B$64,MATCH(C107,Batches!$A$5:$A$64,0)),"")))</f>
        <v/>
      </c>
      <c r="J107" s="17" t="str">
        <f aca="false">IF(B107="","",DATE(YEAR(B107),MONTH(B107),1))</f>
        <v/>
      </c>
    </row>
    <row r="108" customFormat="false" ht="15" hidden="false" customHeight="false" outlineLevel="0" collapsed="false">
      <c r="A108" s="20"/>
      <c r="B108" s="21"/>
      <c r="C108" s="20"/>
      <c r="D108" s="20"/>
      <c r="E108" s="20"/>
      <c r="F108" s="33"/>
      <c r="G108" s="20"/>
      <c r="H108" s="20"/>
      <c r="I108" s="8" t="str">
        <f aca="false">IF(C108="","",IFERROR(INDEX(Disputes!$C$5:$C$1004,MATCH(C108,Disputes!$A$5:$A$1004,0)),IFERROR(INDEX(Batches!$B$5:$B$64,MATCH(C108,Batches!$A$5:$A$64,0)),"")))</f>
        <v/>
      </c>
      <c r="J108" s="17" t="str">
        <f aca="false">IF(B108="","",DATE(YEAR(B108),MONTH(B108),1))</f>
        <v/>
      </c>
    </row>
    <row r="109" customFormat="false" ht="15" hidden="false" customHeight="false" outlineLevel="0" collapsed="false">
      <c r="A109" s="20"/>
      <c r="B109" s="21"/>
      <c r="C109" s="20"/>
      <c r="D109" s="20"/>
      <c r="E109" s="20"/>
      <c r="F109" s="33"/>
      <c r="G109" s="20"/>
      <c r="H109" s="20"/>
      <c r="I109" s="8" t="str">
        <f aca="false">IF(C109="","",IFERROR(INDEX(Disputes!$C$5:$C$1004,MATCH(C109,Disputes!$A$5:$A$1004,0)),IFERROR(INDEX(Batches!$B$5:$B$64,MATCH(C109,Batches!$A$5:$A$64,0)),"")))</f>
        <v/>
      </c>
      <c r="J109" s="17" t="str">
        <f aca="false">IF(B109="","",DATE(YEAR(B109),MONTH(B109),1))</f>
        <v/>
      </c>
    </row>
    <row r="110" customFormat="false" ht="15" hidden="false" customHeight="false" outlineLevel="0" collapsed="false">
      <c r="A110" s="20"/>
      <c r="B110" s="21"/>
      <c r="C110" s="20"/>
      <c r="D110" s="20"/>
      <c r="E110" s="20"/>
      <c r="F110" s="33"/>
      <c r="G110" s="20"/>
      <c r="H110" s="20"/>
      <c r="I110" s="8" t="str">
        <f aca="false">IF(C110="","",IFERROR(INDEX(Disputes!$C$5:$C$1004,MATCH(C110,Disputes!$A$5:$A$1004,0)),IFERROR(INDEX(Batches!$B$5:$B$64,MATCH(C110,Batches!$A$5:$A$64,0)),"")))</f>
        <v/>
      </c>
      <c r="J110" s="17" t="str">
        <f aca="false">IF(B110="","",DATE(YEAR(B110),MONTH(B110),1))</f>
        <v/>
      </c>
    </row>
    <row r="111" customFormat="false" ht="15" hidden="false" customHeight="false" outlineLevel="0" collapsed="false">
      <c r="A111" s="20"/>
      <c r="B111" s="21"/>
      <c r="C111" s="20"/>
      <c r="D111" s="20"/>
      <c r="E111" s="20"/>
      <c r="F111" s="33"/>
      <c r="G111" s="20"/>
      <c r="H111" s="20"/>
      <c r="I111" s="8" t="str">
        <f aca="false">IF(C111="","",IFERROR(INDEX(Disputes!$C$5:$C$1004,MATCH(C111,Disputes!$A$5:$A$1004,0)),IFERROR(INDEX(Batches!$B$5:$B$64,MATCH(C111,Batches!$A$5:$A$64,0)),"")))</f>
        <v/>
      </c>
      <c r="J111" s="17" t="str">
        <f aca="false">IF(B111="","",DATE(YEAR(B111),MONTH(B111),1))</f>
        <v/>
      </c>
    </row>
    <row r="112" customFormat="false" ht="15" hidden="false" customHeight="false" outlineLevel="0" collapsed="false">
      <c r="A112" s="20"/>
      <c r="B112" s="21"/>
      <c r="C112" s="20"/>
      <c r="D112" s="20"/>
      <c r="E112" s="20"/>
      <c r="F112" s="33"/>
      <c r="G112" s="20"/>
      <c r="H112" s="20"/>
      <c r="I112" s="8" t="str">
        <f aca="false">IF(C112="","",IFERROR(INDEX(Disputes!$C$5:$C$1004,MATCH(C112,Disputes!$A$5:$A$1004,0)),IFERROR(INDEX(Batches!$B$5:$B$64,MATCH(C112,Batches!$A$5:$A$64,0)),"")))</f>
        <v/>
      </c>
      <c r="J112" s="17" t="str">
        <f aca="false">IF(B112="","",DATE(YEAR(B112),MONTH(B112),1))</f>
        <v/>
      </c>
    </row>
    <row r="113" customFormat="false" ht="15" hidden="false" customHeight="false" outlineLevel="0" collapsed="false">
      <c r="A113" s="20"/>
      <c r="B113" s="21"/>
      <c r="C113" s="20"/>
      <c r="D113" s="20"/>
      <c r="E113" s="20"/>
      <c r="F113" s="33"/>
      <c r="G113" s="20"/>
      <c r="H113" s="20"/>
      <c r="I113" s="8" t="str">
        <f aca="false">IF(C113="","",IFERROR(INDEX(Disputes!$C$5:$C$1004,MATCH(C113,Disputes!$A$5:$A$1004,0)),IFERROR(INDEX(Batches!$B$5:$B$64,MATCH(C113,Batches!$A$5:$A$64,0)),"")))</f>
        <v/>
      </c>
      <c r="J113" s="17" t="str">
        <f aca="false">IF(B113="","",DATE(YEAR(B113),MONTH(B113),1))</f>
        <v/>
      </c>
    </row>
    <row r="114" customFormat="false" ht="15" hidden="false" customHeight="false" outlineLevel="0" collapsed="false">
      <c r="A114" s="20"/>
      <c r="B114" s="21"/>
      <c r="C114" s="20"/>
      <c r="D114" s="20"/>
      <c r="E114" s="20"/>
      <c r="F114" s="33"/>
      <c r="G114" s="20"/>
      <c r="H114" s="20"/>
      <c r="I114" s="8" t="str">
        <f aca="false">IF(C114="","",IFERROR(INDEX(Disputes!$C$5:$C$1004,MATCH(C114,Disputes!$A$5:$A$1004,0)),IFERROR(INDEX(Batches!$B$5:$B$64,MATCH(C114,Batches!$A$5:$A$64,0)),"")))</f>
        <v/>
      </c>
      <c r="J114" s="17" t="str">
        <f aca="false">IF(B114="","",DATE(YEAR(B114),MONTH(B114),1))</f>
        <v/>
      </c>
    </row>
    <row r="115" customFormat="false" ht="15" hidden="false" customHeight="false" outlineLevel="0" collapsed="false">
      <c r="A115" s="20"/>
      <c r="B115" s="21"/>
      <c r="C115" s="20"/>
      <c r="D115" s="20"/>
      <c r="E115" s="20"/>
      <c r="F115" s="33"/>
      <c r="G115" s="20"/>
      <c r="H115" s="20"/>
      <c r="I115" s="8" t="str">
        <f aca="false">IF(C115="","",IFERROR(INDEX(Disputes!$C$5:$C$1004,MATCH(C115,Disputes!$A$5:$A$1004,0)),IFERROR(INDEX(Batches!$B$5:$B$64,MATCH(C115,Batches!$A$5:$A$64,0)),"")))</f>
        <v/>
      </c>
      <c r="J115" s="17" t="str">
        <f aca="false">IF(B115="","",DATE(YEAR(B115),MONTH(B115),1))</f>
        <v/>
      </c>
    </row>
    <row r="116" customFormat="false" ht="15" hidden="false" customHeight="false" outlineLevel="0" collapsed="false">
      <c r="A116" s="20"/>
      <c r="B116" s="21"/>
      <c r="C116" s="20"/>
      <c r="D116" s="20"/>
      <c r="E116" s="20"/>
      <c r="F116" s="33"/>
      <c r="G116" s="20"/>
      <c r="H116" s="20"/>
      <c r="I116" s="8" t="str">
        <f aca="false">IF(C116="","",IFERROR(INDEX(Disputes!$C$5:$C$1004,MATCH(C116,Disputes!$A$5:$A$1004,0)),IFERROR(INDEX(Batches!$B$5:$B$64,MATCH(C116,Batches!$A$5:$A$64,0)),"")))</f>
        <v/>
      </c>
      <c r="J116" s="17" t="str">
        <f aca="false">IF(B116="","",DATE(YEAR(B116),MONTH(B116),1))</f>
        <v/>
      </c>
    </row>
    <row r="117" customFormat="false" ht="15" hidden="false" customHeight="false" outlineLevel="0" collapsed="false">
      <c r="A117" s="20"/>
      <c r="B117" s="21"/>
      <c r="C117" s="20"/>
      <c r="D117" s="20"/>
      <c r="E117" s="20"/>
      <c r="F117" s="33"/>
      <c r="G117" s="20"/>
      <c r="H117" s="20"/>
      <c r="I117" s="8" t="str">
        <f aca="false">IF(C117="","",IFERROR(INDEX(Disputes!$C$5:$C$1004,MATCH(C117,Disputes!$A$5:$A$1004,0)),IFERROR(INDEX(Batches!$B$5:$B$64,MATCH(C117,Batches!$A$5:$A$64,0)),"")))</f>
        <v/>
      </c>
      <c r="J117" s="17" t="str">
        <f aca="false">IF(B117="","",DATE(YEAR(B117),MONTH(B117),1))</f>
        <v/>
      </c>
    </row>
    <row r="118" customFormat="false" ht="15" hidden="false" customHeight="false" outlineLevel="0" collapsed="false">
      <c r="A118" s="20"/>
      <c r="B118" s="21"/>
      <c r="C118" s="20"/>
      <c r="D118" s="20"/>
      <c r="E118" s="20"/>
      <c r="F118" s="33"/>
      <c r="G118" s="20"/>
      <c r="H118" s="20"/>
      <c r="I118" s="8" t="str">
        <f aca="false">IF(C118="","",IFERROR(INDEX(Disputes!$C$5:$C$1004,MATCH(C118,Disputes!$A$5:$A$1004,0)),IFERROR(INDEX(Batches!$B$5:$B$64,MATCH(C118,Batches!$A$5:$A$64,0)),"")))</f>
        <v/>
      </c>
      <c r="J118" s="17" t="str">
        <f aca="false">IF(B118="","",DATE(YEAR(B118),MONTH(B118),1))</f>
        <v/>
      </c>
    </row>
    <row r="119" customFormat="false" ht="15" hidden="false" customHeight="false" outlineLevel="0" collapsed="false">
      <c r="A119" s="20"/>
      <c r="B119" s="21"/>
      <c r="C119" s="20"/>
      <c r="D119" s="20"/>
      <c r="E119" s="20"/>
      <c r="F119" s="33"/>
      <c r="G119" s="20"/>
      <c r="H119" s="20"/>
      <c r="I119" s="8" t="str">
        <f aca="false">IF(C119="","",IFERROR(INDEX(Disputes!$C$5:$C$1004,MATCH(C119,Disputes!$A$5:$A$1004,0)),IFERROR(INDEX(Batches!$B$5:$B$64,MATCH(C119,Batches!$A$5:$A$64,0)),"")))</f>
        <v/>
      </c>
      <c r="J119" s="17" t="str">
        <f aca="false">IF(B119="","",DATE(YEAR(B119),MONTH(B119),1))</f>
        <v/>
      </c>
    </row>
    <row r="120" customFormat="false" ht="15" hidden="false" customHeight="false" outlineLevel="0" collapsed="false">
      <c r="A120" s="20"/>
      <c r="B120" s="21"/>
      <c r="C120" s="20"/>
      <c r="D120" s="20"/>
      <c r="E120" s="20"/>
      <c r="F120" s="33"/>
      <c r="G120" s="20"/>
      <c r="H120" s="20"/>
      <c r="I120" s="8" t="str">
        <f aca="false">IF(C120="","",IFERROR(INDEX(Disputes!$C$5:$C$1004,MATCH(C120,Disputes!$A$5:$A$1004,0)),IFERROR(INDEX(Batches!$B$5:$B$64,MATCH(C120,Batches!$A$5:$A$64,0)),"")))</f>
        <v/>
      </c>
      <c r="J120" s="17" t="str">
        <f aca="false">IF(B120="","",DATE(YEAR(B120),MONTH(B120),1))</f>
        <v/>
      </c>
    </row>
    <row r="121" customFormat="false" ht="15" hidden="false" customHeight="false" outlineLevel="0" collapsed="false">
      <c r="A121" s="20"/>
      <c r="B121" s="21"/>
      <c r="C121" s="20"/>
      <c r="D121" s="20"/>
      <c r="E121" s="20"/>
      <c r="F121" s="33"/>
      <c r="G121" s="20"/>
      <c r="H121" s="20"/>
      <c r="I121" s="8" t="str">
        <f aca="false">IF(C121="","",IFERROR(INDEX(Disputes!$C$5:$C$1004,MATCH(C121,Disputes!$A$5:$A$1004,0)),IFERROR(INDEX(Batches!$B$5:$B$64,MATCH(C121,Batches!$A$5:$A$64,0)),"")))</f>
        <v/>
      </c>
      <c r="J121" s="17" t="str">
        <f aca="false">IF(B121="","",DATE(YEAR(B121),MONTH(B121),1))</f>
        <v/>
      </c>
    </row>
    <row r="122" customFormat="false" ht="15" hidden="false" customHeight="false" outlineLevel="0" collapsed="false">
      <c r="A122" s="20"/>
      <c r="B122" s="21"/>
      <c r="C122" s="20"/>
      <c r="D122" s="20"/>
      <c r="E122" s="20"/>
      <c r="F122" s="33"/>
      <c r="G122" s="20"/>
      <c r="H122" s="20"/>
      <c r="I122" s="8" t="str">
        <f aca="false">IF(C122="","",IFERROR(INDEX(Disputes!$C$5:$C$1004,MATCH(C122,Disputes!$A$5:$A$1004,0)),IFERROR(INDEX(Batches!$B$5:$B$64,MATCH(C122,Batches!$A$5:$A$64,0)),"")))</f>
        <v/>
      </c>
      <c r="J122" s="17" t="str">
        <f aca="false">IF(B122="","",DATE(YEAR(B122),MONTH(B122),1))</f>
        <v/>
      </c>
    </row>
    <row r="123" customFormat="false" ht="15" hidden="false" customHeight="false" outlineLevel="0" collapsed="false">
      <c r="A123" s="20"/>
      <c r="B123" s="21"/>
      <c r="C123" s="20"/>
      <c r="D123" s="20"/>
      <c r="E123" s="20"/>
      <c r="F123" s="33"/>
      <c r="G123" s="20"/>
      <c r="H123" s="20"/>
      <c r="I123" s="8" t="str">
        <f aca="false">IF(C123="","",IFERROR(INDEX(Disputes!$C$5:$C$1004,MATCH(C123,Disputes!$A$5:$A$1004,0)),IFERROR(INDEX(Batches!$B$5:$B$64,MATCH(C123,Batches!$A$5:$A$64,0)),"")))</f>
        <v/>
      </c>
      <c r="J123" s="17" t="str">
        <f aca="false">IF(B123="","",DATE(YEAR(B123),MONTH(B123),1))</f>
        <v/>
      </c>
    </row>
    <row r="124" customFormat="false" ht="15" hidden="false" customHeight="false" outlineLevel="0" collapsed="false">
      <c r="A124" s="20"/>
      <c r="B124" s="21"/>
      <c r="C124" s="20"/>
      <c r="D124" s="20"/>
      <c r="E124" s="20"/>
      <c r="F124" s="33"/>
      <c r="G124" s="20"/>
      <c r="H124" s="20"/>
      <c r="I124" s="8" t="str">
        <f aca="false">IF(C124="","",IFERROR(INDEX(Disputes!$C$5:$C$1004,MATCH(C124,Disputes!$A$5:$A$1004,0)),IFERROR(INDEX(Batches!$B$5:$B$64,MATCH(C124,Batches!$A$5:$A$64,0)),"")))</f>
        <v/>
      </c>
      <c r="J124" s="17" t="str">
        <f aca="false">IF(B124="","",DATE(YEAR(B124),MONTH(B124),1))</f>
        <v/>
      </c>
    </row>
    <row r="125" customFormat="false" ht="15" hidden="false" customHeight="false" outlineLevel="0" collapsed="false">
      <c r="A125" s="20"/>
      <c r="B125" s="21"/>
      <c r="C125" s="20"/>
      <c r="D125" s="20"/>
      <c r="E125" s="20"/>
      <c r="F125" s="33"/>
      <c r="G125" s="20"/>
      <c r="H125" s="20"/>
      <c r="I125" s="8" t="str">
        <f aca="false">IF(C125="","",IFERROR(INDEX(Disputes!$C$5:$C$1004,MATCH(C125,Disputes!$A$5:$A$1004,0)),IFERROR(INDEX(Batches!$B$5:$B$64,MATCH(C125,Batches!$A$5:$A$64,0)),"")))</f>
        <v/>
      </c>
      <c r="J125" s="17" t="str">
        <f aca="false">IF(B125="","",DATE(YEAR(B125),MONTH(B125),1))</f>
        <v/>
      </c>
    </row>
    <row r="126" customFormat="false" ht="15" hidden="false" customHeight="false" outlineLevel="0" collapsed="false">
      <c r="A126" s="20"/>
      <c r="B126" s="21"/>
      <c r="C126" s="20"/>
      <c r="D126" s="20"/>
      <c r="E126" s="20"/>
      <c r="F126" s="33"/>
      <c r="G126" s="20"/>
      <c r="H126" s="20"/>
      <c r="I126" s="8" t="str">
        <f aca="false">IF(C126="","",IFERROR(INDEX(Disputes!$C$5:$C$1004,MATCH(C126,Disputes!$A$5:$A$1004,0)),IFERROR(INDEX(Batches!$B$5:$B$64,MATCH(C126,Batches!$A$5:$A$64,0)),"")))</f>
        <v/>
      </c>
      <c r="J126" s="17" t="str">
        <f aca="false">IF(B126="","",DATE(YEAR(B126),MONTH(B126),1))</f>
        <v/>
      </c>
    </row>
    <row r="127" customFormat="false" ht="15" hidden="false" customHeight="false" outlineLevel="0" collapsed="false">
      <c r="A127" s="20"/>
      <c r="B127" s="21"/>
      <c r="C127" s="20"/>
      <c r="D127" s="20"/>
      <c r="E127" s="20"/>
      <c r="F127" s="33"/>
      <c r="G127" s="20"/>
      <c r="H127" s="20"/>
      <c r="I127" s="8" t="str">
        <f aca="false">IF(C127="","",IFERROR(INDEX(Disputes!$C$5:$C$1004,MATCH(C127,Disputes!$A$5:$A$1004,0)),IFERROR(INDEX(Batches!$B$5:$B$64,MATCH(C127,Batches!$A$5:$A$64,0)),"")))</f>
        <v/>
      </c>
      <c r="J127" s="17" t="str">
        <f aca="false">IF(B127="","",DATE(YEAR(B127),MONTH(B127),1))</f>
        <v/>
      </c>
    </row>
    <row r="128" customFormat="false" ht="15" hidden="false" customHeight="false" outlineLevel="0" collapsed="false">
      <c r="A128" s="20"/>
      <c r="B128" s="21"/>
      <c r="C128" s="20"/>
      <c r="D128" s="20"/>
      <c r="E128" s="20"/>
      <c r="F128" s="33"/>
      <c r="G128" s="20"/>
      <c r="H128" s="20"/>
      <c r="I128" s="8" t="str">
        <f aca="false">IF(C128="","",IFERROR(INDEX(Disputes!$C$5:$C$1004,MATCH(C128,Disputes!$A$5:$A$1004,0)),IFERROR(INDEX(Batches!$B$5:$B$64,MATCH(C128,Batches!$A$5:$A$64,0)),"")))</f>
        <v/>
      </c>
      <c r="J128" s="17" t="str">
        <f aca="false">IF(B128="","",DATE(YEAR(B128),MONTH(B128),1))</f>
        <v/>
      </c>
    </row>
    <row r="129" customFormat="false" ht="15" hidden="false" customHeight="false" outlineLevel="0" collapsed="false">
      <c r="A129" s="20"/>
      <c r="B129" s="21"/>
      <c r="C129" s="20"/>
      <c r="D129" s="20"/>
      <c r="E129" s="20"/>
      <c r="F129" s="33"/>
      <c r="G129" s="20"/>
      <c r="H129" s="20"/>
      <c r="I129" s="8" t="str">
        <f aca="false">IF(C129="","",IFERROR(INDEX(Disputes!$C$5:$C$1004,MATCH(C129,Disputes!$A$5:$A$1004,0)),IFERROR(INDEX(Batches!$B$5:$B$64,MATCH(C129,Batches!$A$5:$A$64,0)),"")))</f>
        <v/>
      </c>
      <c r="J129" s="17" t="str">
        <f aca="false">IF(B129="","",DATE(YEAR(B129),MONTH(B129),1))</f>
        <v/>
      </c>
    </row>
    <row r="130" customFormat="false" ht="15" hidden="false" customHeight="false" outlineLevel="0" collapsed="false">
      <c r="A130" s="20"/>
      <c r="B130" s="21"/>
      <c r="C130" s="20"/>
      <c r="D130" s="20"/>
      <c r="E130" s="20"/>
      <c r="F130" s="33"/>
      <c r="G130" s="20"/>
      <c r="H130" s="20"/>
      <c r="I130" s="8" t="str">
        <f aca="false">IF(C130="","",IFERROR(INDEX(Disputes!$C$5:$C$1004,MATCH(C130,Disputes!$A$5:$A$1004,0)),IFERROR(INDEX(Batches!$B$5:$B$64,MATCH(C130,Batches!$A$5:$A$64,0)),"")))</f>
        <v/>
      </c>
      <c r="J130" s="17" t="str">
        <f aca="false">IF(B130="","",DATE(YEAR(B130),MONTH(B130),1))</f>
        <v/>
      </c>
    </row>
    <row r="131" customFormat="false" ht="15" hidden="false" customHeight="false" outlineLevel="0" collapsed="false">
      <c r="A131" s="20"/>
      <c r="B131" s="21"/>
      <c r="C131" s="20"/>
      <c r="D131" s="20"/>
      <c r="E131" s="20"/>
      <c r="F131" s="33"/>
      <c r="G131" s="20"/>
      <c r="H131" s="20"/>
      <c r="I131" s="8" t="str">
        <f aca="false">IF(C131="","",IFERROR(INDEX(Disputes!$C$5:$C$1004,MATCH(C131,Disputes!$A$5:$A$1004,0)),IFERROR(INDEX(Batches!$B$5:$B$64,MATCH(C131,Batches!$A$5:$A$64,0)),"")))</f>
        <v/>
      </c>
      <c r="J131" s="17" t="str">
        <f aca="false">IF(B131="","",DATE(YEAR(B131),MONTH(B131),1))</f>
        <v/>
      </c>
    </row>
    <row r="132" customFormat="false" ht="15" hidden="false" customHeight="false" outlineLevel="0" collapsed="false">
      <c r="A132" s="20"/>
      <c r="B132" s="21"/>
      <c r="C132" s="20"/>
      <c r="D132" s="20"/>
      <c r="E132" s="20"/>
      <c r="F132" s="33"/>
      <c r="G132" s="20"/>
      <c r="H132" s="20"/>
      <c r="I132" s="8" t="str">
        <f aca="false">IF(C132="","",IFERROR(INDEX(Disputes!$C$5:$C$1004,MATCH(C132,Disputes!$A$5:$A$1004,0)),IFERROR(INDEX(Batches!$B$5:$B$64,MATCH(C132,Batches!$A$5:$A$64,0)),"")))</f>
        <v/>
      </c>
      <c r="J132" s="17" t="str">
        <f aca="false">IF(B132="","",DATE(YEAR(B132),MONTH(B132),1))</f>
        <v/>
      </c>
    </row>
    <row r="133" customFormat="false" ht="15" hidden="false" customHeight="false" outlineLevel="0" collapsed="false">
      <c r="A133" s="20"/>
      <c r="B133" s="21"/>
      <c r="C133" s="20"/>
      <c r="D133" s="20"/>
      <c r="E133" s="20"/>
      <c r="F133" s="33"/>
      <c r="G133" s="20"/>
      <c r="H133" s="20"/>
      <c r="I133" s="8" t="str">
        <f aca="false">IF(C133="","",IFERROR(INDEX(Disputes!$C$5:$C$1004,MATCH(C133,Disputes!$A$5:$A$1004,0)),IFERROR(INDEX(Batches!$B$5:$B$64,MATCH(C133,Batches!$A$5:$A$64,0)),"")))</f>
        <v/>
      </c>
      <c r="J133" s="17" t="str">
        <f aca="false">IF(B133="","",DATE(YEAR(B133),MONTH(B133),1))</f>
        <v/>
      </c>
    </row>
    <row r="134" customFormat="false" ht="15" hidden="false" customHeight="false" outlineLevel="0" collapsed="false">
      <c r="A134" s="20"/>
      <c r="B134" s="21"/>
      <c r="C134" s="20"/>
      <c r="D134" s="20"/>
      <c r="E134" s="20"/>
      <c r="F134" s="33"/>
      <c r="G134" s="20"/>
      <c r="H134" s="20"/>
      <c r="I134" s="8" t="str">
        <f aca="false">IF(C134="","",IFERROR(INDEX(Disputes!$C$5:$C$1004,MATCH(C134,Disputes!$A$5:$A$1004,0)),IFERROR(INDEX(Batches!$B$5:$B$64,MATCH(C134,Batches!$A$5:$A$64,0)),"")))</f>
        <v/>
      </c>
      <c r="J134" s="17" t="str">
        <f aca="false">IF(B134="","",DATE(YEAR(B134),MONTH(B134),1))</f>
        <v/>
      </c>
    </row>
    <row r="135" customFormat="false" ht="15" hidden="false" customHeight="false" outlineLevel="0" collapsed="false">
      <c r="A135" s="20"/>
      <c r="B135" s="21"/>
      <c r="C135" s="20"/>
      <c r="D135" s="20"/>
      <c r="E135" s="20"/>
      <c r="F135" s="33"/>
      <c r="G135" s="20"/>
      <c r="H135" s="20"/>
      <c r="I135" s="8" t="str">
        <f aca="false">IF(C135="","",IFERROR(INDEX(Disputes!$C$5:$C$1004,MATCH(C135,Disputes!$A$5:$A$1004,0)),IFERROR(INDEX(Batches!$B$5:$B$64,MATCH(C135,Batches!$A$5:$A$64,0)),"")))</f>
        <v/>
      </c>
      <c r="J135" s="17" t="str">
        <f aca="false">IF(B135="","",DATE(YEAR(B135),MONTH(B135),1))</f>
        <v/>
      </c>
    </row>
    <row r="136" customFormat="false" ht="15" hidden="false" customHeight="false" outlineLevel="0" collapsed="false">
      <c r="A136" s="20"/>
      <c r="B136" s="21"/>
      <c r="C136" s="20"/>
      <c r="D136" s="20"/>
      <c r="E136" s="20"/>
      <c r="F136" s="33"/>
      <c r="G136" s="20"/>
      <c r="H136" s="20"/>
      <c r="I136" s="8" t="str">
        <f aca="false">IF(C136="","",IFERROR(INDEX(Disputes!$C$5:$C$1004,MATCH(C136,Disputes!$A$5:$A$1004,0)),IFERROR(INDEX(Batches!$B$5:$B$64,MATCH(C136,Batches!$A$5:$A$64,0)),"")))</f>
        <v/>
      </c>
      <c r="J136" s="17" t="str">
        <f aca="false">IF(B136="","",DATE(YEAR(B136),MONTH(B136),1))</f>
        <v/>
      </c>
    </row>
    <row r="137" customFormat="false" ht="15" hidden="false" customHeight="false" outlineLevel="0" collapsed="false">
      <c r="A137" s="20"/>
      <c r="B137" s="21"/>
      <c r="C137" s="20"/>
      <c r="D137" s="20"/>
      <c r="E137" s="20"/>
      <c r="F137" s="33"/>
      <c r="G137" s="20"/>
      <c r="H137" s="20"/>
      <c r="I137" s="8" t="str">
        <f aca="false">IF(C137="","",IFERROR(INDEX(Disputes!$C$5:$C$1004,MATCH(C137,Disputes!$A$5:$A$1004,0)),IFERROR(INDEX(Batches!$B$5:$B$64,MATCH(C137,Batches!$A$5:$A$64,0)),"")))</f>
        <v/>
      </c>
      <c r="J137" s="17" t="str">
        <f aca="false">IF(B137="","",DATE(YEAR(B137),MONTH(B137),1))</f>
        <v/>
      </c>
    </row>
    <row r="138" customFormat="false" ht="15" hidden="false" customHeight="false" outlineLevel="0" collapsed="false">
      <c r="A138" s="20"/>
      <c r="B138" s="21"/>
      <c r="C138" s="20"/>
      <c r="D138" s="20"/>
      <c r="E138" s="20"/>
      <c r="F138" s="33"/>
      <c r="G138" s="20"/>
      <c r="H138" s="20"/>
      <c r="I138" s="8" t="str">
        <f aca="false">IF(C138="","",IFERROR(INDEX(Disputes!$C$5:$C$1004,MATCH(C138,Disputes!$A$5:$A$1004,0)),IFERROR(INDEX(Batches!$B$5:$B$64,MATCH(C138,Batches!$A$5:$A$64,0)),"")))</f>
        <v/>
      </c>
      <c r="J138" s="17" t="str">
        <f aca="false">IF(B138="","",DATE(YEAR(B138),MONTH(B138),1))</f>
        <v/>
      </c>
    </row>
    <row r="139" customFormat="false" ht="15" hidden="false" customHeight="false" outlineLevel="0" collapsed="false">
      <c r="A139" s="20"/>
      <c r="B139" s="21"/>
      <c r="C139" s="20"/>
      <c r="D139" s="20"/>
      <c r="E139" s="20"/>
      <c r="F139" s="33"/>
      <c r="G139" s="20"/>
      <c r="H139" s="20"/>
      <c r="I139" s="8" t="str">
        <f aca="false">IF(C139="","",IFERROR(INDEX(Disputes!$C$5:$C$1004,MATCH(C139,Disputes!$A$5:$A$1004,0)),IFERROR(INDEX(Batches!$B$5:$B$64,MATCH(C139,Batches!$A$5:$A$64,0)),"")))</f>
        <v/>
      </c>
      <c r="J139" s="17" t="str">
        <f aca="false">IF(B139="","",DATE(YEAR(B139),MONTH(B139),1))</f>
        <v/>
      </c>
    </row>
    <row r="140" customFormat="false" ht="15" hidden="false" customHeight="false" outlineLevel="0" collapsed="false">
      <c r="A140" s="20"/>
      <c r="B140" s="21"/>
      <c r="C140" s="20"/>
      <c r="D140" s="20"/>
      <c r="E140" s="20"/>
      <c r="F140" s="33"/>
      <c r="G140" s="20"/>
      <c r="H140" s="20"/>
      <c r="I140" s="8" t="str">
        <f aca="false">IF(C140="","",IFERROR(INDEX(Disputes!$C$5:$C$1004,MATCH(C140,Disputes!$A$5:$A$1004,0)),IFERROR(INDEX(Batches!$B$5:$B$64,MATCH(C140,Batches!$A$5:$A$64,0)),"")))</f>
        <v/>
      </c>
      <c r="J140" s="17" t="str">
        <f aca="false">IF(B140="","",DATE(YEAR(B140),MONTH(B140),1))</f>
        <v/>
      </c>
    </row>
    <row r="141" customFormat="false" ht="15" hidden="false" customHeight="false" outlineLevel="0" collapsed="false">
      <c r="A141" s="20"/>
      <c r="B141" s="21"/>
      <c r="C141" s="20"/>
      <c r="D141" s="20"/>
      <c r="E141" s="20"/>
      <c r="F141" s="33"/>
      <c r="G141" s="20"/>
      <c r="H141" s="20"/>
      <c r="I141" s="8" t="str">
        <f aca="false">IF(C141="","",IFERROR(INDEX(Disputes!$C$5:$C$1004,MATCH(C141,Disputes!$A$5:$A$1004,0)),IFERROR(INDEX(Batches!$B$5:$B$64,MATCH(C141,Batches!$A$5:$A$64,0)),"")))</f>
        <v/>
      </c>
      <c r="J141" s="17" t="str">
        <f aca="false">IF(B141="","",DATE(YEAR(B141),MONTH(B141),1))</f>
        <v/>
      </c>
    </row>
    <row r="142" customFormat="false" ht="15" hidden="false" customHeight="false" outlineLevel="0" collapsed="false">
      <c r="A142" s="20"/>
      <c r="B142" s="21"/>
      <c r="C142" s="20"/>
      <c r="D142" s="20"/>
      <c r="E142" s="20"/>
      <c r="F142" s="33"/>
      <c r="G142" s="20"/>
      <c r="H142" s="20"/>
      <c r="I142" s="8" t="str">
        <f aca="false">IF(C142="","",IFERROR(INDEX(Disputes!$C$5:$C$1004,MATCH(C142,Disputes!$A$5:$A$1004,0)),IFERROR(INDEX(Batches!$B$5:$B$64,MATCH(C142,Batches!$A$5:$A$64,0)),"")))</f>
        <v/>
      </c>
      <c r="J142" s="17" t="str">
        <f aca="false">IF(B142="","",DATE(YEAR(B142),MONTH(B142),1))</f>
        <v/>
      </c>
    </row>
    <row r="143" customFormat="false" ht="15" hidden="false" customHeight="false" outlineLevel="0" collapsed="false">
      <c r="A143" s="20"/>
      <c r="B143" s="21"/>
      <c r="C143" s="20"/>
      <c r="D143" s="20"/>
      <c r="E143" s="20"/>
      <c r="F143" s="33"/>
      <c r="G143" s="20"/>
      <c r="H143" s="20"/>
      <c r="I143" s="8" t="str">
        <f aca="false">IF(C143="","",IFERROR(INDEX(Disputes!$C$5:$C$1004,MATCH(C143,Disputes!$A$5:$A$1004,0)),IFERROR(INDEX(Batches!$B$5:$B$64,MATCH(C143,Batches!$A$5:$A$64,0)),"")))</f>
        <v/>
      </c>
      <c r="J143" s="17" t="str">
        <f aca="false">IF(B143="","",DATE(YEAR(B143),MONTH(B143),1))</f>
        <v/>
      </c>
    </row>
    <row r="144" customFormat="false" ht="15" hidden="false" customHeight="false" outlineLevel="0" collapsed="false">
      <c r="A144" s="20"/>
      <c r="B144" s="21"/>
      <c r="C144" s="20"/>
      <c r="D144" s="20"/>
      <c r="E144" s="20"/>
      <c r="F144" s="33"/>
      <c r="G144" s="20"/>
      <c r="H144" s="20"/>
      <c r="I144" s="8" t="str">
        <f aca="false">IF(C144="","",IFERROR(INDEX(Disputes!$C$5:$C$1004,MATCH(C144,Disputes!$A$5:$A$1004,0)),IFERROR(INDEX(Batches!$B$5:$B$64,MATCH(C144,Batches!$A$5:$A$64,0)),"")))</f>
        <v/>
      </c>
      <c r="J144" s="17" t="str">
        <f aca="false">IF(B144="","",DATE(YEAR(B144),MONTH(B144),1))</f>
        <v/>
      </c>
    </row>
    <row r="145" customFormat="false" ht="15" hidden="false" customHeight="false" outlineLevel="0" collapsed="false">
      <c r="A145" s="20"/>
      <c r="B145" s="21"/>
      <c r="C145" s="20"/>
      <c r="D145" s="20"/>
      <c r="E145" s="20"/>
      <c r="F145" s="33"/>
      <c r="G145" s="20"/>
      <c r="H145" s="20"/>
      <c r="I145" s="8" t="str">
        <f aca="false">IF(C145="","",IFERROR(INDEX(Disputes!$C$5:$C$1004,MATCH(C145,Disputes!$A$5:$A$1004,0)),IFERROR(INDEX(Batches!$B$5:$B$64,MATCH(C145,Batches!$A$5:$A$64,0)),"")))</f>
        <v/>
      </c>
      <c r="J145" s="17" t="str">
        <f aca="false">IF(B145="","",DATE(YEAR(B145),MONTH(B145),1))</f>
        <v/>
      </c>
    </row>
    <row r="146" customFormat="false" ht="15" hidden="false" customHeight="false" outlineLevel="0" collapsed="false">
      <c r="A146" s="20"/>
      <c r="B146" s="21"/>
      <c r="C146" s="20"/>
      <c r="D146" s="20"/>
      <c r="E146" s="20"/>
      <c r="F146" s="33"/>
      <c r="G146" s="20"/>
      <c r="H146" s="20"/>
      <c r="I146" s="8" t="str">
        <f aca="false">IF(C146="","",IFERROR(INDEX(Disputes!$C$5:$C$1004,MATCH(C146,Disputes!$A$5:$A$1004,0)),IFERROR(INDEX(Batches!$B$5:$B$64,MATCH(C146,Batches!$A$5:$A$64,0)),"")))</f>
        <v/>
      </c>
      <c r="J146" s="17" t="str">
        <f aca="false">IF(B146="","",DATE(YEAR(B146),MONTH(B146),1))</f>
        <v/>
      </c>
    </row>
    <row r="147" customFormat="false" ht="15" hidden="false" customHeight="false" outlineLevel="0" collapsed="false">
      <c r="A147" s="20"/>
      <c r="B147" s="21"/>
      <c r="C147" s="20"/>
      <c r="D147" s="20"/>
      <c r="E147" s="20"/>
      <c r="F147" s="33"/>
      <c r="G147" s="20"/>
      <c r="H147" s="20"/>
      <c r="I147" s="8" t="str">
        <f aca="false">IF(C147="","",IFERROR(INDEX(Disputes!$C$5:$C$1004,MATCH(C147,Disputes!$A$5:$A$1004,0)),IFERROR(INDEX(Batches!$B$5:$B$64,MATCH(C147,Batches!$A$5:$A$64,0)),"")))</f>
        <v/>
      </c>
      <c r="J147" s="17" t="str">
        <f aca="false">IF(B147="","",DATE(YEAR(B147),MONTH(B147),1))</f>
        <v/>
      </c>
    </row>
    <row r="148" customFormat="false" ht="15" hidden="false" customHeight="false" outlineLevel="0" collapsed="false">
      <c r="A148" s="20"/>
      <c r="B148" s="21"/>
      <c r="C148" s="20"/>
      <c r="D148" s="20"/>
      <c r="E148" s="20"/>
      <c r="F148" s="33"/>
      <c r="G148" s="20"/>
      <c r="H148" s="20"/>
      <c r="I148" s="8" t="str">
        <f aca="false">IF(C148="","",IFERROR(INDEX(Disputes!$C$5:$C$1004,MATCH(C148,Disputes!$A$5:$A$1004,0)),IFERROR(INDEX(Batches!$B$5:$B$64,MATCH(C148,Batches!$A$5:$A$64,0)),"")))</f>
        <v/>
      </c>
      <c r="J148" s="17" t="str">
        <f aca="false">IF(B148="","",DATE(YEAR(B148),MONTH(B148),1))</f>
        <v/>
      </c>
    </row>
    <row r="149" customFormat="false" ht="15" hidden="false" customHeight="false" outlineLevel="0" collapsed="false">
      <c r="A149" s="20"/>
      <c r="B149" s="21"/>
      <c r="C149" s="20"/>
      <c r="D149" s="20"/>
      <c r="E149" s="20"/>
      <c r="F149" s="33"/>
      <c r="G149" s="20"/>
      <c r="H149" s="20"/>
      <c r="I149" s="8" t="str">
        <f aca="false">IF(C149="","",IFERROR(INDEX(Disputes!$C$5:$C$1004,MATCH(C149,Disputes!$A$5:$A$1004,0)),IFERROR(INDEX(Batches!$B$5:$B$64,MATCH(C149,Batches!$A$5:$A$64,0)),"")))</f>
        <v/>
      </c>
      <c r="J149" s="17" t="str">
        <f aca="false">IF(B149="","",DATE(YEAR(B149),MONTH(B149),1))</f>
        <v/>
      </c>
    </row>
    <row r="150" customFormat="false" ht="15" hidden="false" customHeight="false" outlineLevel="0" collapsed="false">
      <c r="A150" s="20"/>
      <c r="B150" s="21"/>
      <c r="C150" s="20"/>
      <c r="D150" s="20"/>
      <c r="E150" s="20"/>
      <c r="F150" s="33"/>
      <c r="G150" s="20"/>
      <c r="H150" s="20"/>
      <c r="I150" s="8" t="str">
        <f aca="false">IF(C150="","",IFERROR(INDEX(Disputes!$C$5:$C$1004,MATCH(C150,Disputes!$A$5:$A$1004,0)),IFERROR(INDEX(Batches!$B$5:$B$64,MATCH(C150,Batches!$A$5:$A$64,0)),"")))</f>
        <v/>
      </c>
      <c r="J150" s="17" t="str">
        <f aca="false">IF(B150="","",DATE(YEAR(B150),MONTH(B150),1))</f>
        <v/>
      </c>
    </row>
    <row r="151" customFormat="false" ht="15" hidden="false" customHeight="false" outlineLevel="0" collapsed="false">
      <c r="A151" s="20"/>
      <c r="B151" s="21"/>
      <c r="C151" s="20"/>
      <c r="D151" s="20"/>
      <c r="E151" s="20"/>
      <c r="F151" s="33"/>
      <c r="G151" s="20"/>
      <c r="H151" s="20"/>
      <c r="I151" s="8" t="str">
        <f aca="false">IF(C151="","",IFERROR(INDEX(Disputes!$C$5:$C$1004,MATCH(C151,Disputes!$A$5:$A$1004,0)),IFERROR(INDEX(Batches!$B$5:$B$64,MATCH(C151,Batches!$A$5:$A$64,0)),"")))</f>
        <v/>
      </c>
      <c r="J151" s="17" t="str">
        <f aca="false">IF(B151="","",DATE(YEAR(B151),MONTH(B151),1))</f>
        <v/>
      </c>
    </row>
    <row r="152" customFormat="false" ht="15" hidden="false" customHeight="false" outlineLevel="0" collapsed="false">
      <c r="A152" s="20"/>
      <c r="B152" s="21"/>
      <c r="C152" s="20"/>
      <c r="D152" s="20"/>
      <c r="E152" s="20"/>
      <c r="F152" s="33"/>
      <c r="G152" s="20"/>
      <c r="H152" s="20"/>
      <c r="I152" s="8" t="str">
        <f aca="false">IF(C152="","",IFERROR(INDEX(Disputes!$C$5:$C$1004,MATCH(C152,Disputes!$A$5:$A$1004,0)),IFERROR(INDEX(Batches!$B$5:$B$64,MATCH(C152,Batches!$A$5:$A$64,0)),"")))</f>
        <v/>
      </c>
      <c r="J152" s="17" t="str">
        <f aca="false">IF(B152="","",DATE(YEAR(B152),MONTH(B152),1))</f>
        <v/>
      </c>
    </row>
    <row r="153" customFormat="false" ht="15" hidden="false" customHeight="false" outlineLevel="0" collapsed="false">
      <c r="A153" s="20"/>
      <c r="B153" s="21"/>
      <c r="C153" s="20"/>
      <c r="D153" s="20"/>
      <c r="E153" s="20"/>
      <c r="F153" s="33"/>
      <c r="G153" s="20"/>
      <c r="H153" s="20"/>
      <c r="I153" s="8" t="str">
        <f aca="false">IF(C153="","",IFERROR(INDEX(Disputes!$C$5:$C$1004,MATCH(C153,Disputes!$A$5:$A$1004,0)),IFERROR(INDEX(Batches!$B$5:$B$64,MATCH(C153,Batches!$A$5:$A$64,0)),"")))</f>
        <v/>
      </c>
      <c r="J153" s="17" t="str">
        <f aca="false">IF(B153="","",DATE(YEAR(B153),MONTH(B153),1))</f>
        <v/>
      </c>
    </row>
    <row r="154" customFormat="false" ht="15" hidden="false" customHeight="false" outlineLevel="0" collapsed="false">
      <c r="A154" s="20"/>
      <c r="B154" s="21"/>
      <c r="C154" s="20"/>
      <c r="D154" s="20"/>
      <c r="E154" s="20"/>
      <c r="F154" s="33"/>
      <c r="G154" s="20"/>
      <c r="H154" s="20"/>
      <c r="I154" s="8" t="str">
        <f aca="false">IF(C154="","",IFERROR(INDEX(Disputes!$C$5:$C$1004,MATCH(C154,Disputes!$A$5:$A$1004,0)),IFERROR(INDEX(Batches!$B$5:$B$64,MATCH(C154,Batches!$A$5:$A$64,0)),"")))</f>
        <v/>
      </c>
      <c r="J154" s="17" t="str">
        <f aca="false">IF(B154="","",DATE(YEAR(B154),MONTH(B154),1))</f>
        <v/>
      </c>
    </row>
    <row r="155" customFormat="false" ht="15" hidden="false" customHeight="false" outlineLevel="0" collapsed="false">
      <c r="A155" s="20"/>
      <c r="B155" s="21"/>
      <c r="C155" s="20"/>
      <c r="D155" s="20"/>
      <c r="E155" s="20"/>
      <c r="F155" s="33"/>
      <c r="G155" s="20"/>
      <c r="H155" s="20"/>
      <c r="I155" s="8" t="str">
        <f aca="false">IF(C155="","",IFERROR(INDEX(Disputes!$C$5:$C$1004,MATCH(C155,Disputes!$A$5:$A$1004,0)),IFERROR(INDEX(Batches!$B$5:$B$64,MATCH(C155,Batches!$A$5:$A$64,0)),"")))</f>
        <v/>
      </c>
      <c r="J155" s="17" t="str">
        <f aca="false">IF(B155="","",DATE(YEAR(B155),MONTH(B155),1))</f>
        <v/>
      </c>
    </row>
    <row r="156" customFormat="false" ht="15" hidden="false" customHeight="false" outlineLevel="0" collapsed="false">
      <c r="A156" s="20"/>
      <c r="B156" s="21"/>
      <c r="C156" s="20"/>
      <c r="D156" s="20"/>
      <c r="E156" s="20"/>
      <c r="F156" s="33"/>
      <c r="G156" s="20"/>
      <c r="H156" s="20"/>
      <c r="I156" s="8" t="str">
        <f aca="false">IF(C156="","",IFERROR(INDEX(Disputes!$C$5:$C$1004,MATCH(C156,Disputes!$A$5:$A$1004,0)),IFERROR(INDEX(Batches!$B$5:$B$64,MATCH(C156,Batches!$A$5:$A$64,0)),"")))</f>
        <v/>
      </c>
      <c r="J156" s="17" t="str">
        <f aca="false">IF(B156="","",DATE(YEAR(B156),MONTH(B156),1))</f>
        <v/>
      </c>
    </row>
    <row r="157" customFormat="false" ht="15" hidden="false" customHeight="false" outlineLevel="0" collapsed="false">
      <c r="A157" s="20"/>
      <c r="B157" s="21"/>
      <c r="C157" s="20"/>
      <c r="D157" s="20"/>
      <c r="E157" s="20"/>
      <c r="F157" s="33"/>
      <c r="G157" s="20"/>
      <c r="H157" s="20"/>
      <c r="I157" s="8" t="str">
        <f aca="false">IF(C157="","",IFERROR(INDEX(Disputes!$C$5:$C$1004,MATCH(C157,Disputes!$A$5:$A$1004,0)),IFERROR(INDEX(Batches!$B$5:$B$64,MATCH(C157,Batches!$A$5:$A$64,0)),"")))</f>
        <v/>
      </c>
      <c r="J157" s="17" t="str">
        <f aca="false">IF(B157="","",DATE(YEAR(B157),MONTH(B157),1))</f>
        <v/>
      </c>
    </row>
    <row r="158" customFormat="false" ht="15" hidden="false" customHeight="false" outlineLevel="0" collapsed="false">
      <c r="A158" s="20"/>
      <c r="B158" s="21"/>
      <c r="C158" s="20"/>
      <c r="D158" s="20"/>
      <c r="E158" s="20"/>
      <c r="F158" s="33"/>
      <c r="G158" s="20"/>
      <c r="H158" s="20"/>
      <c r="I158" s="8" t="str">
        <f aca="false">IF(C158="","",IFERROR(INDEX(Disputes!$C$5:$C$1004,MATCH(C158,Disputes!$A$5:$A$1004,0)),IFERROR(INDEX(Batches!$B$5:$B$64,MATCH(C158,Batches!$A$5:$A$64,0)),"")))</f>
        <v/>
      </c>
      <c r="J158" s="17" t="str">
        <f aca="false">IF(B158="","",DATE(YEAR(B158),MONTH(B158),1))</f>
        <v/>
      </c>
    </row>
    <row r="159" customFormat="false" ht="15" hidden="false" customHeight="false" outlineLevel="0" collapsed="false">
      <c r="A159" s="20"/>
      <c r="B159" s="21"/>
      <c r="C159" s="20"/>
      <c r="D159" s="20"/>
      <c r="E159" s="20"/>
      <c r="F159" s="33"/>
      <c r="G159" s="20"/>
      <c r="H159" s="20"/>
      <c r="I159" s="8" t="str">
        <f aca="false">IF(C159="","",IFERROR(INDEX(Disputes!$C$5:$C$1004,MATCH(C159,Disputes!$A$5:$A$1004,0)),IFERROR(INDEX(Batches!$B$5:$B$64,MATCH(C159,Batches!$A$5:$A$64,0)),"")))</f>
        <v/>
      </c>
      <c r="J159" s="17" t="str">
        <f aca="false">IF(B159="","",DATE(YEAR(B159),MONTH(B159),1))</f>
        <v/>
      </c>
    </row>
    <row r="160" customFormat="false" ht="15" hidden="false" customHeight="false" outlineLevel="0" collapsed="false">
      <c r="A160" s="20"/>
      <c r="B160" s="21"/>
      <c r="C160" s="20"/>
      <c r="D160" s="20"/>
      <c r="E160" s="20"/>
      <c r="F160" s="33"/>
      <c r="G160" s="20"/>
      <c r="H160" s="20"/>
      <c r="I160" s="8" t="str">
        <f aca="false">IF(C160="","",IFERROR(INDEX(Disputes!$C$5:$C$1004,MATCH(C160,Disputes!$A$5:$A$1004,0)),IFERROR(INDEX(Batches!$B$5:$B$64,MATCH(C160,Batches!$A$5:$A$64,0)),"")))</f>
        <v/>
      </c>
      <c r="J160" s="17" t="str">
        <f aca="false">IF(B160="","",DATE(YEAR(B160),MONTH(B160),1))</f>
        <v/>
      </c>
    </row>
    <row r="161" customFormat="false" ht="15" hidden="false" customHeight="false" outlineLevel="0" collapsed="false">
      <c r="A161" s="20"/>
      <c r="B161" s="21"/>
      <c r="C161" s="20"/>
      <c r="D161" s="20"/>
      <c r="E161" s="20"/>
      <c r="F161" s="33"/>
      <c r="G161" s="20"/>
      <c r="H161" s="20"/>
      <c r="I161" s="8" t="str">
        <f aca="false">IF(C161="","",IFERROR(INDEX(Disputes!$C$5:$C$1004,MATCH(C161,Disputes!$A$5:$A$1004,0)),IFERROR(INDEX(Batches!$B$5:$B$64,MATCH(C161,Batches!$A$5:$A$64,0)),"")))</f>
        <v/>
      </c>
      <c r="J161" s="17" t="str">
        <f aca="false">IF(B161="","",DATE(YEAR(B161),MONTH(B161),1))</f>
        <v/>
      </c>
    </row>
    <row r="162" customFormat="false" ht="15" hidden="false" customHeight="false" outlineLevel="0" collapsed="false">
      <c r="A162" s="20"/>
      <c r="B162" s="21"/>
      <c r="C162" s="20"/>
      <c r="D162" s="20"/>
      <c r="E162" s="20"/>
      <c r="F162" s="33"/>
      <c r="G162" s="20"/>
      <c r="H162" s="20"/>
      <c r="I162" s="8" t="str">
        <f aca="false">IF(C162="","",IFERROR(INDEX(Disputes!$C$5:$C$1004,MATCH(C162,Disputes!$A$5:$A$1004,0)),IFERROR(INDEX(Batches!$B$5:$B$64,MATCH(C162,Batches!$A$5:$A$64,0)),"")))</f>
        <v/>
      </c>
      <c r="J162" s="17" t="str">
        <f aca="false">IF(B162="","",DATE(YEAR(B162),MONTH(B162),1))</f>
        <v/>
      </c>
    </row>
    <row r="163" customFormat="false" ht="15" hidden="false" customHeight="false" outlineLevel="0" collapsed="false">
      <c r="A163" s="20"/>
      <c r="B163" s="21"/>
      <c r="C163" s="20"/>
      <c r="D163" s="20"/>
      <c r="E163" s="20"/>
      <c r="F163" s="33"/>
      <c r="G163" s="20"/>
      <c r="H163" s="20"/>
      <c r="I163" s="8" t="str">
        <f aca="false">IF(C163="","",IFERROR(INDEX(Disputes!$C$5:$C$1004,MATCH(C163,Disputes!$A$5:$A$1004,0)),IFERROR(INDEX(Batches!$B$5:$B$64,MATCH(C163,Batches!$A$5:$A$64,0)),"")))</f>
        <v/>
      </c>
      <c r="J163" s="17" t="str">
        <f aca="false">IF(B163="","",DATE(YEAR(B163),MONTH(B163),1))</f>
        <v/>
      </c>
    </row>
    <row r="164" customFormat="false" ht="15" hidden="false" customHeight="false" outlineLevel="0" collapsed="false">
      <c r="A164" s="20"/>
      <c r="B164" s="21"/>
      <c r="C164" s="20"/>
      <c r="D164" s="20"/>
      <c r="E164" s="20"/>
      <c r="F164" s="33"/>
      <c r="G164" s="20"/>
      <c r="H164" s="20"/>
      <c r="I164" s="8" t="str">
        <f aca="false">IF(C164="","",IFERROR(INDEX(Disputes!$C$5:$C$1004,MATCH(C164,Disputes!$A$5:$A$1004,0)),IFERROR(INDEX(Batches!$B$5:$B$64,MATCH(C164,Batches!$A$5:$A$64,0)),"")))</f>
        <v/>
      </c>
      <c r="J164" s="17" t="str">
        <f aca="false">IF(B164="","",DATE(YEAR(B164),MONTH(B164),1))</f>
        <v/>
      </c>
    </row>
    <row r="165" customFormat="false" ht="15" hidden="false" customHeight="false" outlineLevel="0" collapsed="false">
      <c r="A165" s="20"/>
      <c r="B165" s="21"/>
      <c r="C165" s="20"/>
      <c r="D165" s="20"/>
      <c r="E165" s="20"/>
      <c r="F165" s="33"/>
      <c r="G165" s="20"/>
      <c r="H165" s="20"/>
      <c r="I165" s="8" t="str">
        <f aca="false">IF(C165="","",IFERROR(INDEX(Disputes!$C$5:$C$1004,MATCH(C165,Disputes!$A$5:$A$1004,0)),IFERROR(INDEX(Batches!$B$5:$B$64,MATCH(C165,Batches!$A$5:$A$64,0)),"")))</f>
        <v/>
      </c>
      <c r="J165" s="17" t="str">
        <f aca="false">IF(B165="","",DATE(YEAR(B165),MONTH(B165),1))</f>
        <v/>
      </c>
    </row>
    <row r="166" customFormat="false" ht="15" hidden="false" customHeight="false" outlineLevel="0" collapsed="false">
      <c r="A166" s="20"/>
      <c r="B166" s="21"/>
      <c r="C166" s="20"/>
      <c r="D166" s="20"/>
      <c r="E166" s="20"/>
      <c r="F166" s="33"/>
      <c r="G166" s="20"/>
      <c r="H166" s="20"/>
      <c r="I166" s="8" t="str">
        <f aca="false">IF(C166="","",IFERROR(INDEX(Disputes!$C$5:$C$1004,MATCH(C166,Disputes!$A$5:$A$1004,0)),IFERROR(INDEX(Batches!$B$5:$B$64,MATCH(C166,Batches!$A$5:$A$64,0)),"")))</f>
        <v/>
      </c>
      <c r="J166" s="17" t="str">
        <f aca="false">IF(B166="","",DATE(YEAR(B166),MONTH(B166),1))</f>
        <v/>
      </c>
    </row>
    <row r="167" customFormat="false" ht="15" hidden="false" customHeight="false" outlineLevel="0" collapsed="false">
      <c r="A167" s="20"/>
      <c r="B167" s="21"/>
      <c r="C167" s="20"/>
      <c r="D167" s="20"/>
      <c r="E167" s="20"/>
      <c r="F167" s="33"/>
      <c r="G167" s="20"/>
      <c r="H167" s="20"/>
      <c r="I167" s="8" t="str">
        <f aca="false">IF(C167="","",IFERROR(INDEX(Disputes!$C$5:$C$1004,MATCH(C167,Disputes!$A$5:$A$1004,0)),IFERROR(INDEX(Batches!$B$5:$B$64,MATCH(C167,Batches!$A$5:$A$64,0)),"")))</f>
        <v/>
      </c>
      <c r="J167" s="17" t="str">
        <f aca="false">IF(B167="","",DATE(YEAR(B167),MONTH(B167),1))</f>
        <v/>
      </c>
    </row>
    <row r="168" customFormat="false" ht="15" hidden="false" customHeight="false" outlineLevel="0" collapsed="false">
      <c r="A168" s="20"/>
      <c r="B168" s="21"/>
      <c r="C168" s="20"/>
      <c r="D168" s="20"/>
      <c r="E168" s="20"/>
      <c r="F168" s="33"/>
      <c r="G168" s="20"/>
      <c r="H168" s="20"/>
      <c r="I168" s="8" t="str">
        <f aca="false">IF(C168="","",IFERROR(INDEX(Disputes!$C$5:$C$1004,MATCH(C168,Disputes!$A$5:$A$1004,0)),IFERROR(INDEX(Batches!$B$5:$B$64,MATCH(C168,Batches!$A$5:$A$64,0)),"")))</f>
        <v/>
      </c>
      <c r="J168" s="17" t="str">
        <f aca="false">IF(B168="","",DATE(YEAR(B168),MONTH(B168),1))</f>
        <v/>
      </c>
    </row>
    <row r="169" customFormat="false" ht="15" hidden="false" customHeight="false" outlineLevel="0" collapsed="false">
      <c r="A169" s="20"/>
      <c r="B169" s="21"/>
      <c r="C169" s="20"/>
      <c r="D169" s="20"/>
      <c r="E169" s="20"/>
      <c r="F169" s="33"/>
      <c r="G169" s="20"/>
      <c r="H169" s="20"/>
      <c r="I169" s="8" t="str">
        <f aca="false">IF(C169="","",IFERROR(INDEX(Disputes!$C$5:$C$1004,MATCH(C169,Disputes!$A$5:$A$1004,0)),IFERROR(INDEX(Batches!$B$5:$B$64,MATCH(C169,Batches!$A$5:$A$64,0)),"")))</f>
        <v/>
      </c>
      <c r="J169" s="17" t="str">
        <f aca="false">IF(B169="","",DATE(YEAR(B169),MONTH(B169),1))</f>
        <v/>
      </c>
    </row>
    <row r="170" customFormat="false" ht="15" hidden="false" customHeight="false" outlineLevel="0" collapsed="false">
      <c r="A170" s="20"/>
      <c r="B170" s="21"/>
      <c r="C170" s="20"/>
      <c r="D170" s="20"/>
      <c r="E170" s="20"/>
      <c r="F170" s="33"/>
      <c r="G170" s="20"/>
      <c r="H170" s="20"/>
      <c r="I170" s="8" t="str">
        <f aca="false">IF(C170="","",IFERROR(INDEX(Disputes!$C$5:$C$1004,MATCH(C170,Disputes!$A$5:$A$1004,0)),IFERROR(INDEX(Batches!$B$5:$B$64,MATCH(C170,Batches!$A$5:$A$64,0)),"")))</f>
        <v/>
      </c>
      <c r="J170" s="17" t="str">
        <f aca="false">IF(B170="","",DATE(YEAR(B170),MONTH(B170),1))</f>
        <v/>
      </c>
    </row>
    <row r="171" customFormat="false" ht="15" hidden="false" customHeight="false" outlineLevel="0" collapsed="false">
      <c r="A171" s="20"/>
      <c r="B171" s="21"/>
      <c r="C171" s="20"/>
      <c r="D171" s="20"/>
      <c r="E171" s="20"/>
      <c r="F171" s="33"/>
      <c r="G171" s="20"/>
      <c r="H171" s="20"/>
      <c r="I171" s="8" t="str">
        <f aca="false">IF(C171="","",IFERROR(INDEX(Disputes!$C$5:$C$1004,MATCH(C171,Disputes!$A$5:$A$1004,0)),IFERROR(INDEX(Batches!$B$5:$B$64,MATCH(C171,Batches!$A$5:$A$64,0)),"")))</f>
        <v/>
      </c>
      <c r="J171" s="17" t="str">
        <f aca="false">IF(B171="","",DATE(YEAR(B171),MONTH(B171),1))</f>
        <v/>
      </c>
    </row>
    <row r="172" customFormat="false" ht="15" hidden="false" customHeight="false" outlineLevel="0" collapsed="false">
      <c r="A172" s="20"/>
      <c r="B172" s="21"/>
      <c r="C172" s="20"/>
      <c r="D172" s="20"/>
      <c r="E172" s="20"/>
      <c r="F172" s="33"/>
      <c r="G172" s="20"/>
      <c r="H172" s="20"/>
      <c r="I172" s="8" t="str">
        <f aca="false">IF(C172="","",IFERROR(INDEX(Disputes!$C$5:$C$1004,MATCH(C172,Disputes!$A$5:$A$1004,0)),IFERROR(INDEX(Batches!$B$5:$B$64,MATCH(C172,Batches!$A$5:$A$64,0)),"")))</f>
        <v/>
      </c>
      <c r="J172" s="17" t="str">
        <f aca="false">IF(B172="","",DATE(YEAR(B172),MONTH(B172),1))</f>
        <v/>
      </c>
    </row>
    <row r="173" customFormat="false" ht="15" hidden="false" customHeight="false" outlineLevel="0" collapsed="false">
      <c r="A173" s="20"/>
      <c r="B173" s="21"/>
      <c r="C173" s="20"/>
      <c r="D173" s="20"/>
      <c r="E173" s="20"/>
      <c r="F173" s="33"/>
      <c r="G173" s="20"/>
      <c r="H173" s="20"/>
      <c r="I173" s="8" t="str">
        <f aca="false">IF(C173="","",IFERROR(INDEX(Disputes!$C$5:$C$1004,MATCH(C173,Disputes!$A$5:$A$1004,0)),IFERROR(INDEX(Batches!$B$5:$B$64,MATCH(C173,Batches!$A$5:$A$64,0)),"")))</f>
        <v/>
      </c>
      <c r="J173" s="17" t="str">
        <f aca="false">IF(B173="","",DATE(YEAR(B173),MONTH(B173),1))</f>
        <v/>
      </c>
    </row>
    <row r="174" customFormat="false" ht="15" hidden="false" customHeight="false" outlineLevel="0" collapsed="false">
      <c r="A174" s="20"/>
      <c r="B174" s="21"/>
      <c r="C174" s="20"/>
      <c r="D174" s="20"/>
      <c r="E174" s="20"/>
      <c r="F174" s="33"/>
      <c r="G174" s="20"/>
      <c r="H174" s="20"/>
      <c r="I174" s="8" t="str">
        <f aca="false">IF(C174="","",IFERROR(INDEX(Disputes!$C$5:$C$1004,MATCH(C174,Disputes!$A$5:$A$1004,0)),IFERROR(INDEX(Batches!$B$5:$B$64,MATCH(C174,Batches!$A$5:$A$64,0)),"")))</f>
        <v/>
      </c>
      <c r="J174" s="17" t="str">
        <f aca="false">IF(B174="","",DATE(YEAR(B174),MONTH(B174),1))</f>
        <v/>
      </c>
    </row>
    <row r="175" customFormat="false" ht="15" hidden="false" customHeight="false" outlineLevel="0" collapsed="false">
      <c r="A175" s="20"/>
      <c r="B175" s="21"/>
      <c r="C175" s="20"/>
      <c r="D175" s="20"/>
      <c r="E175" s="20"/>
      <c r="F175" s="33"/>
      <c r="G175" s="20"/>
      <c r="H175" s="20"/>
      <c r="I175" s="8" t="str">
        <f aca="false">IF(C175="","",IFERROR(INDEX(Disputes!$C$5:$C$1004,MATCH(C175,Disputes!$A$5:$A$1004,0)),IFERROR(INDEX(Batches!$B$5:$B$64,MATCH(C175,Batches!$A$5:$A$64,0)),"")))</f>
        <v/>
      </c>
      <c r="J175" s="17" t="str">
        <f aca="false">IF(B175="","",DATE(YEAR(B175),MONTH(B175),1))</f>
        <v/>
      </c>
    </row>
    <row r="176" customFormat="false" ht="15" hidden="false" customHeight="false" outlineLevel="0" collapsed="false">
      <c r="A176" s="20"/>
      <c r="B176" s="21"/>
      <c r="C176" s="20"/>
      <c r="D176" s="20"/>
      <c r="E176" s="20"/>
      <c r="F176" s="33"/>
      <c r="G176" s="20"/>
      <c r="H176" s="20"/>
      <c r="I176" s="8" t="str">
        <f aca="false">IF(C176="","",IFERROR(INDEX(Disputes!$C$5:$C$1004,MATCH(C176,Disputes!$A$5:$A$1004,0)),IFERROR(INDEX(Batches!$B$5:$B$64,MATCH(C176,Batches!$A$5:$A$64,0)),"")))</f>
        <v/>
      </c>
      <c r="J176" s="17" t="str">
        <f aca="false">IF(B176="","",DATE(YEAR(B176),MONTH(B176),1))</f>
        <v/>
      </c>
    </row>
    <row r="177" customFormat="false" ht="15" hidden="false" customHeight="false" outlineLevel="0" collapsed="false">
      <c r="A177" s="20"/>
      <c r="B177" s="21"/>
      <c r="C177" s="20"/>
      <c r="D177" s="20"/>
      <c r="E177" s="20"/>
      <c r="F177" s="33"/>
      <c r="G177" s="20"/>
      <c r="H177" s="20"/>
      <c r="I177" s="8" t="str">
        <f aca="false">IF(C177="","",IFERROR(INDEX(Disputes!$C$5:$C$1004,MATCH(C177,Disputes!$A$5:$A$1004,0)),IFERROR(INDEX(Batches!$B$5:$B$64,MATCH(C177,Batches!$A$5:$A$64,0)),"")))</f>
        <v/>
      </c>
      <c r="J177" s="17" t="str">
        <f aca="false">IF(B177="","",DATE(YEAR(B177),MONTH(B177),1))</f>
        <v/>
      </c>
    </row>
    <row r="178" customFormat="false" ht="15" hidden="false" customHeight="false" outlineLevel="0" collapsed="false">
      <c r="A178" s="20"/>
      <c r="B178" s="21"/>
      <c r="C178" s="20"/>
      <c r="D178" s="20"/>
      <c r="E178" s="20"/>
      <c r="F178" s="33"/>
      <c r="G178" s="20"/>
      <c r="H178" s="20"/>
      <c r="I178" s="8" t="str">
        <f aca="false">IF(C178="","",IFERROR(INDEX(Disputes!$C$5:$C$1004,MATCH(C178,Disputes!$A$5:$A$1004,0)),IFERROR(INDEX(Batches!$B$5:$B$64,MATCH(C178,Batches!$A$5:$A$64,0)),"")))</f>
        <v/>
      </c>
      <c r="J178" s="17" t="str">
        <f aca="false">IF(B178="","",DATE(YEAR(B178),MONTH(B178),1))</f>
        <v/>
      </c>
    </row>
    <row r="179" customFormat="false" ht="15" hidden="false" customHeight="false" outlineLevel="0" collapsed="false">
      <c r="A179" s="20"/>
      <c r="B179" s="21"/>
      <c r="C179" s="20"/>
      <c r="D179" s="20"/>
      <c r="E179" s="20"/>
      <c r="F179" s="33"/>
      <c r="G179" s="20"/>
      <c r="H179" s="20"/>
      <c r="I179" s="8" t="str">
        <f aca="false">IF(C179="","",IFERROR(INDEX(Disputes!$C$5:$C$1004,MATCH(C179,Disputes!$A$5:$A$1004,0)),IFERROR(INDEX(Batches!$B$5:$B$64,MATCH(C179,Batches!$A$5:$A$64,0)),"")))</f>
        <v/>
      </c>
      <c r="J179" s="17" t="str">
        <f aca="false">IF(B179="","",DATE(YEAR(B179),MONTH(B179),1))</f>
        <v/>
      </c>
    </row>
    <row r="180" customFormat="false" ht="15" hidden="false" customHeight="false" outlineLevel="0" collapsed="false">
      <c r="A180" s="20"/>
      <c r="B180" s="21"/>
      <c r="C180" s="20"/>
      <c r="D180" s="20"/>
      <c r="E180" s="20"/>
      <c r="F180" s="33"/>
      <c r="G180" s="20"/>
      <c r="H180" s="20"/>
      <c r="I180" s="8" t="str">
        <f aca="false">IF(C180="","",IFERROR(INDEX(Disputes!$C$5:$C$1004,MATCH(C180,Disputes!$A$5:$A$1004,0)),IFERROR(INDEX(Batches!$B$5:$B$64,MATCH(C180,Batches!$A$5:$A$64,0)),"")))</f>
        <v/>
      </c>
      <c r="J180" s="17" t="str">
        <f aca="false">IF(B180="","",DATE(YEAR(B180),MONTH(B180),1))</f>
        <v/>
      </c>
    </row>
    <row r="181" customFormat="false" ht="15" hidden="false" customHeight="false" outlineLevel="0" collapsed="false">
      <c r="A181" s="20"/>
      <c r="B181" s="21"/>
      <c r="C181" s="20"/>
      <c r="D181" s="20"/>
      <c r="E181" s="20"/>
      <c r="F181" s="33"/>
      <c r="G181" s="20"/>
      <c r="H181" s="20"/>
      <c r="I181" s="8" t="str">
        <f aca="false">IF(C181="","",IFERROR(INDEX(Disputes!$C$5:$C$1004,MATCH(C181,Disputes!$A$5:$A$1004,0)),IFERROR(INDEX(Batches!$B$5:$B$64,MATCH(C181,Batches!$A$5:$A$64,0)),"")))</f>
        <v/>
      </c>
      <c r="J181" s="17" t="str">
        <f aca="false">IF(B181="","",DATE(YEAR(B181),MONTH(B181),1))</f>
        <v/>
      </c>
    </row>
    <row r="182" customFormat="false" ht="15" hidden="false" customHeight="false" outlineLevel="0" collapsed="false">
      <c r="A182" s="20"/>
      <c r="B182" s="21"/>
      <c r="C182" s="20"/>
      <c r="D182" s="20"/>
      <c r="E182" s="20"/>
      <c r="F182" s="33"/>
      <c r="G182" s="20"/>
      <c r="H182" s="20"/>
      <c r="I182" s="8" t="str">
        <f aca="false">IF(C182="","",IFERROR(INDEX(Disputes!$C$5:$C$1004,MATCH(C182,Disputes!$A$5:$A$1004,0)),IFERROR(INDEX(Batches!$B$5:$B$64,MATCH(C182,Batches!$A$5:$A$64,0)),"")))</f>
        <v/>
      </c>
      <c r="J182" s="17" t="str">
        <f aca="false">IF(B182="","",DATE(YEAR(B182),MONTH(B182),1))</f>
        <v/>
      </c>
    </row>
    <row r="183" customFormat="false" ht="15" hidden="false" customHeight="false" outlineLevel="0" collapsed="false">
      <c r="A183" s="20"/>
      <c r="B183" s="21"/>
      <c r="C183" s="20"/>
      <c r="D183" s="20"/>
      <c r="E183" s="20"/>
      <c r="F183" s="33"/>
      <c r="G183" s="20"/>
      <c r="H183" s="20"/>
      <c r="I183" s="8" t="str">
        <f aca="false">IF(C183="","",IFERROR(INDEX(Disputes!$C$5:$C$1004,MATCH(C183,Disputes!$A$5:$A$1004,0)),IFERROR(INDEX(Batches!$B$5:$B$64,MATCH(C183,Batches!$A$5:$A$64,0)),"")))</f>
        <v/>
      </c>
      <c r="J183" s="17" t="str">
        <f aca="false">IF(B183="","",DATE(YEAR(B183),MONTH(B183),1))</f>
        <v/>
      </c>
    </row>
    <row r="184" customFormat="false" ht="15" hidden="false" customHeight="false" outlineLevel="0" collapsed="false">
      <c r="A184" s="20"/>
      <c r="B184" s="21"/>
      <c r="C184" s="20"/>
      <c r="D184" s="20"/>
      <c r="E184" s="20"/>
      <c r="F184" s="33"/>
      <c r="G184" s="20"/>
      <c r="H184" s="20"/>
      <c r="I184" s="8" t="str">
        <f aca="false">IF(C184="","",IFERROR(INDEX(Disputes!$C$5:$C$1004,MATCH(C184,Disputes!$A$5:$A$1004,0)),IFERROR(INDEX(Batches!$B$5:$B$64,MATCH(C184,Batches!$A$5:$A$64,0)),"")))</f>
        <v/>
      </c>
      <c r="J184" s="17" t="str">
        <f aca="false">IF(B184="","",DATE(YEAR(B184),MONTH(B184),1))</f>
        <v/>
      </c>
    </row>
    <row r="185" customFormat="false" ht="15" hidden="false" customHeight="false" outlineLevel="0" collapsed="false">
      <c r="A185" s="20"/>
      <c r="B185" s="21"/>
      <c r="C185" s="20"/>
      <c r="D185" s="20"/>
      <c r="E185" s="20"/>
      <c r="F185" s="33"/>
      <c r="G185" s="20"/>
      <c r="H185" s="20"/>
      <c r="I185" s="8" t="str">
        <f aca="false">IF(C185="","",IFERROR(INDEX(Disputes!$C$5:$C$1004,MATCH(C185,Disputes!$A$5:$A$1004,0)),IFERROR(INDEX(Batches!$B$5:$B$64,MATCH(C185,Batches!$A$5:$A$64,0)),"")))</f>
        <v/>
      </c>
      <c r="J185" s="17" t="str">
        <f aca="false">IF(B185="","",DATE(YEAR(B185),MONTH(B185),1))</f>
        <v/>
      </c>
    </row>
    <row r="186" customFormat="false" ht="15" hidden="false" customHeight="false" outlineLevel="0" collapsed="false">
      <c r="A186" s="20"/>
      <c r="B186" s="21"/>
      <c r="C186" s="20"/>
      <c r="D186" s="20"/>
      <c r="E186" s="20"/>
      <c r="F186" s="33"/>
      <c r="G186" s="20"/>
      <c r="H186" s="20"/>
      <c r="I186" s="8" t="str">
        <f aca="false">IF(C186="","",IFERROR(INDEX(Disputes!$C$5:$C$1004,MATCH(C186,Disputes!$A$5:$A$1004,0)),IFERROR(INDEX(Batches!$B$5:$B$64,MATCH(C186,Batches!$A$5:$A$64,0)),"")))</f>
        <v/>
      </c>
      <c r="J186" s="17" t="str">
        <f aca="false">IF(B186="","",DATE(YEAR(B186),MONTH(B186),1))</f>
        <v/>
      </c>
    </row>
    <row r="187" customFormat="false" ht="15" hidden="false" customHeight="false" outlineLevel="0" collapsed="false">
      <c r="A187" s="20"/>
      <c r="B187" s="21"/>
      <c r="C187" s="20"/>
      <c r="D187" s="20"/>
      <c r="E187" s="20"/>
      <c r="F187" s="33"/>
      <c r="G187" s="20"/>
      <c r="H187" s="20"/>
      <c r="I187" s="8" t="str">
        <f aca="false">IF(C187="","",IFERROR(INDEX(Disputes!$C$5:$C$1004,MATCH(C187,Disputes!$A$5:$A$1004,0)),IFERROR(INDEX(Batches!$B$5:$B$64,MATCH(C187,Batches!$A$5:$A$64,0)),"")))</f>
        <v/>
      </c>
      <c r="J187" s="17" t="str">
        <f aca="false">IF(B187="","",DATE(YEAR(B187),MONTH(B187),1))</f>
        <v/>
      </c>
    </row>
    <row r="188" customFormat="false" ht="15" hidden="false" customHeight="false" outlineLevel="0" collapsed="false">
      <c r="A188" s="20"/>
      <c r="B188" s="21"/>
      <c r="C188" s="20"/>
      <c r="D188" s="20"/>
      <c r="E188" s="20"/>
      <c r="F188" s="33"/>
      <c r="G188" s="20"/>
      <c r="H188" s="20"/>
      <c r="I188" s="8" t="str">
        <f aca="false">IF(C188="","",IFERROR(INDEX(Disputes!$C$5:$C$1004,MATCH(C188,Disputes!$A$5:$A$1004,0)),IFERROR(INDEX(Batches!$B$5:$B$64,MATCH(C188,Batches!$A$5:$A$64,0)),"")))</f>
        <v/>
      </c>
      <c r="J188" s="17" t="str">
        <f aca="false">IF(B188="","",DATE(YEAR(B188),MONTH(B188),1))</f>
        <v/>
      </c>
    </row>
    <row r="189" customFormat="false" ht="15" hidden="false" customHeight="false" outlineLevel="0" collapsed="false">
      <c r="A189" s="20"/>
      <c r="B189" s="21"/>
      <c r="C189" s="20"/>
      <c r="D189" s="20"/>
      <c r="E189" s="20"/>
      <c r="F189" s="33"/>
      <c r="G189" s="20"/>
      <c r="H189" s="20"/>
      <c r="I189" s="8" t="str">
        <f aca="false">IF(C189="","",IFERROR(INDEX(Disputes!$C$5:$C$1004,MATCH(C189,Disputes!$A$5:$A$1004,0)),IFERROR(INDEX(Batches!$B$5:$B$64,MATCH(C189,Batches!$A$5:$A$64,0)),"")))</f>
        <v/>
      </c>
      <c r="J189" s="17" t="str">
        <f aca="false">IF(B189="","",DATE(YEAR(B189),MONTH(B189),1))</f>
        <v/>
      </c>
    </row>
    <row r="190" customFormat="false" ht="15" hidden="false" customHeight="false" outlineLevel="0" collapsed="false">
      <c r="A190" s="20"/>
      <c r="B190" s="21"/>
      <c r="C190" s="20"/>
      <c r="D190" s="20"/>
      <c r="E190" s="20"/>
      <c r="F190" s="33"/>
      <c r="G190" s="20"/>
      <c r="H190" s="20"/>
      <c r="I190" s="8" t="str">
        <f aca="false">IF(C190="","",IFERROR(INDEX(Disputes!$C$5:$C$1004,MATCH(C190,Disputes!$A$5:$A$1004,0)),IFERROR(INDEX(Batches!$B$5:$B$64,MATCH(C190,Batches!$A$5:$A$64,0)),"")))</f>
        <v/>
      </c>
      <c r="J190" s="17" t="str">
        <f aca="false">IF(B190="","",DATE(YEAR(B190),MONTH(B190),1))</f>
        <v/>
      </c>
    </row>
    <row r="191" customFormat="false" ht="15" hidden="false" customHeight="false" outlineLevel="0" collapsed="false">
      <c r="A191" s="20"/>
      <c r="B191" s="21"/>
      <c r="C191" s="20"/>
      <c r="D191" s="20"/>
      <c r="E191" s="20"/>
      <c r="F191" s="33"/>
      <c r="G191" s="20"/>
      <c r="H191" s="20"/>
      <c r="I191" s="8" t="str">
        <f aca="false">IF(C191="","",IFERROR(INDEX(Disputes!$C$5:$C$1004,MATCH(C191,Disputes!$A$5:$A$1004,0)),IFERROR(INDEX(Batches!$B$5:$B$64,MATCH(C191,Batches!$A$5:$A$64,0)),"")))</f>
        <v/>
      </c>
      <c r="J191" s="17" t="str">
        <f aca="false">IF(B191="","",DATE(YEAR(B191),MONTH(B191),1))</f>
        <v/>
      </c>
    </row>
    <row r="192" customFormat="false" ht="15" hidden="false" customHeight="false" outlineLevel="0" collapsed="false">
      <c r="A192" s="20"/>
      <c r="B192" s="21"/>
      <c r="C192" s="20"/>
      <c r="D192" s="20"/>
      <c r="E192" s="20"/>
      <c r="F192" s="33"/>
      <c r="G192" s="20"/>
      <c r="H192" s="20"/>
      <c r="I192" s="8" t="str">
        <f aca="false">IF(C192="","",IFERROR(INDEX(Disputes!$C$5:$C$1004,MATCH(C192,Disputes!$A$5:$A$1004,0)),IFERROR(INDEX(Batches!$B$5:$B$64,MATCH(C192,Batches!$A$5:$A$64,0)),"")))</f>
        <v/>
      </c>
      <c r="J192" s="17" t="str">
        <f aca="false">IF(B192="","",DATE(YEAR(B192),MONTH(B192),1))</f>
        <v/>
      </c>
    </row>
    <row r="193" customFormat="false" ht="15" hidden="false" customHeight="false" outlineLevel="0" collapsed="false">
      <c r="A193" s="20"/>
      <c r="B193" s="21"/>
      <c r="C193" s="20"/>
      <c r="D193" s="20"/>
      <c r="E193" s="20"/>
      <c r="F193" s="33"/>
      <c r="G193" s="20"/>
      <c r="H193" s="20"/>
      <c r="I193" s="8" t="str">
        <f aca="false">IF(C193="","",IFERROR(INDEX(Disputes!$C$5:$C$1004,MATCH(C193,Disputes!$A$5:$A$1004,0)),IFERROR(INDEX(Batches!$B$5:$B$64,MATCH(C193,Batches!$A$5:$A$64,0)),"")))</f>
        <v/>
      </c>
      <c r="J193" s="17" t="str">
        <f aca="false">IF(B193="","",DATE(YEAR(B193),MONTH(B193),1))</f>
        <v/>
      </c>
    </row>
    <row r="194" customFormat="false" ht="15" hidden="false" customHeight="false" outlineLevel="0" collapsed="false">
      <c r="A194" s="20"/>
      <c r="B194" s="21"/>
      <c r="C194" s="20"/>
      <c r="D194" s="20"/>
      <c r="E194" s="20"/>
      <c r="F194" s="33"/>
      <c r="G194" s="20"/>
      <c r="H194" s="20"/>
      <c r="I194" s="8" t="str">
        <f aca="false">IF(C194="","",IFERROR(INDEX(Disputes!$C$5:$C$1004,MATCH(C194,Disputes!$A$5:$A$1004,0)),IFERROR(INDEX(Batches!$B$5:$B$64,MATCH(C194,Batches!$A$5:$A$64,0)),"")))</f>
        <v/>
      </c>
      <c r="J194" s="17" t="str">
        <f aca="false">IF(B194="","",DATE(YEAR(B194),MONTH(B194),1))</f>
        <v/>
      </c>
    </row>
    <row r="195" customFormat="false" ht="15" hidden="false" customHeight="false" outlineLevel="0" collapsed="false">
      <c r="A195" s="20"/>
      <c r="B195" s="21"/>
      <c r="C195" s="20"/>
      <c r="D195" s="20"/>
      <c r="E195" s="20"/>
      <c r="F195" s="33"/>
      <c r="G195" s="20"/>
      <c r="H195" s="20"/>
      <c r="I195" s="8" t="str">
        <f aca="false">IF(C195="","",IFERROR(INDEX(Disputes!$C$5:$C$1004,MATCH(C195,Disputes!$A$5:$A$1004,0)),IFERROR(INDEX(Batches!$B$5:$B$64,MATCH(C195,Batches!$A$5:$A$64,0)),"")))</f>
        <v/>
      </c>
      <c r="J195" s="17" t="str">
        <f aca="false">IF(B195="","",DATE(YEAR(B195),MONTH(B195),1))</f>
        <v/>
      </c>
    </row>
    <row r="196" customFormat="false" ht="15" hidden="false" customHeight="false" outlineLevel="0" collapsed="false">
      <c r="A196" s="20"/>
      <c r="B196" s="21"/>
      <c r="C196" s="20"/>
      <c r="D196" s="20"/>
      <c r="E196" s="20"/>
      <c r="F196" s="33"/>
      <c r="G196" s="20"/>
      <c r="H196" s="20"/>
      <c r="I196" s="8" t="str">
        <f aca="false">IF(C196="","",IFERROR(INDEX(Disputes!$C$5:$C$1004,MATCH(C196,Disputes!$A$5:$A$1004,0)),IFERROR(INDEX(Batches!$B$5:$B$64,MATCH(C196,Batches!$A$5:$A$64,0)),"")))</f>
        <v/>
      </c>
      <c r="J196" s="17" t="str">
        <f aca="false">IF(B196="","",DATE(YEAR(B196),MONTH(B196),1))</f>
        <v/>
      </c>
    </row>
    <row r="197" customFormat="false" ht="15" hidden="false" customHeight="false" outlineLevel="0" collapsed="false">
      <c r="A197" s="20"/>
      <c r="B197" s="21"/>
      <c r="C197" s="20"/>
      <c r="D197" s="20"/>
      <c r="E197" s="20"/>
      <c r="F197" s="33"/>
      <c r="G197" s="20"/>
      <c r="H197" s="20"/>
      <c r="I197" s="8" t="str">
        <f aca="false">IF(C197="","",IFERROR(INDEX(Disputes!$C$5:$C$1004,MATCH(C197,Disputes!$A$5:$A$1004,0)),IFERROR(INDEX(Batches!$B$5:$B$64,MATCH(C197,Batches!$A$5:$A$64,0)),"")))</f>
        <v/>
      </c>
      <c r="J197" s="17" t="str">
        <f aca="false">IF(B197="","",DATE(YEAR(B197),MONTH(B197),1))</f>
        <v/>
      </c>
    </row>
    <row r="198" customFormat="false" ht="15" hidden="false" customHeight="false" outlineLevel="0" collapsed="false">
      <c r="A198" s="20"/>
      <c r="B198" s="21"/>
      <c r="C198" s="20"/>
      <c r="D198" s="20"/>
      <c r="E198" s="20"/>
      <c r="F198" s="33"/>
      <c r="G198" s="20"/>
      <c r="H198" s="20"/>
      <c r="I198" s="8" t="str">
        <f aca="false">IF(C198="","",IFERROR(INDEX(Disputes!$C$5:$C$1004,MATCH(C198,Disputes!$A$5:$A$1004,0)),IFERROR(INDEX(Batches!$B$5:$B$64,MATCH(C198,Batches!$A$5:$A$64,0)),"")))</f>
        <v/>
      </c>
      <c r="J198" s="17" t="str">
        <f aca="false">IF(B198="","",DATE(YEAR(B198),MONTH(B198),1))</f>
        <v/>
      </c>
    </row>
    <row r="199" customFormat="false" ht="15" hidden="false" customHeight="false" outlineLevel="0" collapsed="false">
      <c r="A199" s="20"/>
      <c r="B199" s="21"/>
      <c r="C199" s="20"/>
      <c r="D199" s="20"/>
      <c r="E199" s="20"/>
      <c r="F199" s="33"/>
      <c r="G199" s="20"/>
      <c r="H199" s="20"/>
      <c r="I199" s="8" t="str">
        <f aca="false">IF(C199="","",IFERROR(INDEX(Disputes!$C$5:$C$1004,MATCH(C199,Disputes!$A$5:$A$1004,0)),IFERROR(INDEX(Batches!$B$5:$B$64,MATCH(C199,Batches!$A$5:$A$64,0)),"")))</f>
        <v/>
      </c>
      <c r="J199" s="17" t="str">
        <f aca="false">IF(B199="","",DATE(YEAR(B199),MONTH(B199),1))</f>
        <v/>
      </c>
    </row>
    <row r="200" customFormat="false" ht="15" hidden="false" customHeight="false" outlineLevel="0" collapsed="false">
      <c r="A200" s="20"/>
      <c r="B200" s="21"/>
      <c r="C200" s="20"/>
      <c r="D200" s="20"/>
      <c r="E200" s="20"/>
      <c r="F200" s="33"/>
      <c r="G200" s="20"/>
      <c r="H200" s="20"/>
      <c r="I200" s="8" t="str">
        <f aca="false">IF(C200="","",IFERROR(INDEX(Disputes!$C$5:$C$1004,MATCH(C200,Disputes!$A$5:$A$1004,0)),IFERROR(INDEX(Batches!$B$5:$B$64,MATCH(C200,Batches!$A$5:$A$64,0)),"")))</f>
        <v/>
      </c>
      <c r="J200" s="17" t="str">
        <f aca="false">IF(B200="","",DATE(YEAR(B200),MONTH(B200),1))</f>
        <v/>
      </c>
    </row>
    <row r="201" customFormat="false" ht="15" hidden="false" customHeight="false" outlineLevel="0" collapsed="false">
      <c r="A201" s="20"/>
      <c r="B201" s="21"/>
      <c r="C201" s="20"/>
      <c r="D201" s="20"/>
      <c r="E201" s="20"/>
      <c r="F201" s="33"/>
      <c r="G201" s="20"/>
      <c r="H201" s="20"/>
      <c r="I201" s="8" t="str">
        <f aca="false">IF(C201="","",IFERROR(INDEX(Disputes!$C$5:$C$1004,MATCH(C201,Disputes!$A$5:$A$1004,0)),IFERROR(INDEX(Batches!$B$5:$B$64,MATCH(C201,Batches!$A$5:$A$64,0)),"")))</f>
        <v/>
      </c>
      <c r="J201" s="17" t="str">
        <f aca="false">IF(B201="","",DATE(YEAR(B201),MONTH(B201),1))</f>
        <v/>
      </c>
    </row>
    <row r="202" customFormat="false" ht="15" hidden="false" customHeight="false" outlineLevel="0" collapsed="false">
      <c r="A202" s="20"/>
      <c r="B202" s="21"/>
      <c r="C202" s="20"/>
      <c r="D202" s="20"/>
      <c r="E202" s="20"/>
      <c r="F202" s="33"/>
      <c r="G202" s="20"/>
      <c r="H202" s="20"/>
      <c r="I202" s="8" t="str">
        <f aca="false">IF(C202="","",IFERROR(INDEX(Disputes!$C$5:$C$1004,MATCH(C202,Disputes!$A$5:$A$1004,0)),IFERROR(INDEX(Batches!$B$5:$B$64,MATCH(C202,Batches!$A$5:$A$64,0)),"")))</f>
        <v/>
      </c>
      <c r="J202" s="17" t="str">
        <f aca="false">IF(B202="","",DATE(YEAR(B202),MONTH(B202),1))</f>
        <v/>
      </c>
    </row>
    <row r="203" customFormat="false" ht="15" hidden="false" customHeight="false" outlineLevel="0" collapsed="false">
      <c r="A203" s="20"/>
      <c r="B203" s="21"/>
      <c r="C203" s="20"/>
      <c r="D203" s="20"/>
      <c r="E203" s="20"/>
      <c r="F203" s="33"/>
      <c r="G203" s="20"/>
      <c r="H203" s="20"/>
      <c r="I203" s="8" t="str">
        <f aca="false">IF(C203="","",IFERROR(INDEX(Disputes!$C$5:$C$1004,MATCH(C203,Disputes!$A$5:$A$1004,0)),IFERROR(INDEX(Batches!$B$5:$B$64,MATCH(C203,Batches!$A$5:$A$64,0)),"")))</f>
        <v/>
      </c>
      <c r="J203" s="17" t="str">
        <f aca="false">IF(B203="","",DATE(YEAR(B203),MONTH(B203),1))</f>
        <v/>
      </c>
    </row>
    <row r="204" customFormat="false" ht="15" hidden="false" customHeight="false" outlineLevel="0" collapsed="false">
      <c r="A204" s="20"/>
      <c r="B204" s="21"/>
      <c r="C204" s="20"/>
      <c r="D204" s="20"/>
      <c r="E204" s="20"/>
      <c r="F204" s="33"/>
      <c r="G204" s="20"/>
      <c r="H204" s="20"/>
      <c r="I204" s="8" t="str">
        <f aca="false">IF(C204="","",IFERROR(INDEX(Disputes!$C$5:$C$1004,MATCH(C204,Disputes!$A$5:$A$1004,0)),IFERROR(INDEX(Batches!$B$5:$B$64,MATCH(C204,Batches!$A$5:$A$64,0)),"")))</f>
        <v/>
      </c>
      <c r="J204" s="17" t="str">
        <f aca="false">IF(B204="","",DATE(YEAR(B204),MONTH(B204),1))</f>
        <v/>
      </c>
    </row>
    <row r="205" customFormat="false" ht="15" hidden="false" customHeight="false" outlineLevel="0" collapsed="false">
      <c r="A205" s="20"/>
      <c r="B205" s="21"/>
      <c r="C205" s="20"/>
      <c r="D205" s="20"/>
      <c r="E205" s="20"/>
      <c r="F205" s="33"/>
      <c r="G205" s="20"/>
      <c r="H205" s="20"/>
      <c r="I205" s="8" t="str">
        <f aca="false">IF(C205="","",IFERROR(INDEX(Disputes!$C$5:$C$1004,MATCH(C205,Disputes!$A$5:$A$1004,0)),IFERROR(INDEX(Batches!$B$5:$B$64,MATCH(C205,Batches!$A$5:$A$64,0)),"")))</f>
        <v/>
      </c>
      <c r="J205" s="17" t="str">
        <f aca="false">IF(B205="","",DATE(YEAR(B205),MONTH(B205),1))</f>
        <v/>
      </c>
    </row>
    <row r="206" customFormat="false" ht="15" hidden="false" customHeight="false" outlineLevel="0" collapsed="false">
      <c r="A206" s="20"/>
      <c r="B206" s="21"/>
      <c r="C206" s="20"/>
      <c r="D206" s="20"/>
      <c r="E206" s="20"/>
      <c r="F206" s="33"/>
      <c r="G206" s="20"/>
      <c r="H206" s="20"/>
      <c r="I206" s="8" t="str">
        <f aca="false">IF(C206="","",IFERROR(INDEX(Disputes!$C$5:$C$1004,MATCH(C206,Disputes!$A$5:$A$1004,0)),IFERROR(INDEX(Batches!$B$5:$B$64,MATCH(C206,Batches!$A$5:$A$64,0)),"")))</f>
        <v/>
      </c>
      <c r="J206" s="17" t="str">
        <f aca="false">IF(B206="","",DATE(YEAR(B206),MONTH(B206),1))</f>
        <v/>
      </c>
    </row>
    <row r="207" customFormat="false" ht="15" hidden="false" customHeight="false" outlineLevel="0" collapsed="false">
      <c r="A207" s="20"/>
      <c r="B207" s="21"/>
      <c r="C207" s="20"/>
      <c r="D207" s="20"/>
      <c r="E207" s="20"/>
      <c r="F207" s="33"/>
      <c r="G207" s="20"/>
      <c r="H207" s="20"/>
      <c r="I207" s="8" t="str">
        <f aca="false">IF(C207="","",IFERROR(INDEX(Disputes!$C$5:$C$1004,MATCH(C207,Disputes!$A$5:$A$1004,0)),IFERROR(INDEX(Batches!$B$5:$B$64,MATCH(C207,Batches!$A$5:$A$64,0)),"")))</f>
        <v/>
      </c>
      <c r="J207" s="17" t="str">
        <f aca="false">IF(B207="","",DATE(YEAR(B207),MONTH(B207),1))</f>
        <v/>
      </c>
    </row>
    <row r="208" customFormat="false" ht="15" hidden="false" customHeight="false" outlineLevel="0" collapsed="false">
      <c r="A208" s="20"/>
      <c r="B208" s="21"/>
      <c r="C208" s="20"/>
      <c r="D208" s="20"/>
      <c r="E208" s="20"/>
      <c r="F208" s="33"/>
      <c r="G208" s="20"/>
      <c r="H208" s="20"/>
      <c r="I208" s="8" t="str">
        <f aca="false">IF(C208="","",IFERROR(INDEX(Disputes!$C$5:$C$1004,MATCH(C208,Disputes!$A$5:$A$1004,0)),IFERROR(INDEX(Batches!$B$5:$B$64,MATCH(C208,Batches!$A$5:$A$64,0)),"")))</f>
        <v/>
      </c>
      <c r="J208" s="17" t="str">
        <f aca="false">IF(B208="","",DATE(YEAR(B208),MONTH(B208),1))</f>
        <v/>
      </c>
    </row>
    <row r="209" customFormat="false" ht="15" hidden="false" customHeight="false" outlineLevel="0" collapsed="false">
      <c r="A209" s="20"/>
      <c r="B209" s="21"/>
      <c r="C209" s="20"/>
      <c r="D209" s="20"/>
      <c r="E209" s="20"/>
      <c r="F209" s="33"/>
      <c r="G209" s="20"/>
      <c r="H209" s="20"/>
      <c r="I209" s="8" t="str">
        <f aca="false">IF(C209="","",IFERROR(INDEX(Disputes!$C$5:$C$1004,MATCH(C209,Disputes!$A$5:$A$1004,0)),IFERROR(INDEX(Batches!$B$5:$B$64,MATCH(C209,Batches!$A$5:$A$64,0)),"")))</f>
        <v/>
      </c>
      <c r="J209" s="17" t="str">
        <f aca="false">IF(B209="","",DATE(YEAR(B209),MONTH(B209),1))</f>
        <v/>
      </c>
    </row>
    <row r="210" customFormat="false" ht="15" hidden="false" customHeight="false" outlineLevel="0" collapsed="false">
      <c r="A210" s="20"/>
      <c r="B210" s="21"/>
      <c r="C210" s="20"/>
      <c r="D210" s="20"/>
      <c r="E210" s="20"/>
      <c r="F210" s="33"/>
      <c r="G210" s="20"/>
      <c r="H210" s="20"/>
      <c r="I210" s="8" t="str">
        <f aca="false">IF(C210="","",IFERROR(INDEX(Disputes!$C$5:$C$1004,MATCH(C210,Disputes!$A$5:$A$1004,0)),IFERROR(INDEX(Batches!$B$5:$B$64,MATCH(C210,Batches!$A$5:$A$64,0)),"")))</f>
        <v/>
      </c>
      <c r="J210" s="17" t="str">
        <f aca="false">IF(B210="","",DATE(YEAR(B210),MONTH(B210),1))</f>
        <v/>
      </c>
    </row>
    <row r="211" customFormat="false" ht="15" hidden="false" customHeight="false" outlineLevel="0" collapsed="false">
      <c r="A211" s="20"/>
      <c r="B211" s="21"/>
      <c r="C211" s="20"/>
      <c r="D211" s="20"/>
      <c r="E211" s="20"/>
      <c r="F211" s="33"/>
      <c r="G211" s="20"/>
      <c r="H211" s="20"/>
      <c r="I211" s="8" t="str">
        <f aca="false">IF(C211="","",IFERROR(INDEX(Disputes!$C$5:$C$1004,MATCH(C211,Disputes!$A$5:$A$1004,0)),IFERROR(INDEX(Batches!$B$5:$B$64,MATCH(C211,Batches!$A$5:$A$64,0)),"")))</f>
        <v/>
      </c>
      <c r="J211" s="17" t="str">
        <f aca="false">IF(B211="","",DATE(YEAR(B211),MONTH(B211),1))</f>
        <v/>
      </c>
    </row>
    <row r="212" customFormat="false" ht="15" hidden="false" customHeight="false" outlineLevel="0" collapsed="false">
      <c r="A212" s="20"/>
      <c r="B212" s="21"/>
      <c r="C212" s="20"/>
      <c r="D212" s="20"/>
      <c r="E212" s="20"/>
      <c r="F212" s="33"/>
      <c r="G212" s="20"/>
      <c r="H212" s="20"/>
      <c r="I212" s="8" t="str">
        <f aca="false">IF(C212="","",IFERROR(INDEX(Disputes!$C$5:$C$1004,MATCH(C212,Disputes!$A$5:$A$1004,0)),IFERROR(INDEX(Batches!$B$5:$B$64,MATCH(C212,Batches!$A$5:$A$64,0)),"")))</f>
        <v/>
      </c>
      <c r="J212" s="17" t="str">
        <f aca="false">IF(B212="","",DATE(YEAR(B212),MONTH(B212),1))</f>
        <v/>
      </c>
    </row>
    <row r="213" customFormat="false" ht="15" hidden="false" customHeight="false" outlineLevel="0" collapsed="false">
      <c r="A213" s="20"/>
      <c r="B213" s="21"/>
      <c r="C213" s="20"/>
      <c r="D213" s="20"/>
      <c r="E213" s="20"/>
      <c r="F213" s="33"/>
      <c r="G213" s="20"/>
      <c r="H213" s="20"/>
      <c r="I213" s="8" t="str">
        <f aca="false">IF(C213="","",IFERROR(INDEX(Disputes!$C$5:$C$1004,MATCH(C213,Disputes!$A$5:$A$1004,0)),IFERROR(INDEX(Batches!$B$5:$B$64,MATCH(C213,Batches!$A$5:$A$64,0)),"")))</f>
        <v/>
      </c>
      <c r="J213" s="17" t="str">
        <f aca="false">IF(B213="","",DATE(YEAR(B213),MONTH(B213),1))</f>
        <v/>
      </c>
    </row>
    <row r="214" customFormat="false" ht="15" hidden="false" customHeight="false" outlineLevel="0" collapsed="false">
      <c r="A214" s="20"/>
      <c r="B214" s="21"/>
      <c r="C214" s="20"/>
      <c r="D214" s="20"/>
      <c r="E214" s="20"/>
      <c r="F214" s="33"/>
      <c r="G214" s="20"/>
      <c r="H214" s="20"/>
      <c r="I214" s="8" t="str">
        <f aca="false">IF(C214="","",IFERROR(INDEX(Disputes!$C$5:$C$1004,MATCH(C214,Disputes!$A$5:$A$1004,0)),IFERROR(INDEX(Batches!$B$5:$B$64,MATCH(C214,Batches!$A$5:$A$64,0)),"")))</f>
        <v/>
      </c>
      <c r="J214" s="17" t="str">
        <f aca="false">IF(B214="","",DATE(YEAR(B214),MONTH(B214),1))</f>
        <v/>
      </c>
    </row>
    <row r="215" customFormat="false" ht="15" hidden="false" customHeight="false" outlineLevel="0" collapsed="false">
      <c r="A215" s="20"/>
      <c r="B215" s="21"/>
      <c r="C215" s="20"/>
      <c r="D215" s="20"/>
      <c r="E215" s="20"/>
      <c r="F215" s="33"/>
      <c r="G215" s="20"/>
      <c r="H215" s="20"/>
      <c r="I215" s="8" t="str">
        <f aca="false">IF(C215="","",IFERROR(INDEX(Disputes!$C$5:$C$1004,MATCH(C215,Disputes!$A$5:$A$1004,0)),IFERROR(INDEX(Batches!$B$5:$B$64,MATCH(C215,Batches!$A$5:$A$64,0)),"")))</f>
        <v/>
      </c>
      <c r="J215" s="17" t="str">
        <f aca="false">IF(B215="","",DATE(YEAR(B215),MONTH(B215),1))</f>
        <v/>
      </c>
    </row>
    <row r="216" customFormat="false" ht="15" hidden="false" customHeight="false" outlineLevel="0" collapsed="false">
      <c r="A216" s="20"/>
      <c r="B216" s="21"/>
      <c r="C216" s="20"/>
      <c r="D216" s="20"/>
      <c r="E216" s="20"/>
      <c r="F216" s="33"/>
      <c r="G216" s="20"/>
      <c r="H216" s="20"/>
      <c r="I216" s="8" t="str">
        <f aca="false">IF(C216="","",IFERROR(INDEX(Disputes!$C$5:$C$1004,MATCH(C216,Disputes!$A$5:$A$1004,0)),IFERROR(INDEX(Batches!$B$5:$B$64,MATCH(C216,Batches!$A$5:$A$64,0)),"")))</f>
        <v/>
      </c>
      <c r="J216" s="17" t="str">
        <f aca="false">IF(B216="","",DATE(YEAR(B216),MONTH(B216),1))</f>
        <v/>
      </c>
    </row>
    <row r="217" customFormat="false" ht="15" hidden="false" customHeight="false" outlineLevel="0" collapsed="false">
      <c r="A217" s="20"/>
      <c r="B217" s="21"/>
      <c r="C217" s="20"/>
      <c r="D217" s="20"/>
      <c r="E217" s="20"/>
      <c r="F217" s="33"/>
      <c r="G217" s="20"/>
      <c r="H217" s="20"/>
      <c r="I217" s="8" t="str">
        <f aca="false">IF(C217="","",IFERROR(INDEX(Disputes!$C$5:$C$1004,MATCH(C217,Disputes!$A$5:$A$1004,0)),IFERROR(INDEX(Batches!$B$5:$B$64,MATCH(C217,Batches!$A$5:$A$64,0)),"")))</f>
        <v/>
      </c>
      <c r="J217" s="17" t="str">
        <f aca="false">IF(B217="","",DATE(YEAR(B217),MONTH(B217),1))</f>
        <v/>
      </c>
    </row>
    <row r="218" customFormat="false" ht="15" hidden="false" customHeight="false" outlineLevel="0" collapsed="false">
      <c r="A218" s="20"/>
      <c r="B218" s="21"/>
      <c r="C218" s="20"/>
      <c r="D218" s="20"/>
      <c r="E218" s="20"/>
      <c r="F218" s="33"/>
      <c r="G218" s="20"/>
      <c r="H218" s="20"/>
      <c r="I218" s="8" t="str">
        <f aca="false">IF(C218="","",IFERROR(INDEX(Disputes!$C$5:$C$1004,MATCH(C218,Disputes!$A$5:$A$1004,0)),IFERROR(INDEX(Batches!$B$5:$B$64,MATCH(C218,Batches!$A$5:$A$64,0)),"")))</f>
        <v/>
      </c>
      <c r="J218" s="17" t="str">
        <f aca="false">IF(B218="","",DATE(YEAR(B218),MONTH(B218),1))</f>
        <v/>
      </c>
    </row>
    <row r="219" customFormat="false" ht="15" hidden="false" customHeight="false" outlineLevel="0" collapsed="false">
      <c r="A219" s="20"/>
      <c r="B219" s="21"/>
      <c r="C219" s="20"/>
      <c r="D219" s="20"/>
      <c r="E219" s="20"/>
      <c r="F219" s="33"/>
      <c r="G219" s="20"/>
      <c r="H219" s="20"/>
      <c r="I219" s="8" t="str">
        <f aca="false">IF(C219="","",IFERROR(INDEX(Disputes!$C$5:$C$1004,MATCH(C219,Disputes!$A$5:$A$1004,0)),IFERROR(INDEX(Batches!$B$5:$B$64,MATCH(C219,Batches!$A$5:$A$64,0)),"")))</f>
        <v/>
      </c>
      <c r="J219" s="17" t="str">
        <f aca="false">IF(B219="","",DATE(YEAR(B219),MONTH(B219),1))</f>
        <v/>
      </c>
    </row>
    <row r="220" customFormat="false" ht="15" hidden="false" customHeight="false" outlineLevel="0" collapsed="false">
      <c r="A220" s="20"/>
      <c r="B220" s="21"/>
      <c r="C220" s="20"/>
      <c r="D220" s="20"/>
      <c r="E220" s="20"/>
      <c r="F220" s="33"/>
      <c r="G220" s="20"/>
      <c r="H220" s="20"/>
      <c r="I220" s="8" t="str">
        <f aca="false">IF(C220="","",IFERROR(INDEX(Disputes!$C$5:$C$1004,MATCH(C220,Disputes!$A$5:$A$1004,0)),IFERROR(INDEX(Batches!$B$5:$B$64,MATCH(C220,Batches!$A$5:$A$64,0)),"")))</f>
        <v/>
      </c>
      <c r="J220" s="17" t="str">
        <f aca="false">IF(B220="","",DATE(YEAR(B220),MONTH(B220),1))</f>
        <v/>
      </c>
    </row>
    <row r="221" customFormat="false" ht="15" hidden="false" customHeight="false" outlineLevel="0" collapsed="false">
      <c r="A221" s="20"/>
      <c r="B221" s="21"/>
      <c r="C221" s="20"/>
      <c r="D221" s="20"/>
      <c r="E221" s="20"/>
      <c r="F221" s="33"/>
      <c r="G221" s="20"/>
      <c r="H221" s="20"/>
      <c r="I221" s="8" t="str">
        <f aca="false">IF(C221="","",IFERROR(INDEX(Disputes!$C$5:$C$1004,MATCH(C221,Disputes!$A$5:$A$1004,0)),IFERROR(INDEX(Batches!$B$5:$B$64,MATCH(C221,Batches!$A$5:$A$64,0)),"")))</f>
        <v/>
      </c>
      <c r="J221" s="17" t="str">
        <f aca="false">IF(B221="","",DATE(YEAR(B221),MONTH(B221),1))</f>
        <v/>
      </c>
    </row>
    <row r="222" customFormat="false" ht="15" hidden="false" customHeight="false" outlineLevel="0" collapsed="false">
      <c r="A222" s="20"/>
      <c r="B222" s="21"/>
      <c r="C222" s="20"/>
      <c r="D222" s="20"/>
      <c r="E222" s="20"/>
      <c r="F222" s="33"/>
      <c r="G222" s="20"/>
      <c r="H222" s="20"/>
      <c r="I222" s="8" t="str">
        <f aca="false">IF(C222="","",IFERROR(INDEX(Disputes!$C$5:$C$1004,MATCH(C222,Disputes!$A$5:$A$1004,0)),IFERROR(INDEX(Batches!$B$5:$B$64,MATCH(C222,Batches!$A$5:$A$64,0)),"")))</f>
        <v/>
      </c>
      <c r="J222" s="17" t="str">
        <f aca="false">IF(B222="","",DATE(YEAR(B222),MONTH(B222),1))</f>
        <v/>
      </c>
    </row>
    <row r="223" customFormat="false" ht="15" hidden="false" customHeight="false" outlineLevel="0" collapsed="false">
      <c r="A223" s="20"/>
      <c r="B223" s="21"/>
      <c r="C223" s="20"/>
      <c r="D223" s="20"/>
      <c r="E223" s="20"/>
      <c r="F223" s="33"/>
      <c r="G223" s="20"/>
      <c r="H223" s="20"/>
      <c r="I223" s="8" t="str">
        <f aca="false">IF(C223="","",IFERROR(INDEX(Disputes!$C$5:$C$1004,MATCH(C223,Disputes!$A$5:$A$1004,0)),IFERROR(INDEX(Batches!$B$5:$B$64,MATCH(C223,Batches!$A$5:$A$64,0)),"")))</f>
        <v/>
      </c>
      <c r="J223" s="17" t="str">
        <f aca="false">IF(B223="","",DATE(YEAR(B223),MONTH(B223),1))</f>
        <v/>
      </c>
    </row>
    <row r="224" customFormat="false" ht="15" hidden="false" customHeight="false" outlineLevel="0" collapsed="false">
      <c r="A224" s="20"/>
      <c r="B224" s="21"/>
      <c r="C224" s="20"/>
      <c r="D224" s="20"/>
      <c r="E224" s="20"/>
      <c r="F224" s="33"/>
      <c r="G224" s="20"/>
      <c r="H224" s="20"/>
      <c r="I224" s="8" t="str">
        <f aca="false">IF(C224="","",IFERROR(INDEX(Disputes!$C$5:$C$1004,MATCH(C224,Disputes!$A$5:$A$1004,0)),IFERROR(INDEX(Batches!$B$5:$B$64,MATCH(C224,Batches!$A$5:$A$64,0)),"")))</f>
        <v/>
      </c>
      <c r="J224" s="17" t="str">
        <f aca="false">IF(B224="","",DATE(YEAR(B224),MONTH(B224),1))</f>
        <v/>
      </c>
    </row>
    <row r="225" customFormat="false" ht="15" hidden="false" customHeight="false" outlineLevel="0" collapsed="false">
      <c r="A225" s="20"/>
      <c r="B225" s="21"/>
      <c r="C225" s="20"/>
      <c r="D225" s="20"/>
      <c r="E225" s="20"/>
      <c r="F225" s="33"/>
      <c r="G225" s="20"/>
      <c r="H225" s="20"/>
      <c r="I225" s="8" t="str">
        <f aca="false">IF(C225="","",IFERROR(INDEX(Disputes!$C$5:$C$1004,MATCH(C225,Disputes!$A$5:$A$1004,0)),IFERROR(INDEX(Batches!$B$5:$B$64,MATCH(C225,Batches!$A$5:$A$64,0)),"")))</f>
        <v/>
      </c>
      <c r="J225" s="17" t="str">
        <f aca="false">IF(B225="","",DATE(YEAR(B225),MONTH(B225),1))</f>
        <v/>
      </c>
    </row>
    <row r="226" customFormat="false" ht="15" hidden="false" customHeight="false" outlineLevel="0" collapsed="false">
      <c r="A226" s="20"/>
      <c r="B226" s="21"/>
      <c r="C226" s="20"/>
      <c r="D226" s="20"/>
      <c r="E226" s="20"/>
      <c r="F226" s="33"/>
      <c r="G226" s="20"/>
      <c r="H226" s="20"/>
      <c r="I226" s="8" t="str">
        <f aca="false">IF(C226="","",IFERROR(INDEX(Disputes!$C$5:$C$1004,MATCH(C226,Disputes!$A$5:$A$1004,0)),IFERROR(INDEX(Batches!$B$5:$B$64,MATCH(C226,Batches!$A$5:$A$64,0)),"")))</f>
        <v/>
      </c>
      <c r="J226" s="17" t="str">
        <f aca="false">IF(B226="","",DATE(YEAR(B226),MONTH(B226),1))</f>
        <v/>
      </c>
    </row>
    <row r="227" customFormat="false" ht="15" hidden="false" customHeight="false" outlineLevel="0" collapsed="false">
      <c r="A227" s="20"/>
      <c r="B227" s="21"/>
      <c r="C227" s="20"/>
      <c r="D227" s="20"/>
      <c r="E227" s="20"/>
      <c r="F227" s="33"/>
      <c r="G227" s="20"/>
      <c r="H227" s="20"/>
      <c r="I227" s="8" t="str">
        <f aca="false">IF(C227="","",IFERROR(INDEX(Disputes!$C$5:$C$1004,MATCH(C227,Disputes!$A$5:$A$1004,0)),IFERROR(INDEX(Batches!$B$5:$B$64,MATCH(C227,Batches!$A$5:$A$64,0)),"")))</f>
        <v/>
      </c>
      <c r="J227" s="17" t="str">
        <f aca="false">IF(B227="","",DATE(YEAR(B227),MONTH(B227),1))</f>
        <v/>
      </c>
    </row>
    <row r="228" customFormat="false" ht="15" hidden="false" customHeight="false" outlineLevel="0" collapsed="false">
      <c r="A228" s="20"/>
      <c r="B228" s="21"/>
      <c r="C228" s="20"/>
      <c r="D228" s="20"/>
      <c r="E228" s="20"/>
      <c r="F228" s="33"/>
      <c r="G228" s="20"/>
      <c r="H228" s="20"/>
      <c r="I228" s="8" t="str">
        <f aca="false">IF(C228="","",IFERROR(INDEX(Disputes!$C$5:$C$1004,MATCH(C228,Disputes!$A$5:$A$1004,0)),IFERROR(INDEX(Batches!$B$5:$B$64,MATCH(C228,Batches!$A$5:$A$64,0)),"")))</f>
        <v/>
      </c>
      <c r="J228" s="17" t="str">
        <f aca="false">IF(B228="","",DATE(YEAR(B228),MONTH(B228),1))</f>
        <v/>
      </c>
    </row>
    <row r="229" customFormat="false" ht="15" hidden="false" customHeight="false" outlineLevel="0" collapsed="false">
      <c r="A229" s="20"/>
      <c r="B229" s="21"/>
      <c r="C229" s="20"/>
      <c r="D229" s="20"/>
      <c r="E229" s="20"/>
      <c r="F229" s="33"/>
      <c r="G229" s="20"/>
      <c r="H229" s="20"/>
      <c r="I229" s="8" t="str">
        <f aca="false">IF(C229="","",IFERROR(INDEX(Disputes!$C$5:$C$1004,MATCH(C229,Disputes!$A$5:$A$1004,0)),IFERROR(INDEX(Batches!$B$5:$B$64,MATCH(C229,Batches!$A$5:$A$64,0)),"")))</f>
        <v/>
      </c>
      <c r="J229" s="17" t="str">
        <f aca="false">IF(B229="","",DATE(YEAR(B229),MONTH(B229),1))</f>
        <v/>
      </c>
    </row>
    <row r="230" customFormat="false" ht="15" hidden="false" customHeight="false" outlineLevel="0" collapsed="false">
      <c r="A230" s="20"/>
      <c r="B230" s="21"/>
      <c r="C230" s="20"/>
      <c r="D230" s="20"/>
      <c r="E230" s="20"/>
      <c r="F230" s="33"/>
      <c r="G230" s="20"/>
      <c r="H230" s="20"/>
      <c r="I230" s="8" t="str">
        <f aca="false">IF(C230="","",IFERROR(INDEX(Disputes!$C$5:$C$1004,MATCH(C230,Disputes!$A$5:$A$1004,0)),IFERROR(INDEX(Batches!$B$5:$B$64,MATCH(C230,Batches!$A$5:$A$64,0)),"")))</f>
        <v/>
      </c>
      <c r="J230" s="17" t="str">
        <f aca="false">IF(B230="","",DATE(YEAR(B230),MONTH(B230),1))</f>
        <v/>
      </c>
    </row>
    <row r="231" customFormat="false" ht="15" hidden="false" customHeight="false" outlineLevel="0" collapsed="false">
      <c r="A231" s="20"/>
      <c r="B231" s="21"/>
      <c r="C231" s="20"/>
      <c r="D231" s="20"/>
      <c r="E231" s="20"/>
      <c r="F231" s="33"/>
      <c r="G231" s="20"/>
      <c r="H231" s="20"/>
      <c r="I231" s="8" t="str">
        <f aca="false">IF(C231="","",IFERROR(INDEX(Disputes!$C$5:$C$1004,MATCH(C231,Disputes!$A$5:$A$1004,0)),IFERROR(INDEX(Batches!$B$5:$B$64,MATCH(C231,Batches!$A$5:$A$64,0)),"")))</f>
        <v/>
      </c>
      <c r="J231" s="17" t="str">
        <f aca="false">IF(B231="","",DATE(YEAR(B231),MONTH(B231),1))</f>
        <v/>
      </c>
    </row>
    <row r="232" customFormat="false" ht="15" hidden="false" customHeight="false" outlineLevel="0" collapsed="false">
      <c r="A232" s="20"/>
      <c r="B232" s="21"/>
      <c r="C232" s="20"/>
      <c r="D232" s="20"/>
      <c r="E232" s="20"/>
      <c r="F232" s="33"/>
      <c r="G232" s="20"/>
      <c r="H232" s="20"/>
      <c r="I232" s="8" t="str">
        <f aca="false">IF(C232="","",IFERROR(INDEX(Disputes!$C$5:$C$1004,MATCH(C232,Disputes!$A$5:$A$1004,0)),IFERROR(INDEX(Batches!$B$5:$B$64,MATCH(C232,Batches!$A$5:$A$64,0)),"")))</f>
        <v/>
      </c>
      <c r="J232" s="17" t="str">
        <f aca="false">IF(B232="","",DATE(YEAR(B232),MONTH(B232),1))</f>
        <v/>
      </c>
    </row>
    <row r="233" customFormat="false" ht="15" hidden="false" customHeight="false" outlineLevel="0" collapsed="false">
      <c r="A233" s="20"/>
      <c r="B233" s="21"/>
      <c r="C233" s="20"/>
      <c r="D233" s="20"/>
      <c r="E233" s="20"/>
      <c r="F233" s="33"/>
      <c r="G233" s="20"/>
      <c r="H233" s="20"/>
      <c r="I233" s="8" t="str">
        <f aca="false">IF(C233="","",IFERROR(INDEX(Disputes!$C$5:$C$1004,MATCH(C233,Disputes!$A$5:$A$1004,0)),IFERROR(INDEX(Batches!$B$5:$B$64,MATCH(C233,Batches!$A$5:$A$64,0)),"")))</f>
        <v/>
      </c>
      <c r="J233" s="17" t="str">
        <f aca="false">IF(B233="","",DATE(YEAR(B233),MONTH(B233),1))</f>
        <v/>
      </c>
    </row>
    <row r="234" customFormat="false" ht="15" hidden="false" customHeight="false" outlineLevel="0" collapsed="false">
      <c r="A234" s="20"/>
      <c r="B234" s="21"/>
      <c r="C234" s="20"/>
      <c r="D234" s="20"/>
      <c r="E234" s="20"/>
      <c r="F234" s="33"/>
      <c r="G234" s="20"/>
      <c r="H234" s="20"/>
      <c r="I234" s="8" t="str">
        <f aca="false">IF(C234="","",IFERROR(INDEX(Disputes!$C$5:$C$1004,MATCH(C234,Disputes!$A$5:$A$1004,0)),IFERROR(INDEX(Batches!$B$5:$B$64,MATCH(C234,Batches!$A$5:$A$64,0)),"")))</f>
        <v/>
      </c>
      <c r="J234" s="17" t="str">
        <f aca="false">IF(B234="","",DATE(YEAR(B234),MONTH(B234),1))</f>
        <v/>
      </c>
    </row>
    <row r="235" customFormat="false" ht="15" hidden="false" customHeight="false" outlineLevel="0" collapsed="false">
      <c r="A235" s="20"/>
      <c r="B235" s="21"/>
      <c r="C235" s="20"/>
      <c r="D235" s="20"/>
      <c r="E235" s="20"/>
      <c r="F235" s="33"/>
      <c r="G235" s="20"/>
      <c r="H235" s="20"/>
      <c r="I235" s="8" t="str">
        <f aca="false">IF(C235="","",IFERROR(INDEX(Disputes!$C$5:$C$1004,MATCH(C235,Disputes!$A$5:$A$1004,0)),IFERROR(INDEX(Batches!$B$5:$B$64,MATCH(C235,Batches!$A$5:$A$64,0)),"")))</f>
        <v/>
      </c>
      <c r="J235" s="17" t="str">
        <f aca="false">IF(B235="","",DATE(YEAR(B235),MONTH(B235),1))</f>
        <v/>
      </c>
    </row>
    <row r="236" customFormat="false" ht="15" hidden="false" customHeight="false" outlineLevel="0" collapsed="false">
      <c r="A236" s="20"/>
      <c r="B236" s="21"/>
      <c r="C236" s="20"/>
      <c r="D236" s="20"/>
      <c r="E236" s="20"/>
      <c r="F236" s="33"/>
      <c r="G236" s="20"/>
      <c r="H236" s="20"/>
      <c r="I236" s="8" t="str">
        <f aca="false">IF(C236="","",IFERROR(INDEX(Disputes!$C$5:$C$1004,MATCH(C236,Disputes!$A$5:$A$1004,0)),IFERROR(INDEX(Batches!$B$5:$B$64,MATCH(C236,Batches!$A$5:$A$64,0)),"")))</f>
        <v/>
      </c>
      <c r="J236" s="17" t="str">
        <f aca="false">IF(B236="","",DATE(YEAR(B236),MONTH(B236),1))</f>
        <v/>
      </c>
    </row>
    <row r="237" customFormat="false" ht="15" hidden="false" customHeight="false" outlineLevel="0" collapsed="false">
      <c r="A237" s="20"/>
      <c r="B237" s="21"/>
      <c r="C237" s="20"/>
      <c r="D237" s="20"/>
      <c r="E237" s="20"/>
      <c r="F237" s="33"/>
      <c r="G237" s="20"/>
      <c r="H237" s="20"/>
      <c r="I237" s="8" t="str">
        <f aca="false">IF(C237="","",IFERROR(INDEX(Disputes!$C$5:$C$1004,MATCH(C237,Disputes!$A$5:$A$1004,0)),IFERROR(INDEX(Batches!$B$5:$B$64,MATCH(C237,Batches!$A$5:$A$64,0)),"")))</f>
        <v/>
      </c>
      <c r="J237" s="17" t="str">
        <f aca="false">IF(B237="","",DATE(YEAR(B237),MONTH(B237),1))</f>
        <v/>
      </c>
    </row>
    <row r="238" customFormat="false" ht="15" hidden="false" customHeight="false" outlineLevel="0" collapsed="false">
      <c r="A238" s="20"/>
      <c r="B238" s="21"/>
      <c r="C238" s="20"/>
      <c r="D238" s="20"/>
      <c r="E238" s="20"/>
      <c r="F238" s="33"/>
      <c r="G238" s="20"/>
      <c r="H238" s="20"/>
      <c r="I238" s="8" t="str">
        <f aca="false">IF(C238="","",IFERROR(INDEX(Disputes!$C$5:$C$1004,MATCH(C238,Disputes!$A$5:$A$1004,0)),IFERROR(INDEX(Batches!$B$5:$B$64,MATCH(C238,Batches!$A$5:$A$64,0)),"")))</f>
        <v/>
      </c>
      <c r="J238" s="17" t="str">
        <f aca="false">IF(B238="","",DATE(YEAR(B238),MONTH(B238),1))</f>
        <v/>
      </c>
    </row>
    <row r="239" customFormat="false" ht="15" hidden="false" customHeight="false" outlineLevel="0" collapsed="false">
      <c r="A239" s="20"/>
      <c r="B239" s="21"/>
      <c r="C239" s="20"/>
      <c r="D239" s="20"/>
      <c r="E239" s="20"/>
      <c r="F239" s="33"/>
      <c r="G239" s="20"/>
      <c r="H239" s="20"/>
      <c r="I239" s="8" t="str">
        <f aca="false">IF(C239="","",IFERROR(INDEX(Disputes!$C$5:$C$1004,MATCH(C239,Disputes!$A$5:$A$1004,0)),IFERROR(INDEX(Batches!$B$5:$B$64,MATCH(C239,Batches!$A$5:$A$64,0)),"")))</f>
        <v/>
      </c>
      <c r="J239" s="17" t="str">
        <f aca="false">IF(B239="","",DATE(YEAR(B239),MONTH(B239),1))</f>
        <v/>
      </c>
    </row>
    <row r="240" customFormat="false" ht="15" hidden="false" customHeight="false" outlineLevel="0" collapsed="false">
      <c r="A240" s="20"/>
      <c r="B240" s="21"/>
      <c r="C240" s="20"/>
      <c r="D240" s="20"/>
      <c r="E240" s="20"/>
      <c r="F240" s="33"/>
      <c r="G240" s="20"/>
      <c r="H240" s="20"/>
      <c r="I240" s="8" t="str">
        <f aca="false">IF(C240="","",IFERROR(INDEX(Disputes!$C$5:$C$1004,MATCH(C240,Disputes!$A$5:$A$1004,0)),IFERROR(INDEX(Batches!$B$5:$B$64,MATCH(C240,Batches!$A$5:$A$64,0)),"")))</f>
        <v/>
      </c>
      <c r="J240" s="17" t="str">
        <f aca="false">IF(B240="","",DATE(YEAR(B240),MONTH(B240),1))</f>
        <v/>
      </c>
    </row>
    <row r="241" customFormat="false" ht="15" hidden="false" customHeight="false" outlineLevel="0" collapsed="false">
      <c r="A241" s="20"/>
      <c r="B241" s="21"/>
      <c r="C241" s="20"/>
      <c r="D241" s="20"/>
      <c r="E241" s="20"/>
      <c r="F241" s="33"/>
      <c r="G241" s="20"/>
      <c r="H241" s="20"/>
      <c r="I241" s="8" t="str">
        <f aca="false">IF(C241="","",IFERROR(INDEX(Disputes!$C$5:$C$1004,MATCH(C241,Disputes!$A$5:$A$1004,0)),IFERROR(INDEX(Batches!$B$5:$B$64,MATCH(C241,Batches!$A$5:$A$64,0)),"")))</f>
        <v/>
      </c>
      <c r="J241" s="17" t="str">
        <f aca="false">IF(B241="","",DATE(YEAR(B241),MONTH(B241),1))</f>
        <v/>
      </c>
    </row>
    <row r="242" customFormat="false" ht="15" hidden="false" customHeight="false" outlineLevel="0" collapsed="false">
      <c r="A242" s="20"/>
      <c r="B242" s="21"/>
      <c r="C242" s="20"/>
      <c r="D242" s="20"/>
      <c r="E242" s="20"/>
      <c r="F242" s="33"/>
      <c r="G242" s="20"/>
      <c r="H242" s="20"/>
      <c r="I242" s="8" t="str">
        <f aca="false">IF(C242="","",IFERROR(INDEX(Disputes!$C$5:$C$1004,MATCH(C242,Disputes!$A$5:$A$1004,0)),IFERROR(INDEX(Batches!$B$5:$B$64,MATCH(C242,Batches!$A$5:$A$64,0)),"")))</f>
        <v/>
      </c>
      <c r="J242" s="17" t="str">
        <f aca="false">IF(B242="","",DATE(YEAR(B242),MONTH(B242),1))</f>
        <v/>
      </c>
    </row>
    <row r="243" customFormat="false" ht="15" hidden="false" customHeight="false" outlineLevel="0" collapsed="false">
      <c r="A243" s="20"/>
      <c r="B243" s="21"/>
      <c r="C243" s="20"/>
      <c r="D243" s="20"/>
      <c r="E243" s="20"/>
      <c r="F243" s="33"/>
      <c r="G243" s="20"/>
      <c r="H243" s="20"/>
      <c r="I243" s="8" t="str">
        <f aca="false">IF(C243="","",IFERROR(INDEX(Disputes!$C$5:$C$1004,MATCH(C243,Disputes!$A$5:$A$1004,0)),IFERROR(INDEX(Batches!$B$5:$B$64,MATCH(C243,Batches!$A$5:$A$64,0)),"")))</f>
        <v/>
      </c>
      <c r="J243" s="17" t="str">
        <f aca="false">IF(B243="","",DATE(YEAR(B243),MONTH(B243),1))</f>
        <v/>
      </c>
    </row>
    <row r="244" customFormat="false" ht="15" hidden="false" customHeight="false" outlineLevel="0" collapsed="false">
      <c r="A244" s="20"/>
      <c r="B244" s="21"/>
      <c r="C244" s="20"/>
      <c r="D244" s="20"/>
      <c r="E244" s="20"/>
      <c r="F244" s="33"/>
      <c r="G244" s="20"/>
      <c r="H244" s="20"/>
      <c r="I244" s="8" t="str">
        <f aca="false">IF(C244="","",IFERROR(INDEX(Disputes!$C$5:$C$1004,MATCH(C244,Disputes!$A$5:$A$1004,0)),IFERROR(INDEX(Batches!$B$5:$B$64,MATCH(C244,Batches!$A$5:$A$64,0)),"")))</f>
        <v/>
      </c>
      <c r="J244" s="17" t="str">
        <f aca="false">IF(B244="","",DATE(YEAR(B244),MONTH(B244),1))</f>
        <v/>
      </c>
    </row>
    <row r="245" customFormat="false" ht="15" hidden="false" customHeight="false" outlineLevel="0" collapsed="false">
      <c r="A245" s="20"/>
      <c r="B245" s="21"/>
      <c r="C245" s="20"/>
      <c r="D245" s="20"/>
      <c r="E245" s="20"/>
      <c r="F245" s="33"/>
      <c r="G245" s="20"/>
      <c r="H245" s="20"/>
      <c r="I245" s="8" t="str">
        <f aca="false">IF(C245="","",IFERROR(INDEX(Disputes!$C$5:$C$1004,MATCH(C245,Disputes!$A$5:$A$1004,0)),IFERROR(INDEX(Batches!$B$5:$B$64,MATCH(C245,Batches!$A$5:$A$64,0)),"")))</f>
        <v/>
      </c>
      <c r="J245" s="17" t="str">
        <f aca="false">IF(B245="","",DATE(YEAR(B245),MONTH(B245),1))</f>
        <v/>
      </c>
    </row>
    <row r="246" customFormat="false" ht="15" hidden="false" customHeight="false" outlineLevel="0" collapsed="false">
      <c r="A246" s="20"/>
      <c r="B246" s="21"/>
      <c r="C246" s="20"/>
      <c r="D246" s="20"/>
      <c r="E246" s="20"/>
      <c r="F246" s="33"/>
      <c r="G246" s="20"/>
      <c r="H246" s="20"/>
      <c r="I246" s="8" t="str">
        <f aca="false">IF(C246="","",IFERROR(INDEX(Disputes!$C$5:$C$1004,MATCH(C246,Disputes!$A$5:$A$1004,0)),IFERROR(INDEX(Batches!$B$5:$B$64,MATCH(C246,Batches!$A$5:$A$64,0)),"")))</f>
        <v/>
      </c>
      <c r="J246" s="17" t="str">
        <f aca="false">IF(B246="","",DATE(YEAR(B246),MONTH(B246),1))</f>
        <v/>
      </c>
    </row>
    <row r="247" customFormat="false" ht="15" hidden="false" customHeight="false" outlineLevel="0" collapsed="false">
      <c r="A247" s="20"/>
      <c r="B247" s="21"/>
      <c r="C247" s="20"/>
      <c r="D247" s="20"/>
      <c r="E247" s="20"/>
      <c r="F247" s="33"/>
      <c r="G247" s="20"/>
      <c r="H247" s="20"/>
      <c r="I247" s="8" t="str">
        <f aca="false">IF(C247="","",IFERROR(INDEX(Disputes!$C$5:$C$1004,MATCH(C247,Disputes!$A$5:$A$1004,0)),IFERROR(INDEX(Batches!$B$5:$B$64,MATCH(C247,Batches!$A$5:$A$64,0)),"")))</f>
        <v/>
      </c>
      <c r="J247" s="17" t="str">
        <f aca="false">IF(B247="","",DATE(YEAR(B247),MONTH(B247),1))</f>
        <v/>
      </c>
    </row>
    <row r="248" customFormat="false" ht="15" hidden="false" customHeight="false" outlineLevel="0" collapsed="false">
      <c r="A248" s="20"/>
      <c r="B248" s="21"/>
      <c r="C248" s="20"/>
      <c r="D248" s="20"/>
      <c r="E248" s="20"/>
      <c r="F248" s="33"/>
      <c r="G248" s="20"/>
      <c r="H248" s="20"/>
      <c r="I248" s="8" t="str">
        <f aca="false">IF(C248="","",IFERROR(INDEX(Disputes!$C$5:$C$1004,MATCH(C248,Disputes!$A$5:$A$1004,0)),IFERROR(INDEX(Batches!$B$5:$B$64,MATCH(C248,Batches!$A$5:$A$64,0)),"")))</f>
        <v/>
      </c>
      <c r="J248" s="17" t="str">
        <f aca="false">IF(B248="","",DATE(YEAR(B248),MONTH(B248),1))</f>
        <v/>
      </c>
    </row>
    <row r="249" customFormat="false" ht="15" hidden="false" customHeight="false" outlineLevel="0" collapsed="false">
      <c r="A249" s="20"/>
      <c r="B249" s="21"/>
      <c r="C249" s="20"/>
      <c r="D249" s="20"/>
      <c r="E249" s="20"/>
      <c r="F249" s="33"/>
      <c r="G249" s="20"/>
      <c r="H249" s="20"/>
      <c r="I249" s="8" t="str">
        <f aca="false">IF(C249="","",IFERROR(INDEX(Disputes!$C$5:$C$1004,MATCH(C249,Disputes!$A$5:$A$1004,0)),IFERROR(INDEX(Batches!$B$5:$B$64,MATCH(C249,Batches!$A$5:$A$64,0)),"")))</f>
        <v/>
      </c>
      <c r="J249" s="17" t="str">
        <f aca="false">IF(B249="","",DATE(YEAR(B249),MONTH(B249),1))</f>
        <v/>
      </c>
    </row>
    <row r="250" customFormat="false" ht="15" hidden="false" customHeight="false" outlineLevel="0" collapsed="false">
      <c r="A250" s="20"/>
      <c r="B250" s="21"/>
      <c r="C250" s="20"/>
      <c r="D250" s="20"/>
      <c r="E250" s="20"/>
      <c r="F250" s="33"/>
      <c r="G250" s="20"/>
      <c r="H250" s="20"/>
      <c r="I250" s="8" t="str">
        <f aca="false">IF(C250="","",IFERROR(INDEX(Disputes!$C$5:$C$1004,MATCH(C250,Disputes!$A$5:$A$1004,0)),IFERROR(INDEX(Batches!$B$5:$B$64,MATCH(C250,Batches!$A$5:$A$64,0)),"")))</f>
        <v/>
      </c>
      <c r="J250" s="17" t="str">
        <f aca="false">IF(B250="","",DATE(YEAR(B250),MONTH(B250),1))</f>
        <v/>
      </c>
    </row>
    <row r="251" customFormat="false" ht="15" hidden="false" customHeight="false" outlineLevel="0" collapsed="false">
      <c r="A251" s="20"/>
      <c r="B251" s="21"/>
      <c r="C251" s="20"/>
      <c r="D251" s="20"/>
      <c r="E251" s="20"/>
      <c r="F251" s="33"/>
      <c r="G251" s="20"/>
      <c r="H251" s="20"/>
      <c r="I251" s="8" t="str">
        <f aca="false">IF(C251="","",IFERROR(INDEX(Disputes!$C$5:$C$1004,MATCH(C251,Disputes!$A$5:$A$1004,0)),IFERROR(INDEX(Batches!$B$5:$B$64,MATCH(C251,Batches!$A$5:$A$64,0)),"")))</f>
        <v/>
      </c>
      <c r="J251" s="17" t="str">
        <f aca="false">IF(B251="","",DATE(YEAR(B251),MONTH(B251),1))</f>
        <v/>
      </c>
    </row>
    <row r="252" customFormat="false" ht="15" hidden="false" customHeight="false" outlineLevel="0" collapsed="false">
      <c r="A252" s="20"/>
      <c r="B252" s="21"/>
      <c r="C252" s="20"/>
      <c r="D252" s="20"/>
      <c r="E252" s="20"/>
      <c r="F252" s="33"/>
      <c r="G252" s="20"/>
      <c r="H252" s="20"/>
      <c r="I252" s="8" t="str">
        <f aca="false">IF(C252="","",IFERROR(INDEX(Disputes!$C$5:$C$1004,MATCH(C252,Disputes!$A$5:$A$1004,0)),IFERROR(INDEX(Batches!$B$5:$B$64,MATCH(C252,Batches!$A$5:$A$64,0)),"")))</f>
        <v/>
      </c>
      <c r="J252" s="17" t="str">
        <f aca="false">IF(B252="","",DATE(YEAR(B252),MONTH(B252),1))</f>
        <v/>
      </c>
    </row>
    <row r="253" customFormat="false" ht="15" hidden="false" customHeight="false" outlineLevel="0" collapsed="false">
      <c r="A253" s="20"/>
      <c r="B253" s="21"/>
      <c r="C253" s="20"/>
      <c r="D253" s="20"/>
      <c r="E253" s="20"/>
      <c r="F253" s="33"/>
      <c r="G253" s="20"/>
      <c r="H253" s="20"/>
      <c r="I253" s="8" t="str">
        <f aca="false">IF(C253="","",IFERROR(INDEX(Disputes!$C$5:$C$1004,MATCH(C253,Disputes!$A$5:$A$1004,0)),IFERROR(INDEX(Batches!$B$5:$B$64,MATCH(C253,Batches!$A$5:$A$64,0)),"")))</f>
        <v/>
      </c>
      <c r="J253" s="17" t="str">
        <f aca="false">IF(B253="","",DATE(YEAR(B253),MONTH(B253),1))</f>
        <v/>
      </c>
    </row>
    <row r="254" customFormat="false" ht="15" hidden="false" customHeight="false" outlineLevel="0" collapsed="false">
      <c r="A254" s="20"/>
      <c r="B254" s="21"/>
      <c r="C254" s="20"/>
      <c r="D254" s="20"/>
      <c r="E254" s="20"/>
      <c r="F254" s="33"/>
      <c r="G254" s="20"/>
      <c r="H254" s="20"/>
      <c r="I254" s="8" t="str">
        <f aca="false">IF(C254="","",IFERROR(INDEX(Disputes!$C$5:$C$1004,MATCH(C254,Disputes!$A$5:$A$1004,0)),IFERROR(INDEX(Batches!$B$5:$B$64,MATCH(C254,Batches!$A$5:$A$64,0)),"")))</f>
        <v/>
      </c>
      <c r="J254" s="17" t="str">
        <f aca="false">IF(B254="","",DATE(YEAR(B254),MONTH(B254),1))</f>
        <v/>
      </c>
    </row>
    <row r="255" customFormat="false" ht="15" hidden="false" customHeight="false" outlineLevel="0" collapsed="false">
      <c r="A255" s="20"/>
      <c r="B255" s="21"/>
      <c r="C255" s="20"/>
      <c r="D255" s="20"/>
      <c r="E255" s="20"/>
      <c r="F255" s="33"/>
      <c r="G255" s="20"/>
      <c r="H255" s="20"/>
      <c r="I255" s="8" t="str">
        <f aca="false">IF(C255="","",IFERROR(INDEX(Disputes!$C$5:$C$1004,MATCH(C255,Disputes!$A$5:$A$1004,0)),IFERROR(INDEX(Batches!$B$5:$B$64,MATCH(C255,Batches!$A$5:$A$64,0)),"")))</f>
        <v/>
      </c>
      <c r="J255" s="17" t="str">
        <f aca="false">IF(B255="","",DATE(YEAR(B255),MONTH(B255),1))</f>
        <v/>
      </c>
    </row>
    <row r="256" customFormat="false" ht="15" hidden="false" customHeight="false" outlineLevel="0" collapsed="false">
      <c r="A256" s="20"/>
      <c r="B256" s="21"/>
      <c r="C256" s="20"/>
      <c r="D256" s="20"/>
      <c r="E256" s="20"/>
      <c r="F256" s="33"/>
      <c r="G256" s="20"/>
      <c r="H256" s="20"/>
      <c r="I256" s="8" t="str">
        <f aca="false">IF(C256="","",IFERROR(INDEX(Disputes!$C$5:$C$1004,MATCH(C256,Disputes!$A$5:$A$1004,0)),IFERROR(INDEX(Batches!$B$5:$B$64,MATCH(C256,Batches!$A$5:$A$64,0)),"")))</f>
        <v/>
      </c>
      <c r="J256" s="17" t="str">
        <f aca="false">IF(B256="","",DATE(YEAR(B256),MONTH(B256),1))</f>
        <v/>
      </c>
    </row>
    <row r="257" customFormat="false" ht="15" hidden="false" customHeight="false" outlineLevel="0" collapsed="false">
      <c r="A257" s="20"/>
      <c r="B257" s="21"/>
      <c r="C257" s="20"/>
      <c r="D257" s="20"/>
      <c r="E257" s="20"/>
      <c r="F257" s="33"/>
      <c r="G257" s="20"/>
      <c r="H257" s="20"/>
      <c r="I257" s="8" t="str">
        <f aca="false">IF(C257="","",IFERROR(INDEX(Disputes!$C$5:$C$1004,MATCH(C257,Disputes!$A$5:$A$1004,0)),IFERROR(INDEX(Batches!$B$5:$B$64,MATCH(C257,Batches!$A$5:$A$64,0)),"")))</f>
        <v/>
      </c>
      <c r="J257" s="17" t="str">
        <f aca="false">IF(B257="","",DATE(YEAR(B257),MONTH(B257),1))</f>
        <v/>
      </c>
    </row>
    <row r="258" customFormat="false" ht="15" hidden="false" customHeight="false" outlineLevel="0" collapsed="false">
      <c r="A258" s="20"/>
      <c r="B258" s="21"/>
      <c r="C258" s="20"/>
      <c r="D258" s="20"/>
      <c r="E258" s="20"/>
      <c r="F258" s="33"/>
      <c r="G258" s="20"/>
      <c r="H258" s="20"/>
      <c r="I258" s="8" t="str">
        <f aca="false">IF(C258="","",IFERROR(INDEX(Disputes!$C$5:$C$1004,MATCH(C258,Disputes!$A$5:$A$1004,0)),IFERROR(INDEX(Batches!$B$5:$B$64,MATCH(C258,Batches!$A$5:$A$64,0)),"")))</f>
        <v/>
      </c>
      <c r="J258" s="17" t="str">
        <f aca="false">IF(B258="","",DATE(YEAR(B258),MONTH(B258),1))</f>
        <v/>
      </c>
    </row>
    <row r="259" customFormat="false" ht="15" hidden="false" customHeight="false" outlineLevel="0" collapsed="false">
      <c r="A259" s="20"/>
      <c r="B259" s="21"/>
      <c r="C259" s="20"/>
      <c r="D259" s="20"/>
      <c r="E259" s="20"/>
      <c r="F259" s="33"/>
      <c r="G259" s="20"/>
      <c r="H259" s="20"/>
      <c r="I259" s="8" t="str">
        <f aca="false">IF(C259="","",IFERROR(INDEX(Disputes!$C$5:$C$1004,MATCH(C259,Disputes!$A$5:$A$1004,0)),IFERROR(INDEX(Batches!$B$5:$B$64,MATCH(C259,Batches!$A$5:$A$64,0)),"")))</f>
        <v/>
      </c>
      <c r="J259" s="17" t="str">
        <f aca="false">IF(B259="","",DATE(YEAR(B259),MONTH(B259),1))</f>
        <v/>
      </c>
    </row>
    <row r="260" customFormat="false" ht="15" hidden="false" customHeight="false" outlineLevel="0" collapsed="false">
      <c r="A260" s="20"/>
      <c r="B260" s="21"/>
      <c r="C260" s="20"/>
      <c r="D260" s="20"/>
      <c r="E260" s="20"/>
      <c r="F260" s="33"/>
      <c r="G260" s="20"/>
      <c r="H260" s="20"/>
      <c r="I260" s="8" t="str">
        <f aca="false">IF(C260="","",IFERROR(INDEX(Disputes!$C$5:$C$1004,MATCH(C260,Disputes!$A$5:$A$1004,0)),IFERROR(INDEX(Batches!$B$5:$B$64,MATCH(C260,Batches!$A$5:$A$64,0)),"")))</f>
        <v/>
      </c>
      <c r="J260" s="17" t="str">
        <f aca="false">IF(B260="","",DATE(YEAR(B260),MONTH(B260),1))</f>
        <v/>
      </c>
    </row>
    <row r="261" customFormat="false" ht="15" hidden="false" customHeight="false" outlineLevel="0" collapsed="false">
      <c r="A261" s="20"/>
      <c r="B261" s="21"/>
      <c r="C261" s="20"/>
      <c r="D261" s="20"/>
      <c r="E261" s="20"/>
      <c r="F261" s="33"/>
      <c r="G261" s="20"/>
      <c r="H261" s="20"/>
      <c r="I261" s="8" t="str">
        <f aca="false">IF(C261="","",IFERROR(INDEX(Disputes!$C$5:$C$1004,MATCH(C261,Disputes!$A$5:$A$1004,0)),IFERROR(INDEX(Batches!$B$5:$B$64,MATCH(C261,Batches!$A$5:$A$64,0)),"")))</f>
        <v/>
      </c>
      <c r="J261" s="17" t="str">
        <f aca="false">IF(B261="","",DATE(YEAR(B261),MONTH(B261),1))</f>
        <v/>
      </c>
    </row>
    <row r="262" customFormat="false" ht="15" hidden="false" customHeight="false" outlineLevel="0" collapsed="false">
      <c r="A262" s="20"/>
      <c r="B262" s="21"/>
      <c r="C262" s="20"/>
      <c r="D262" s="20"/>
      <c r="E262" s="20"/>
      <c r="F262" s="33"/>
      <c r="G262" s="20"/>
      <c r="H262" s="20"/>
      <c r="I262" s="8" t="str">
        <f aca="false">IF(C262="","",IFERROR(INDEX(Disputes!$C$5:$C$1004,MATCH(C262,Disputes!$A$5:$A$1004,0)),IFERROR(INDEX(Batches!$B$5:$B$64,MATCH(C262,Batches!$A$5:$A$64,0)),"")))</f>
        <v/>
      </c>
      <c r="J262" s="17" t="str">
        <f aca="false">IF(B262="","",DATE(YEAR(B262),MONTH(B262),1))</f>
        <v/>
      </c>
    </row>
    <row r="263" customFormat="false" ht="15" hidden="false" customHeight="false" outlineLevel="0" collapsed="false">
      <c r="A263" s="20"/>
      <c r="B263" s="21"/>
      <c r="C263" s="20"/>
      <c r="D263" s="20"/>
      <c r="E263" s="20"/>
      <c r="F263" s="33"/>
      <c r="G263" s="20"/>
      <c r="H263" s="20"/>
      <c r="I263" s="8" t="str">
        <f aca="false">IF(C263="","",IFERROR(INDEX(Disputes!$C$5:$C$1004,MATCH(C263,Disputes!$A$5:$A$1004,0)),IFERROR(INDEX(Batches!$B$5:$B$64,MATCH(C263,Batches!$A$5:$A$64,0)),"")))</f>
        <v/>
      </c>
      <c r="J263" s="17" t="str">
        <f aca="false">IF(B263="","",DATE(YEAR(B263),MONTH(B263),1))</f>
        <v/>
      </c>
    </row>
    <row r="264" customFormat="false" ht="15" hidden="false" customHeight="false" outlineLevel="0" collapsed="false">
      <c r="A264" s="20"/>
      <c r="B264" s="21"/>
      <c r="C264" s="20"/>
      <c r="D264" s="20"/>
      <c r="E264" s="20"/>
      <c r="F264" s="33"/>
      <c r="G264" s="20"/>
      <c r="H264" s="20"/>
      <c r="I264" s="8" t="str">
        <f aca="false">IF(C264="","",IFERROR(INDEX(Disputes!$C$5:$C$1004,MATCH(C264,Disputes!$A$5:$A$1004,0)),IFERROR(INDEX(Batches!$B$5:$B$64,MATCH(C264,Batches!$A$5:$A$64,0)),"")))</f>
        <v/>
      </c>
      <c r="J264" s="17" t="str">
        <f aca="false">IF(B264="","",DATE(YEAR(B264),MONTH(B264),1))</f>
        <v/>
      </c>
    </row>
    <row r="265" customFormat="false" ht="15" hidden="false" customHeight="false" outlineLevel="0" collapsed="false">
      <c r="A265" s="20"/>
      <c r="B265" s="21"/>
      <c r="C265" s="20"/>
      <c r="D265" s="20"/>
      <c r="E265" s="20"/>
      <c r="F265" s="33"/>
      <c r="G265" s="20"/>
      <c r="H265" s="20"/>
      <c r="I265" s="8" t="str">
        <f aca="false">IF(C265="","",IFERROR(INDEX(Disputes!$C$5:$C$1004,MATCH(C265,Disputes!$A$5:$A$1004,0)),IFERROR(INDEX(Batches!$B$5:$B$64,MATCH(C265,Batches!$A$5:$A$64,0)),"")))</f>
        <v/>
      </c>
      <c r="J265" s="17" t="str">
        <f aca="false">IF(B265="","",DATE(YEAR(B265),MONTH(B265),1))</f>
        <v/>
      </c>
    </row>
    <row r="266" customFormat="false" ht="15" hidden="false" customHeight="false" outlineLevel="0" collapsed="false">
      <c r="A266" s="20"/>
      <c r="B266" s="21"/>
      <c r="C266" s="20"/>
      <c r="D266" s="20"/>
      <c r="E266" s="20"/>
      <c r="F266" s="33"/>
      <c r="G266" s="20"/>
      <c r="H266" s="20"/>
      <c r="I266" s="8" t="str">
        <f aca="false">IF(C266="","",IFERROR(INDEX(Disputes!$C$5:$C$1004,MATCH(C266,Disputes!$A$5:$A$1004,0)),IFERROR(INDEX(Batches!$B$5:$B$64,MATCH(C266,Batches!$A$5:$A$64,0)),"")))</f>
        <v/>
      </c>
      <c r="J266" s="17" t="str">
        <f aca="false">IF(B266="","",DATE(YEAR(B266),MONTH(B266),1))</f>
        <v/>
      </c>
    </row>
    <row r="267" customFormat="false" ht="15" hidden="false" customHeight="false" outlineLevel="0" collapsed="false">
      <c r="A267" s="20"/>
      <c r="B267" s="21"/>
      <c r="C267" s="20"/>
      <c r="D267" s="20"/>
      <c r="E267" s="20"/>
      <c r="F267" s="33"/>
      <c r="G267" s="20"/>
      <c r="H267" s="20"/>
      <c r="I267" s="8" t="str">
        <f aca="false">IF(C267="","",IFERROR(INDEX(Disputes!$C$5:$C$1004,MATCH(C267,Disputes!$A$5:$A$1004,0)),IFERROR(INDEX(Batches!$B$5:$B$64,MATCH(C267,Batches!$A$5:$A$64,0)),"")))</f>
        <v/>
      </c>
      <c r="J267" s="17" t="str">
        <f aca="false">IF(B267="","",DATE(YEAR(B267),MONTH(B267),1))</f>
        <v/>
      </c>
    </row>
    <row r="268" customFormat="false" ht="15" hidden="false" customHeight="false" outlineLevel="0" collapsed="false">
      <c r="A268" s="20"/>
      <c r="B268" s="21"/>
      <c r="C268" s="20"/>
      <c r="D268" s="20"/>
      <c r="E268" s="20"/>
      <c r="F268" s="33"/>
      <c r="G268" s="20"/>
      <c r="H268" s="20"/>
      <c r="I268" s="8" t="str">
        <f aca="false">IF(C268="","",IFERROR(INDEX(Disputes!$C$5:$C$1004,MATCH(C268,Disputes!$A$5:$A$1004,0)),IFERROR(INDEX(Batches!$B$5:$B$64,MATCH(C268,Batches!$A$5:$A$64,0)),"")))</f>
        <v/>
      </c>
      <c r="J268" s="17" t="str">
        <f aca="false">IF(B268="","",DATE(YEAR(B268),MONTH(B268),1))</f>
        <v/>
      </c>
    </row>
    <row r="269" customFormat="false" ht="15" hidden="false" customHeight="false" outlineLevel="0" collapsed="false">
      <c r="A269" s="20"/>
      <c r="B269" s="21"/>
      <c r="C269" s="20"/>
      <c r="D269" s="20"/>
      <c r="E269" s="20"/>
      <c r="F269" s="33"/>
      <c r="G269" s="20"/>
      <c r="H269" s="20"/>
      <c r="I269" s="8" t="str">
        <f aca="false">IF(C269="","",IFERROR(INDEX(Disputes!$C$5:$C$1004,MATCH(C269,Disputes!$A$5:$A$1004,0)),IFERROR(INDEX(Batches!$B$5:$B$64,MATCH(C269,Batches!$A$5:$A$64,0)),"")))</f>
        <v/>
      </c>
      <c r="J269" s="17" t="str">
        <f aca="false">IF(B269="","",DATE(YEAR(B269),MONTH(B269),1))</f>
        <v/>
      </c>
    </row>
    <row r="270" customFormat="false" ht="15" hidden="false" customHeight="false" outlineLevel="0" collapsed="false">
      <c r="A270" s="20"/>
      <c r="B270" s="21"/>
      <c r="C270" s="20"/>
      <c r="D270" s="20"/>
      <c r="E270" s="20"/>
      <c r="F270" s="33"/>
      <c r="G270" s="20"/>
      <c r="H270" s="20"/>
      <c r="I270" s="8" t="str">
        <f aca="false">IF(C270="","",IFERROR(INDEX(Disputes!$C$5:$C$1004,MATCH(C270,Disputes!$A$5:$A$1004,0)),IFERROR(INDEX(Batches!$B$5:$B$64,MATCH(C270,Batches!$A$5:$A$64,0)),"")))</f>
        <v/>
      </c>
      <c r="J270" s="17" t="str">
        <f aca="false">IF(B270="","",DATE(YEAR(B270),MONTH(B270),1))</f>
        <v/>
      </c>
    </row>
    <row r="271" customFormat="false" ht="15" hidden="false" customHeight="false" outlineLevel="0" collapsed="false">
      <c r="A271" s="20"/>
      <c r="B271" s="21"/>
      <c r="C271" s="20"/>
      <c r="D271" s="20"/>
      <c r="E271" s="20"/>
      <c r="F271" s="33"/>
      <c r="G271" s="20"/>
      <c r="H271" s="20"/>
      <c r="I271" s="8" t="str">
        <f aca="false">IF(C271="","",IFERROR(INDEX(Disputes!$C$5:$C$1004,MATCH(C271,Disputes!$A$5:$A$1004,0)),IFERROR(INDEX(Batches!$B$5:$B$64,MATCH(C271,Batches!$A$5:$A$64,0)),"")))</f>
        <v/>
      </c>
      <c r="J271" s="17" t="str">
        <f aca="false">IF(B271="","",DATE(YEAR(B271),MONTH(B271),1))</f>
        <v/>
      </c>
    </row>
    <row r="272" customFormat="false" ht="15" hidden="false" customHeight="false" outlineLevel="0" collapsed="false">
      <c r="A272" s="20"/>
      <c r="B272" s="21"/>
      <c r="C272" s="20"/>
      <c r="D272" s="20"/>
      <c r="E272" s="20"/>
      <c r="F272" s="33"/>
      <c r="G272" s="20"/>
      <c r="H272" s="20"/>
      <c r="I272" s="8" t="str">
        <f aca="false">IF(C272="","",IFERROR(INDEX(Disputes!$C$5:$C$1004,MATCH(C272,Disputes!$A$5:$A$1004,0)),IFERROR(INDEX(Batches!$B$5:$B$64,MATCH(C272,Batches!$A$5:$A$64,0)),"")))</f>
        <v/>
      </c>
      <c r="J272" s="17" t="str">
        <f aca="false">IF(B272="","",DATE(YEAR(B272),MONTH(B272),1))</f>
        <v/>
      </c>
    </row>
    <row r="273" customFormat="false" ht="15" hidden="false" customHeight="false" outlineLevel="0" collapsed="false">
      <c r="A273" s="20"/>
      <c r="B273" s="21"/>
      <c r="C273" s="20"/>
      <c r="D273" s="20"/>
      <c r="E273" s="20"/>
      <c r="F273" s="33"/>
      <c r="G273" s="20"/>
      <c r="H273" s="20"/>
      <c r="I273" s="8" t="str">
        <f aca="false">IF(C273="","",IFERROR(INDEX(Disputes!$C$5:$C$1004,MATCH(C273,Disputes!$A$5:$A$1004,0)),IFERROR(INDEX(Batches!$B$5:$B$64,MATCH(C273,Batches!$A$5:$A$64,0)),"")))</f>
        <v/>
      </c>
      <c r="J273" s="17" t="str">
        <f aca="false">IF(B273="","",DATE(YEAR(B273),MONTH(B273),1))</f>
        <v/>
      </c>
    </row>
    <row r="274" customFormat="false" ht="15" hidden="false" customHeight="false" outlineLevel="0" collapsed="false">
      <c r="A274" s="20"/>
      <c r="B274" s="21"/>
      <c r="C274" s="20"/>
      <c r="D274" s="20"/>
      <c r="E274" s="20"/>
      <c r="F274" s="33"/>
      <c r="G274" s="20"/>
      <c r="H274" s="20"/>
      <c r="I274" s="8" t="str">
        <f aca="false">IF(C274="","",IFERROR(INDEX(Disputes!$C$5:$C$1004,MATCH(C274,Disputes!$A$5:$A$1004,0)),IFERROR(INDEX(Batches!$B$5:$B$64,MATCH(C274,Batches!$A$5:$A$64,0)),"")))</f>
        <v/>
      </c>
      <c r="J274" s="17" t="str">
        <f aca="false">IF(B274="","",DATE(YEAR(B274),MONTH(B274),1))</f>
        <v/>
      </c>
    </row>
    <row r="275" customFormat="false" ht="15" hidden="false" customHeight="false" outlineLevel="0" collapsed="false">
      <c r="A275" s="20"/>
      <c r="B275" s="21"/>
      <c r="C275" s="20"/>
      <c r="D275" s="20"/>
      <c r="E275" s="20"/>
      <c r="F275" s="33"/>
      <c r="G275" s="20"/>
      <c r="H275" s="20"/>
      <c r="I275" s="8" t="str">
        <f aca="false">IF(C275="","",IFERROR(INDEX(Disputes!$C$5:$C$1004,MATCH(C275,Disputes!$A$5:$A$1004,0)),IFERROR(INDEX(Batches!$B$5:$B$64,MATCH(C275,Batches!$A$5:$A$64,0)),"")))</f>
        <v/>
      </c>
      <c r="J275" s="17" t="str">
        <f aca="false">IF(B275="","",DATE(YEAR(B275),MONTH(B275),1))</f>
        <v/>
      </c>
    </row>
    <row r="276" customFormat="false" ht="15" hidden="false" customHeight="false" outlineLevel="0" collapsed="false">
      <c r="A276" s="20"/>
      <c r="B276" s="21"/>
      <c r="C276" s="20"/>
      <c r="D276" s="20"/>
      <c r="E276" s="20"/>
      <c r="F276" s="33"/>
      <c r="G276" s="20"/>
      <c r="H276" s="20"/>
      <c r="I276" s="8" t="str">
        <f aca="false">IF(C276="","",IFERROR(INDEX(Disputes!$C$5:$C$1004,MATCH(C276,Disputes!$A$5:$A$1004,0)),IFERROR(INDEX(Batches!$B$5:$B$64,MATCH(C276,Batches!$A$5:$A$64,0)),"")))</f>
        <v/>
      </c>
      <c r="J276" s="17" t="str">
        <f aca="false">IF(B276="","",DATE(YEAR(B276),MONTH(B276),1))</f>
        <v/>
      </c>
    </row>
    <row r="277" customFormat="false" ht="15" hidden="false" customHeight="false" outlineLevel="0" collapsed="false">
      <c r="A277" s="20"/>
      <c r="B277" s="21"/>
      <c r="C277" s="20"/>
      <c r="D277" s="20"/>
      <c r="E277" s="20"/>
      <c r="F277" s="33"/>
      <c r="G277" s="20"/>
      <c r="H277" s="20"/>
      <c r="I277" s="8" t="str">
        <f aca="false">IF(C277="","",IFERROR(INDEX(Disputes!$C$5:$C$1004,MATCH(C277,Disputes!$A$5:$A$1004,0)),IFERROR(INDEX(Batches!$B$5:$B$64,MATCH(C277,Batches!$A$5:$A$64,0)),"")))</f>
        <v/>
      </c>
      <c r="J277" s="17" t="str">
        <f aca="false">IF(B277="","",DATE(YEAR(B277),MONTH(B277),1))</f>
        <v/>
      </c>
    </row>
    <row r="278" customFormat="false" ht="15" hidden="false" customHeight="false" outlineLevel="0" collapsed="false">
      <c r="A278" s="20"/>
      <c r="B278" s="21"/>
      <c r="C278" s="20"/>
      <c r="D278" s="20"/>
      <c r="E278" s="20"/>
      <c r="F278" s="33"/>
      <c r="G278" s="20"/>
      <c r="H278" s="20"/>
      <c r="I278" s="8" t="str">
        <f aca="false">IF(C278="","",IFERROR(INDEX(Disputes!$C$5:$C$1004,MATCH(C278,Disputes!$A$5:$A$1004,0)),IFERROR(INDEX(Batches!$B$5:$B$64,MATCH(C278,Batches!$A$5:$A$64,0)),"")))</f>
        <v/>
      </c>
      <c r="J278" s="17" t="str">
        <f aca="false">IF(B278="","",DATE(YEAR(B278),MONTH(B278),1))</f>
        <v/>
      </c>
    </row>
    <row r="279" customFormat="false" ht="15" hidden="false" customHeight="false" outlineLevel="0" collapsed="false">
      <c r="A279" s="20"/>
      <c r="B279" s="21"/>
      <c r="C279" s="20"/>
      <c r="D279" s="20"/>
      <c r="E279" s="20"/>
      <c r="F279" s="33"/>
      <c r="G279" s="20"/>
      <c r="H279" s="20"/>
      <c r="I279" s="8" t="str">
        <f aca="false">IF(C279="","",IFERROR(INDEX(Disputes!$C$5:$C$1004,MATCH(C279,Disputes!$A$5:$A$1004,0)),IFERROR(INDEX(Batches!$B$5:$B$64,MATCH(C279,Batches!$A$5:$A$64,0)),"")))</f>
        <v/>
      </c>
      <c r="J279" s="17" t="str">
        <f aca="false">IF(B279="","",DATE(YEAR(B279),MONTH(B279),1))</f>
        <v/>
      </c>
    </row>
    <row r="280" customFormat="false" ht="15" hidden="false" customHeight="false" outlineLevel="0" collapsed="false">
      <c r="A280" s="20"/>
      <c r="B280" s="21"/>
      <c r="C280" s="20"/>
      <c r="D280" s="20"/>
      <c r="E280" s="20"/>
      <c r="F280" s="33"/>
      <c r="G280" s="20"/>
      <c r="H280" s="20"/>
      <c r="I280" s="8" t="str">
        <f aca="false">IF(C280="","",IFERROR(INDEX(Disputes!$C$5:$C$1004,MATCH(C280,Disputes!$A$5:$A$1004,0)),IFERROR(INDEX(Batches!$B$5:$B$64,MATCH(C280,Batches!$A$5:$A$64,0)),"")))</f>
        <v/>
      </c>
      <c r="J280" s="17" t="str">
        <f aca="false">IF(B280="","",DATE(YEAR(B280),MONTH(B280),1))</f>
        <v/>
      </c>
    </row>
    <row r="281" customFormat="false" ht="15" hidden="false" customHeight="false" outlineLevel="0" collapsed="false">
      <c r="A281" s="20"/>
      <c r="B281" s="21"/>
      <c r="C281" s="20"/>
      <c r="D281" s="20"/>
      <c r="E281" s="20"/>
      <c r="F281" s="33"/>
      <c r="G281" s="20"/>
      <c r="H281" s="20"/>
      <c r="I281" s="8" t="str">
        <f aca="false">IF(C281="","",IFERROR(INDEX(Disputes!$C$5:$C$1004,MATCH(C281,Disputes!$A$5:$A$1004,0)),IFERROR(INDEX(Batches!$B$5:$B$64,MATCH(C281,Batches!$A$5:$A$64,0)),"")))</f>
        <v/>
      </c>
      <c r="J281" s="17" t="str">
        <f aca="false">IF(B281="","",DATE(YEAR(B281),MONTH(B281),1))</f>
        <v/>
      </c>
    </row>
    <row r="282" customFormat="false" ht="15" hidden="false" customHeight="false" outlineLevel="0" collapsed="false">
      <c r="A282" s="20"/>
      <c r="B282" s="21"/>
      <c r="C282" s="20"/>
      <c r="D282" s="20"/>
      <c r="E282" s="20"/>
      <c r="F282" s="33"/>
      <c r="G282" s="20"/>
      <c r="H282" s="20"/>
      <c r="I282" s="8" t="str">
        <f aca="false">IF(C282="","",IFERROR(INDEX(Disputes!$C$5:$C$1004,MATCH(C282,Disputes!$A$5:$A$1004,0)),IFERROR(INDEX(Batches!$B$5:$B$64,MATCH(C282,Batches!$A$5:$A$64,0)),"")))</f>
        <v/>
      </c>
      <c r="J282" s="17" t="str">
        <f aca="false">IF(B282="","",DATE(YEAR(B282),MONTH(B282),1))</f>
        <v/>
      </c>
    </row>
    <row r="283" customFormat="false" ht="15" hidden="false" customHeight="false" outlineLevel="0" collapsed="false">
      <c r="A283" s="20"/>
      <c r="B283" s="21"/>
      <c r="C283" s="20"/>
      <c r="D283" s="20"/>
      <c r="E283" s="20"/>
      <c r="F283" s="33"/>
      <c r="G283" s="20"/>
      <c r="H283" s="20"/>
      <c r="I283" s="8" t="str">
        <f aca="false">IF(C283="","",IFERROR(INDEX(Disputes!$C$5:$C$1004,MATCH(C283,Disputes!$A$5:$A$1004,0)),IFERROR(INDEX(Batches!$B$5:$B$64,MATCH(C283,Batches!$A$5:$A$64,0)),"")))</f>
        <v/>
      </c>
      <c r="J283" s="17" t="str">
        <f aca="false">IF(B283="","",DATE(YEAR(B283),MONTH(B283),1))</f>
        <v/>
      </c>
    </row>
    <row r="284" customFormat="false" ht="15" hidden="false" customHeight="false" outlineLevel="0" collapsed="false">
      <c r="A284" s="20"/>
      <c r="B284" s="21"/>
      <c r="C284" s="20"/>
      <c r="D284" s="20"/>
      <c r="E284" s="20"/>
      <c r="F284" s="33"/>
      <c r="G284" s="20"/>
      <c r="H284" s="20"/>
      <c r="I284" s="8" t="str">
        <f aca="false">IF(C284="","",IFERROR(INDEX(Disputes!$C$5:$C$1004,MATCH(C284,Disputes!$A$5:$A$1004,0)),IFERROR(INDEX(Batches!$B$5:$B$64,MATCH(C284,Batches!$A$5:$A$64,0)),"")))</f>
        <v/>
      </c>
      <c r="J284" s="17" t="str">
        <f aca="false">IF(B284="","",DATE(YEAR(B284),MONTH(B284),1))</f>
        <v/>
      </c>
    </row>
    <row r="285" customFormat="false" ht="15" hidden="false" customHeight="false" outlineLevel="0" collapsed="false">
      <c r="A285" s="20"/>
      <c r="B285" s="21"/>
      <c r="C285" s="20"/>
      <c r="D285" s="20"/>
      <c r="E285" s="20"/>
      <c r="F285" s="33"/>
      <c r="G285" s="20"/>
      <c r="H285" s="20"/>
      <c r="I285" s="8" t="str">
        <f aca="false">IF(C285="","",IFERROR(INDEX(Disputes!$C$5:$C$1004,MATCH(C285,Disputes!$A$5:$A$1004,0)),IFERROR(INDEX(Batches!$B$5:$B$64,MATCH(C285,Batches!$A$5:$A$64,0)),"")))</f>
        <v/>
      </c>
      <c r="J285" s="17" t="str">
        <f aca="false">IF(B285="","",DATE(YEAR(B285),MONTH(B285),1))</f>
        <v/>
      </c>
    </row>
    <row r="286" customFormat="false" ht="15" hidden="false" customHeight="false" outlineLevel="0" collapsed="false">
      <c r="A286" s="20"/>
      <c r="B286" s="21"/>
      <c r="C286" s="20"/>
      <c r="D286" s="20"/>
      <c r="E286" s="20"/>
      <c r="F286" s="33"/>
      <c r="G286" s="20"/>
      <c r="H286" s="20"/>
      <c r="I286" s="8" t="str">
        <f aca="false">IF(C286="","",IFERROR(INDEX(Disputes!$C$5:$C$1004,MATCH(C286,Disputes!$A$5:$A$1004,0)),IFERROR(INDEX(Batches!$B$5:$B$64,MATCH(C286,Batches!$A$5:$A$64,0)),"")))</f>
        <v/>
      </c>
      <c r="J286" s="17" t="str">
        <f aca="false">IF(B286="","",DATE(YEAR(B286),MONTH(B286),1))</f>
        <v/>
      </c>
    </row>
    <row r="287" customFormat="false" ht="15" hidden="false" customHeight="false" outlineLevel="0" collapsed="false">
      <c r="A287" s="20"/>
      <c r="B287" s="21"/>
      <c r="C287" s="20"/>
      <c r="D287" s="20"/>
      <c r="E287" s="20"/>
      <c r="F287" s="33"/>
      <c r="G287" s="20"/>
      <c r="H287" s="20"/>
      <c r="I287" s="8" t="str">
        <f aca="false">IF(C287="","",IFERROR(INDEX(Disputes!$C$5:$C$1004,MATCH(C287,Disputes!$A$5:$A$1004,0)),IFERROR(INDEX(Batches!$B$5:$B$64,MATCH(C287,Batches!$A$5:$A$64,0)),"")))</f>
        <v/>
      </c>
      <c r="J287" s="17" t="str">
        <f aca="false">IF(B287="","",DATE(YEAR(B287),MONTH(B287),1))</f>
        <v/>
      </c>
    </row>
    <row r="288" customFormat="false" ht="15" hidden="false" customHeight="false" outlineLevel="0" collapsed="false">
      <c r="A288" s="20"/>
      <c r="B288" s="21"/>
      <c r="C288" s="20"/>
      <c r="D288" s="20"/>
      <c r="E288" s="20"/>
      <c r="F288" s="33"/>
      <c r="G288" s="20"/>
      <c r="H288" s="20"/>
      <c r="I288" s="8" t="str">
        <f aca="false">IF(C288="","",IFERROR(INDEX(Disputes!$C$5:$C$1004,MATCH(C288,Disputes!$A$5:$A$1004,0)),IFERROR(INDEX(Batches!$B$5:$B$64,MATCH(C288,Batches!$A$5:$A$64,0)),"")))</f>
        <v/>
      </c>
      <c r="J288" s="17" t="str">
        <f aca="false">IF(B288="","",DATE(YEAR(B288),MONTH(B288),1))</f>
        <v/>
      </c>
    </row>
    <row r="289" customFormat="false" ht="15" hidden="false" customHeight="false" outlineLevel="0" collapsed="false">
      <c r="A289" s="20"/>
      <c r="B289" s="21"/>
      <c r="C289" s="20"/>
      <c r="D289" s="20"/>
      <c r="E289" s="20"/>
      <c r="F289" s="33"/>
      <c r="G289" s="20"/>
      <c r="H289" s="20"/>
      <c r="I289" s="8" t="str">
        <f aca="false">IF(C289="","",IFERROR(INDEX(Disputes!$C$5:$C$1004,MATCH(C289,Disputes!$A$5:$A$1004,0)),IFERROR(INDEX(Batches!$B$5:$B$64,MATCH(C289,Batches!$A$5:$A$64,0)),"")))</f>
        <v/>
      </c>
      <c r="J289" s="17" t="str">
        <f aca="false">IF(B289="","",DATE(YEAR(B289),MONTH(B289),1))</f>
        <v/>
      </c>
    </row>
    <row r="290" customFormat="false" ht="15" hidden="false" customHeight="false" outlineLevel="0" collapsed="false">
      <c r="A290" s="20"/>
      <c r="B290" s="21"/>
      <c r="C290" s="20"/>
      <c r="D290" s="20"/>
      <c r="E290" s="20"/>
      <c r="F290" s="33"/>
      <c r="G290" s="20"/>
      <c r="H290" s="20"/>
      <c r="I290" s="8" t="str">
        <f aca="false">IF(C290="","",IFERROR(INDEX(Disputes!$C$5:$C$1004,MATCH(C290,Disputes!$A$5:$A$1004,0)),IFERROR(INDEX(Batches!$B$5:$B$64,MATCH(C290,Batches!$A$5:$A$64,0)),"")))</f>
        <v/>
      </c>
      <c r="J290" s="17" t="str">
        <f aca="false">IF(B290="","",DATE(YEAR(B290),MONTH(B290),1))</f>
        <v/>
      </c>
    </row>
    <row r="291" customFormat="false" ht="15" hidden="false" customHeight="false" outlineLevel="0" collapsed="false">
      <c r="A291" s="20"/>
      <c r="B291" s="21"/>
      <c r="C291" s="20"/>
      <c r="D291" s="20"/>
      <c r="E291" s="20"/>
      <c r="F291" s="33"/>
      <c r="G291" s="20"/>
      <c r="H291" s="20"/>
      <c r="I291" s="8" t="str">
        <f aca="false">IF(C291="","",IFERROR(INDEX(Disputes!$C$5:$C$1004,MATCH(C291,Disputes!$A$5:$A$1004,0)),IFERROR(INDEX(Batches!$B$5:$B$64,MATCH(C291,Batches!$A$5:$A$64,0)),"")))</f>
        <v/>
      </c>
      <c r="J291" s="17" t="str">
        <f aca="false">IF(B291="","",DATE(YEAR(B291),MONTH(B291),1))</f>
        <v/>
      </c>
    </row>
    <row r="292" customFormat="false" ht="15" hidden="false" customHeight="false" outlineLevel="0" collapsed="false">
      <c r="A292" s="20"/>
      <c r="B292" s="21"/>
      <c r="C292" s="20"/>
      <c r="D292" s="20"/>
      <c r="E292" s="20"/>
      <c r="F292" s="33"/>
      <c r="G292" s="20"/>
      <c r="H292" s="20"/>
      <c r="I292" s="8" t="str">
        <f aca="false">IF(C292="","",IFERROR(INDEX(Disputes!$C$5:$C$1004,MATCH(C292,Disputes!$A$5:$A$1004,0)),IFERROR(INDEX(Batches!$B$5:$B$64,MATCH(C292,Batches!$A$5:$A$64,0)),"")))</f>
        <v/>
      </c>
      <c r="J292" s="17" t="str">
        <f aca="false">IF(B292="","",DATE(YEAR(B292),MONTH(B292),1))</f>
        <v/>
      </c>
    </row>
    <row r="293" customFormat="false" ht="15" hidden="false" customHeight="false" outlineLevel="0" collapsed="false">
      <c r="A293" s="20"/>
      <c r="B293" s="21"/>
      <c r="C293" s="20"/>
      <c r="D293" s="20"/>
      <c r="E293" s="20"/>
      <c r="F293" s="33"/>
      <c r="G293" s="20"/>
      <c r="H293" s="20"/>
      <c r="I293" s="8" t="str">
        <f aca="false">IF(C293="","",IFERROR(INDEX(Disputes!$C$5:$C$1004,MATCH(C293,Disputes!$A$5:$A$1004,0)),IFERROR(INDEX(Batches!$B$5:$B$64,MATCH(C293,Batches!$A$5:$A$64,0)),"")))</f>
        <v/>
      </c>
      <c r="J293" s="17" t="str">
        <f aca="false">IF(B293="","",DATE(YEAR(B293),MONTH(B293),1))</f>
        <v/>
      </c>
    </row>
    <row r="294" customFormat="false" ht="15" hidden="false" customHeight="false" outlineLevel="0" collapsed="false">
      <c r="A294" s="20"/>
      <c r="B294" s="21"/>
      <c r="C294" s="20"/>
      <c r="D294" s="20"/>
      <c r="E294" s="20"/>
      <c r="F294" s="33"/>
      <c r="G294" s="20"/>
      <c r="H294" s="20"/>
      <c r="I294" s="8" t="str">
        <f aca="false">IF(C294="","",IFERROR(INDEX(Disputes!$C$5:$C$1004,MATCH(C294,Disputes!$A$5:$A$1004,0)),IFERROR(INDEX(Batches!$B$5:$B$64,MATCH(C294,Batches!$A$5:$A$64,0)),"")))</f>
        <v/>
      </c>
      <c r="J294" s="17" t="str">
        <f aca="false">IF(B294="","",DATE(YEAR(B294),MONTH(B294),1))</f>
        <v/>
      </c>
    </row>
    <row r="295" customFormat="false" ht="15" hidden="false" customHeight="false" outlineLevel="0" collapsed="false">
      <c r="A295" s="20"/>
      <c r="B295" s="21"/>
      <c r="C295" s="20"/>
      <c r="D295" s="20"/>
      <c r="E295" s="20"/>
      <c r="F295" s="33"/>
      <c r="G295" s="20"/>
      <c r="H295" s="20"/>
      <c r="I295" s="8" t="str">
        <f aca="false">IF(C295="","",IFERROR(INDEX(Disputes!$C$5:$C$1004,MATCH(C295,Disputes!$A$5:$A$1004,0)),IFERROR(INDEX(Batches!$B$5:$B$64,MATCH(C295,Batches!$A$5:$A$64,0)),"")))</f>
        <v/>
      </c>
      <c r="J295" s="17" t="str">
        <f aca="false">IF(B295="","",DATE(YEAR(B295),MONTH(B295),1))</f>
        <v/>
      </c>
    </row>
    <row r="296" customFormat="false" ht="15" hidden="false" customHeight="false" outlineLevel="0" collapsed="false">
      <c r="A296" s="20"/>
      <c r="B296" s="21"/>
      <c r="C296" s="20"/>
      <c r="D296" s="20"/>
      <c r="E296" s="20"/>
      <c r="F296" s="33"/>
      <c r="G296" s="20"/>
      <c r="H296" s="20"/>
      <c r="I296" s="8" t="str">
        <f aca="false">IF(C296="","",IFERROR(INDEX(Disputes!$C$5:$C$1004,MATCH(C296,Disputes!$A$5:$A$1004,0)),IFERROR(INDEX(Batches!$B$5:$B$64,MATCH(C296,Batches!$A$5:$A$64,0)),"")))</f>
        <v/>
      </c>
      <c r="J296" s="17" t="str">
        <f aca="false">IF(B296="","",DATE(YEAR(B296),MONTH(B296),1))</f>
        <v/>
      </c>
    </row>
    <row r="297" customFormat="false" ht="15" hidden="false" customHeight="false" outlineLevel="0" collapsed="false">
      <c r="A297" s="20"/>
      <c r="B297" s="21"/>
      <c r="C297" s="20"/>
      <c r="D297" s="20"/>
      <c r="E297" s="20"/>
      <c r="F297" s="33"/>
      <c r="G297" s="20"/>
      <c r="H297" s="20"/>
      <c r="I297" s="8" t="str">
        <f aca="false">IF(C297="","",IFERROR(INDEX(Disputes!$C$5:$C$1004,MATCH(C297,Disputes!$A$5:$A$1004,0)),IFERROR(INDEX(Batches!$B$5:$B$64,MATCH(C297,Batches!$A$5:$A$64,0)),"")))</f>
        <v/>
      </c>
      <c r="J297" s="17" t="str">
        <f aca="false">IF(B297="","",DATE(YEAR(B297),MONTH(B297),1))</f>
        <v/>
      </c>
    </row>
    <row r="298" customFormat="false" ht="15" hidden="false" customHeight="false" outlineLevel="0" collapsed="false">
      <c r="A298" s="20"/>
      <c r="B298" s="21"/>
      <c r="C298" s="20"/>
      <c r="D298" s="20"/>
      <c r="E298" s="20"/>
      <c r="F298" s="33"/>
      <c r="G298" s="20"/>
      <c r="H298" s="20"/>
      <c r="I298" s="8" t="str">
        <f aca="false">IF(C298="","",IFERROR(INDEX(Disputes!$C$5:$C$1004,MATCH(C298,Disputes!$A$5:$A$1004,0)),IFERROR(INDEX(Batches!$B$5:$B$64,MATCH(C298,Batches!$A$5:$A$64,0)),"")))</f>
        <v/>
      </c>
      <c r="J298" s="17" t="str">
        <f aca="false">IF(B298="","",DATE(YEAR(B298),MONTH(B298),1))</f>
        <v/>
      </c>
    </row>
    <row r="299" customFormat="false" ht="15" hidden="false" customHeight="false" outlineLevel="0" collapsed="false">
      <c r="A299" s="20"/>
      <c r="B299" s="21"/>
      <c r="C299" s="20"/>
      <c r="D299" s="20"/>
      <c r="E299" s="20"/>
      <c r="F299" s="33"/>
      <c r="G299" s="20"/>
      <c r="H299" s="20"/>
      <c r="I299" s="8" t="str">
        <f aca="false">IF(C299="","",IFERROR(INDEX(Disputes!$C$5:$C$1004,MATCH(C299,Disputes!$A$5:$A$1004,0)),IFERROR(INDEX(Batches!$B$5:$B$64,MATCH(C299,Batches!$A$5:$A$64,0)),"")))</f>
        <v/>
      </c>
      <c r="J299" s="17" t="str">
        <f aca="false">IF(B299="","",DATE(YEAR(B299),MONTH(B299),1))</f>
        <v/>
      </c>
    </row>
    <row r="300" customFormat="false" ht="15" hidden="false" customHeight="false" outlineLevel="0" collapsed="false">
      <c r="A300" s="20"/>
      <c r="B300" s="21"/>
      <c r="C300" s="20"/>
      <c r="D300" s="20"/>
      <c r="E300" s="20"/>
      <c r="F300" s="33"/>
      <c r="G300" s="20"/>
      <c r="H300" s="20"/>
      <c r="I300" s="8" t="str">
        <f aca="false">IF(C300="","",IFERROR(INDEX(Disputes!$C$5:$C$1004,MATCH(C300,Disputes!$A$5:$A$1004,0)),IFERROR(INDEX(Batches!$B$5:$B$64,MATCH(C300,Batches!$A$5:$A$64,0)),"")))</f>
        <v/>
      </c>
      <c r="J300" s="17" t="str">
        <f aca="false">IF(B300="","",DATE(YEAR(B300),MONTH(B300),1))</f>
        <v/>
      </c>
    </row>
    <row r="301" customFormat="false" ht="15" hidden="false" customHeight="false" outlineLevel="0" collapsed="false">
      <c r="A301" s="20"/>
      <c r="B301" s="21"/>
      <c r="C301" s="20"/>
      <c r="D301" s="20"/>
      <c r="E301" s="20"/>
      <c r="F301" s="33"/>
      <c r="G301" s="20"/>
      <c r="H301" s="20"/>
      <c r="I301" s="8" t="str">
        <f aca="false">IF(C301="","",IFERROR(INDEX(Disputes!$C$5:$C$1004,MATCH(C301,Disputes!$A$5:$A$1004,0)),IFERROR(INDEX(Batches!$B$5:$B$64,MATCH(C301,Batches!$A$5:$A$64,0)),"")))</f>
        <v/>
      </c>
      <c r="J301" s="17" t="str">
        <f aca="false">IF(B301="","",DATE(YEAR(B301),MONTH(B301),1))</f>
        <v/>
      </c>
    </row>
    <row r="302" customFormat="false" ht="15" hidden="false" customHeight="false" outlineLevel="0" collapsed="false">
      <c r="A302" s="20"/>
      <c r="B302" s="21"/>
      <c r="C302" s="20"/>
      <c r="D302" s="20"/>
      <c r="E302" s="20"/>
      <c r="F302" s="33"/>
      <c r="G302" s="20"/>
      <c r="H302" s="20"/>
      <c r="I302" s="8" t="str">
        <f aca="false">IF(C302="","",IFERROR(INDEX(Disputes!$C$5:$C$1004,MATCH(C302,Disputes!$A$5:$A$1004,0)),IFERROR(INDEX(Batches!$B$5:$B$64,MATCH(C302,Batches!$A$5:$A$64,0)),"")))</f>
        <v/>
      </c>
      <c r="J302" s="17" t="str">
        <f aca="false">IF(B302="","",DATE(YEAR(B302),MONTH(B302),1))</f>
        <v/>
      </c>
    </row>
    <row r="303" customFormat="false" ht="15" hidden="false" customHeight="false" outlineLevel="0" collapsed="false">
      <c r="A303" s="20"/>
      <c r="B303" s="21"/>
      <c r="C303" s="20"/>
      <c r="D303" s="20"/>
      <c r="E303" s="20"/>
      <c r="F303" s="33"/>
      <c r="G303" s="20"/>
      <c r="H303" s="20"/>
      <c r="I303" s="8" t="str">
        <f aca="false">IF(C303="","",IFERROR(INDEX(Disputes!$C$5:$C$1004,MATCH(C303,Disputes!$A$5:$A$1004,0)),IFERROR(INDEX(Batches!$B$5:$B$64,MATCH(C303,Batches!$A$5:$A$64,0)),"")))</f>
        <v/>
      </c>
      <c r="J303" s="17" t="str">
        <f aca="false">IF(B303="","",DATE(YEAR(B303),MONTH(B303),1))</f>
        <v/>
      </c>
    </row>
    <row r="304" customFormat="false" ht="15" hidden="false" customHeight="false" outlineLevel="0" collapsed="false">
      <c r="A304" s="20"/>
      <c r="B304" s="21"/>
      <c r="C304" s="20"/>
      <c r="D304" s="20"/>
      <c r="E304" s="20"/>
      <c r="F304" s="33"/>
      <c r="G304" s="20"/>
      <c r="H304" s="20"/>
      <c r="I304" s="8" t="str">
        <f aca="false">IF(C304="","",IFERROR(INDEX(Disputes!$C$5:$C$1004,MATCH(C304,Disputes!$A$5:$A$1004,0)),IFERROR(INDEX(Batches!$B$5:$B$64,MATCH(C304,Batches!$A$5:$A$64,0)),"")))</f>
        <v/>
      </c>
      <c r="J304" s="17" t="str">
        <f aca="false">IF(B304="","",DATE(YEAR(B304),MONTH(B304),1))</f>
        <v/>
      </c>
    </row>
    <row r="305" customFormat="false" ht="15" hidden="false" customHeight="false" outlineLevel="0" collapsed="false">
      <c r="A305" s="20"/>
      <c r="B305" s="21"/>
      <c r="C305" s="20"/>
      <c r="D305" s="20"/>
      <c r="E305" s="20"/>
      <c r="F305" s="33"/>
      <c r="G305" s="20"/>
      <c r="H305" s="20"/>
      <c r="I305" s="8" t="str">
        <f aca="false">IF(C305="","",IFERROR(INDEX(Disputes!$C$5:$C$1004,MATCH(C305,Disputes!$A$5:$A$1004,0)),IFERROR(INDEX(Batches!$B$5:$B$64,MATCH(C305,Batches!$A$5:$A$64,0)),"")))</f>
        <v/>
      </c>
      <c r="J305" s="17" t="str">
        <f aca="false">IF(B305="","",DATE(YEAR(B305),MONTH(B305),1))</f>
        <v/>
      </c>
    </row>
    <row r="306" customFormat="false" ht="15" hidden="false" customHeight="false" outlineLevel="0" collapsed="false">
      <c r="A306" s="20"/>
      <c r="B306" s="21"/>
      <c r="C306" s="20"/>
      <c r="D306" s="20"/>
      <c r="E306" s="20"/>
      <c r="F306" s="33"/>
      <c r="G306" s="20"/>
      <c r="H306" s="20"/>
      <c r="I306" s="8" t="str">
        <f aca="false">IF(C306="","",IFERROR(INDEX(Disputes!$C$5:$C$1004,MATCH(C306,Disputes!$A$5:$A$1004,0)),IFERROR(INDEX(Batches!$B$5:$B$64,MATCH(C306,Batches!$A$5:$A$64,0)),"")))</f>
        <v/>
      </c>
      <c r="J306" s="17" t="str">
        <f aca="false">IF(B306="","",DATE(YEAR(B306),MONTH(B306),1))</f>
        <v/>
      </c>
    </row>
    <row r="307" customFormat="false" ht="15" hidden="false" customHeight="false" outlineLevel="0" collapsed="false">
      <c r="A307" s="20"/>
      <c r="B307" s="21"/>
      <c r="C307" s="20"/>
      <c r="D307" s="20"/>
      <c r="E307" s="20"/>
      <c r="F307" s="33"/>
      <c r="G307" s="20"/>
      <c r="H307" s="20"/>
      <c r="I307" s="8" t="str">
        <f aca="false">IF(C307="","",IFERROR(INDEX(Disputes!$C$5:$C$1004,MATCH(C307,Disputes!$A$5:$A$1004,0)),IFERROR(INDEX(Batches!$B$5:$B$64,MATCH(C307,Batches!$A$5:$A$64,0)),"")))</f>
        <v/>
      </c>
      <c r="J307" s="17" t="str">
        <f aca="false">IF(B307="","",DATE(YEAR(B307),MONTH(B307),1))</f>
        <v/>
      </c>
    </row>
    <row r="308" customFormat="false" ht="15" hidden="false" customHeight="false" outlineLevel="0" collapsed="false">
      <c r="A308" s="20"/>
      <c r="B308" s="21"/>
      <c r="C308" s="20"/>
      <c r="D308" s="20"/>
      <c r="E308" s="20"/>
      <c r="F308" s="33"/>
      <c r="G308" s="20"/>
      <c r="H308" s="20"/>
      <c r="I308" s="8" t="str">
        <f aca="false">IF(C308="","",IFERROR(INDEX(Disputes!$C$5:$C$1004,MATCH(C308,Disputes!$A$5:$A$1004,0)),IFERROR(INDEX(Batches!$B$5:$B$64,MATCH(C308,Batches!$A$5:$A$64,0)),"")))</f>
        <v/>
      </c>
      <c r="J308" s="17" t="str">
        <f aca="false">IF(B308="","",DATE(YEAR(B308),MONTH(B308),1))</f>
        <v/>
      </c>
    </row>
    <row r="309" customFormat="false" ht="15" hidden="false" customHeight="false" outlineLevel="0" collapsed="false">
      <c r="A309" s="20"/>
      <c r="B309" s="21"/>
      <c r="C309" s="20"/>
      <c r="D309" s="20"/>
      <c r="E309" s="20"/>
      <c r="F309" s="33"/>
      <c r="G309" s="20"/>
      <c r="H309" s="20"/>
      <c r="I309" s="8" t="str">
        <f aca="false">IF(C309="","",IFERROR(INDEX(Disputes!$C$5:$C$1004,MATCH(C309,Disputes!$A$5:$A$1004,0)),IFERROR(INDEX(Batches!$B$5:$B$64,MATCH(C309,Batches!$A$5:$A$64,0)),"")))</f>
        <v/>
      </c>
      <c r="J309" s="17" t="str">
        <f aca="false">IF(B309="","",DATE(YEAR(B309),MONTH(B309),1))</f>
        <v/>
      </c>
    </row>
    <row r="310" customFormat="false" ht="15" hidden="false" customHeight="false" outlineLevel="0" collapsed="false">
      <c r="A310" s="20"/>
      <c r="B310" s="21"/>
      <c r="C310" s="20"/>
      <c r="D310" s="20"/>
      <c r="E310" s="20"/>
      <c r="F310" s="33"/>
      <c r="G310" s="20"/>
      <c r="H310" s="20"/>
      <c r="I310" s="8" t="str">
        <f aca="false">IF(C310="","",IFERROR(INDEX(Disputes!$C$5:$C$1004,MATCH(C310,Disputes!$A$5:$A$1004,0)),IFERROR(INDEX(Batches!$B$5:$B$64,MATCH(C310,Batches!$A$5:$A$64,0)),"")))</f>
        <v/>
      </c>
      <c r="J310" s="17" t="str">
        <f aca="false">IF(B310="","",DATE(YEAR(B310),MONTH(B310),1))</f>
        <v/>
      </c>
    </row>
    <row r="311" customFormat="false" ht="15" hidden="false" customHeight="false" outlineLevel="0" collapsed="false">
      <c r="A311" s="20"/>
      <c r="B311" s="21"/>
      <c r="C311" s="20"/>
      <c r="D311" s="20"/>
      <c r="E311" s="20"/>
      <c r="F311" s="33"/>
      <c r="G311" s="20"/>
      <c r="H311" s="20"/>
      <c r="I311" s="8" t="str">
        <f aca="false">IF(C311="","",IFERROR(INDEX(Disputes!$C$5:$C$1004,MATCH(C311,Disputes!$A$5:$A$1004,0)),IFERROR(INDEX(Batches!$B$5:$B$64,MATCH(C311,Batches!$A$5:$A$64,0)),"")))</f>
        <v/>
      </c>
      <c r="J311" s="17" t="str">
        <f aca="false">IF(B311="","",DATE(YEAR(B311),MONTH(B311),1))</f>
        <v/>
      </c>
    </row>
    <row r="312" customFormat="false" ht="15" hidden="false" customHeight="false" outlineLevel="0" collapsed="false">
      <c r="A312" s="20"/>
      <c r="B312" s="21"/>
      <c r="C312" s="20"/>
      <c r="D312" s="20"/>
      <c r="E312" s="20"/>
      <c r="F312" s="33"/>
      <c r="G312" s="20"/>
      <c r="H312" s="20"/>
      <c r="I312" s="8" t="str">
        <f aca="false">IF(C312="","",IFERROR(INDEX(Disputes!$C$5:$C$1004,MATCH(C312,Disputes!$A$5:$A$1004,0)),IFERROR(INDEX(Batches!$B$5:$B$64,MATCH(C312,Batches!$A$5:$A$64,0)),"")))</f>
        <v/>
      </c>
      <c r="J312" s="17" t="str">
        <f aca="false">IF(B312="","",DATE(YEAR(B312),MONTH(B312),1))</f>
        <v/>
      </c>
    </row>
    <row r="313" customFormat="false" ht="15" hidden="false" customHeight="false" outlineLevel="0" collapsed="false">
      <c r="A313" s="20"/>
      <c r="B313" s="21"/>
      <c r="C313" s="20"/>
      <c r="D313" s="20"/>
      <c r="E313" s="20"/>
      <c r="F313" s="33"/>
      <c r="G313" s="20"/>
      <c r="H313" s="20"/>
      <c r="I313" s="8" t="str">
        <f aca="false">IF(C313="","",IFERROR(INDEX(Disputes!$C$5:$C$1004,MATCH(C313,Disputes!$A$5:$A$1004,0)),IFERROR(INDEX(Batches!$B$5:$B$64,MATCH(C313,Batches!$A$5:$A$64,0)),"")))</f>
        <v/>
      </c>
      <c r="J313" s="17" t="str">
        <f aca="false">IF(B313="","",DATE(YEAR(B313),MONTH(B313),1))</f>
        <v/>
      </c>
    </row>
    <row r="314" customFormat="false" ht="15" hidden="false" customHeight="false" outlineLevel="0" collapsed="false">
      <c r="A314" s="20"/>
      <c r="B314" s="21"/>
      <c r="C314" s="20"/>
      <c r="D314" s="20"/>
      <c r="E314" s="20"/>
      <c r="F314" s="33"/>
      <c r="G314" s="20"/>
      <c r="H314" s="20"/>
      <c r="I314" s="8" t="str">
        <f aca="false">IF(C314="","",IFERROR(INDEX(Disputes!$C$5:$C$1004,MATCH(C314,Disputes!$A$5:$A$1004,0)),IFERROR(INDEX(Batches!$B$5:$B$64,MATCH(C314,Batches!$A$5:$A$64,0)),"")))</f>
        <v/>
      </c>
      <c r="J314" s="17" t="str">
        <f aca="false">IF(B314="","",DATE(YEAR(B314),MONTH(B314),1))</f>
        <v/>
      </c>
    </row>
    <row r="315" customFormat="false" ht="15" hidden="false" customHeight="false" outlineLevel="0" collapsed="false">
      <c r="A315" s="20"/>
      <c r="B315" s="21"/>
      <c r="C315" s="20"/>
      <c r="D315" s="20"/>
      <c r="E315" s="20"/>
      <c r="F315" s="33"/>
      <c r="G315" s="20"/>
      <c r="H315" s="20"/>
      <c r="I315" s="8" t="str">
        <f aca="false">IF(C315="","",IFERROR(INDEX(Disputes!$C$5:$C$1004,MATCH(C315,Disputes!$A$5:$A$1004,0)),IFERROR(INDEX(Batches!$B$5:$B$64,MATCH(C315,Batches!$A$5:$A$64,0)),"")))</f>
        <v/>
      </c>
      <c r="J315" s="17" t="str">
        <f aca="false">IF(B315="","",DATE(YEAR(B315),MONTH(B315),1))</f>
        <v/>
      </c>
    </row>
    <row r="316" customFormat="false" ht="15" hidden="false" customHeight="false" outlineLevel="0" collapsed="false">
      <c r="A316" s="20"/>
      <c r="B316" s="21"/>
      <c r="C316" s="20"/>
      <c r="D316" s="20"/>
      <c r="E316" s="20"/>
      <c r="F316" s="33"/>
      <c r="G316" s="20"/>
      <c r="H316" s="20"/>
      <c r="I316" s="8" t="str">
        <f aca="false">IF(C316="","",IFERROR(INDEX(Disputes!$C$5:$C$1004,MATCH(C316,Disputes!$A$5:$A$1004,0)),IFERROR(INDEX(Batches!$B$5:$B$64,MATCH(C316,Batches!$A$5:$A$64,0)),"")))</f>
        <v/>
      </c>
      <c r="J316" s="17" t="str">
        <f aca="false">IF(B316="","",DATE(YEAR(B316),MONTH(B316),1))</f>
        <v/>
      </c>
    </row>
    <row r="317" customFormat="false" ht="15" hidden="false" customHeight="false" outlineLevel="0" collapsed="false">
      <c r="A317" s="20"/>
      <c r="B317" s="21"/>
      <c r="C317" s="20"/>
      <c r="D317" s="20"/>
      <c r="E317" s="20"/>
      <c r="F317" s="33"/>
      <c r="G317" s="20"/>
      <c r="H317" s="20"/>
      <c r="I317" s="8" t="str">
        <f aca="false">IF(C317="","",IFERROR(INDEX(Disputes!$C$5:$C$1004,MATCH(C317,Disputes!$A$5:$A$1004,0)),IFERROR(INDEX(Batches!$B$5:$B$64,MATCH(C317,Batches!$A$5:$A$64,0)),"")))</f>
        <v/>
      </c>
      <c r="J317" s="17" t="str">
        <f aca="false">IF(B317="","",DATE(YEAR(B317),MONTH(B317),1))</f>
        <v/>
      </c>
    </row>
    <row r="318" customFormat="false" ht="15" hidden="false" customHeight="false" outlineLevel="0" collapsed="false">
      <c r="A318" s="20"/>
      <c r="B318" s="21"/>
      <c r="C318" s="20"/>
      <c r="D318" s="20"/>
      <c r="E318" s="20"/>
      <c r="F318" s="33"/>
      <c r="G318" s="20"/>
      <c r="H318" s="20"/>
      <c r="I318" s="8" t="str">
        <f aca="false">IF(C318="","",IFERROR(INDEX(Disputes!$C$5:$C$1004,MATCH(C318,Disputes!$A$5:$A$1004,0)),IFERROR(INDEX(Batches!$B$5:$B$64,MATCH(C318,Batches!$A$5:$A$64,0)),"")))</f>
        <v/>
      </c>
      <c r="J318" s="17" t="str">
        <f aca="false">IF(B318="","",DATE(YEAR(B318),MONTH(B318),1))</f>
        <v/>
      </c>
    </row>
    <row r="319" customFormat="false" ht="15" hidden="false" customHeight="false" outlineLevel="0" collapsed="false">
      <c r="A319" s="20"/>
      <c r="B319" s="21"/>
      <c r="C319" s="20"/>
      <c r="D319" s="20"/>
      <c r="E319" s="20"/>
      <c r="F319" s="33"/>
      <c r="G319" s="20"/>
      <c r="H319" s="20"/>
      <c r="I319" s="8" t="str">
        <f aca="false">IF(C319="","",IFERROR(INDEX(Disputes!$C$5:$C$1004,MATCH(C319,Disputes!$A$5:$A$1004,0)),IFERROR(INDEX(Batches!$B$5:$B$64,MATCH(C319,Batches!$A$5:$A$64,0)),"")))</f>
        <v/>
      </c>
      <c r="J319" s="17" t="str">
        <f aca="false">IF(B319="","",DATE(YEAR(B319),MONTH(B319),1))</f>
        <v/>
      </c>
    </row>
    <row r="320" customFormat="false" ht="15" hidden="false" customHeight="false" outlineLevel="0" collapsed="false">
      <c r="A320" s="20"/>
      <c r="B320" s="21"/>
      <c r="C320" s="20"/>
      <c r="D320" s="20"/>
      <c r="E320" s="20"/>
      <c r="F320" s="33"/>
      <c r="G320" s="20"/>
      <c r="H320" s="20"/>
      <c r="I320" s="8" t="str">
        <f aca="false">IF(C320="","",IFERROR(INDEX(Disputes!$C$5:$C$1004,MATCH(C320,Disputes!$A$5:$A$1004,0)),IFERROR(INDEX(Batches!$B$5:$B$64,MATCH(C320,Batches!$A$5:$A$64,0)),"")))</f>
        <v/>
      </c>
      <c r="J320" s="17" t="str">
        <f aca="false">IF(B320="","",DATE(YEAR(B320),MONTH(B320),1))</f>
        <v/>
      </c>
    </row>
    <row r="321" customFormat="false" ht="15" hidden="false" customHeight="false" outlineLevel="0" collapsed="false">
      <c r="A321" s="20"/>
      <c r="B321" s="21"/>
      <c r="C321" s="20"/>
      <c r="D321" s="20"/>
      <c r="E321" s="20"/>
      <c r="F321" s="33"/>
      <c r="G321" s="20"/>
      <c r="H321" s="20"/>
      <c r="I321" s="8" t="str">
        <f aca="false">IF(C321="","",IFERROR(INDEX(Disputes!$C$5:$C$1004,MATCH(C321,Disputes!$A$5:$A$1004,0)),IFERROR(INDEX(Batches!$B$5:$B$64,MATCH(C321,Batches!$A$5:$A$64,0)),"")))</f>
        <v/>
      </c>
      <c r="J321" s="17" t="str">
        <f aca="false">IF(B321="","",DATE(YEAR(B321),MONTH(B321),1))</f>
        <v/>
      </c>
    </row>
    <row r="322" customFormat="false" ht="15" hidden="false" customHeight="false" outlineLevel="0" collapsed="false">
      <c r="A322" s="20"/>
      <c r="B322" s="21"/>
      <c r="C322" s="20"/>
      <c r="D322" s="20"/>
      <c r="E322" s="20"/>
      <c r="F322" s="33"/>
      <c r="G322" s="20"/>
      <c r="H322" s="20"/>
      <c r="I322" s="8" t="str">
        <f aca="false">IF(C322="","",IFERROR(INDEX(Disputes!$C$5:$C$1004,MATCH(C322,Disputes!$A$5:$A$1004,0)),IFERROR(INDEX(Batches!$B$5:$B$64,MATCH(C322,Batches!$A$5:$A$64,0)),"")))</f>
        <v/>
      </c>
      <c r="J322" s="17" t="str">
        <f aca="false">IF(B322="","",DATE(YEAR(B322),MONTH(B322),1))</f>
        <v/>
      </c>
    </row>
    <row r="323" customFormat="false" ht="15" hidden="false" customHeight="false" outlineLevel="0" collapsed="false">
      <c r="A323" s="20"/>
      <c r="B323" s="21"/>
      <c r="C323" s="20"/>
      <c r="D323" s="20"/>
      <c r="E323" s="20"/>
      <c r="F323" s="33"/>
      <c r="G323" s="20"/>
      <c r="H323" s="20"/>
      <c r="I323" s="8" t="str">
        <f aca="false">IF(C323="","",IFERROR(INDEX(Disputes!$C$5:$C$1004,MATCH(C323,Disputes!$A$5:$A$1004,0)),IFERROR(INDEX(Batches!$B$5:$B$64,MATCH(C323,Batches!$A$5:$A$64,0)),"")))</f>
        <v/>
      </c>
      <c r="J323" s="17" t="str">
        <f aca="false">IF(B323="","",DATE(YEAR(B323),MONTH(B323),1))</f>
        <v/>
      </c>
    </row>
    <row r="324" customFormat="false" ht="15" hidden="false" customHeight="false" outlineLevel="0" collapsed="false">
      <c r="A324" s="20"/>
      <c r="B324" s="21"/>
      <c r="C324" s="20"/>
      <c r="D324" s="20"/>
      <c r="E324" s="20"/>
      <c r="F324" s="33"/>
      <c r="G324" s="20"/>
      <c r="H324" s="20"/>
      <c r="I324" s="8" t="str">
        <f aca="false">IF(C324="","",IFERROR(INDEX(Disputes!$C$5:$C$1004,MATCH(C324,Disputes!$A$5:$A$1004,0)),IFERROR(INDEX(Batches!$B$5:$B$64,MATCH(C324,Batches!$A$5:$A$64,0)),"")))</f>
        <v/>
      </c>
      <c r="J324" s="17" t="str">
        <f aca="false">IF(B324="","",DATE(YEAR(B324),MONTH(B324),1))</f>
        <v/>
      </c>
    </row>
    <row r="325" customFormat="false" ht="15" hidden="false" customHeight="false" outlineLevel="0" collapsed="false">
      <c r="A325" s="20"/>
      <c r="B325" s="21"/>
      <c r="C325" s="20"/>
      <c r="D325" s="20"/>
      <c r="E325" s="20"/>
      <c r="F325" s="33"/>
      <c r="G325" s="20"/>
      <c r="H325" s="20"/>
      <c r="I325" s="8" t="str">
        <f aca="false">IF(C325="","",IFERROR(INDEX(Disputes!$C$5:$C$1004,MATCH(C325,Disputes!$A$5:$A$1004,0)),IFERROR(INDEX(Batches!$B$5:$B$64,MATCH(C325,Batches!$A$5:$A$64,0)),"")))</f>
        <v/>
      </c>
      <c r="J325" s="17" t="str">
        <f aca="false">IF(B325="","",DATE(YEAR(B325),MONTH(B325),1))</f>
        <v/>
      </c>
    </row>
    <row r="326" customFormat="false" ht="15" hidden="false" customHeight="false" outlineLevel="0" collapsed="false">
      <c r="A326" s="20"/>
      <c r="B326" s="21"/>
      <c r="C326" s="20"/>
      <c r="D326" s="20"/>
      <c r="E326" s="20"/>
      <c r="F326" s="33"/>
      <c r="G326" s="20"/>
      <c r="H326" s="20"/>
      <c r="I326" s="8" t="str">
        <f aca="false">IF(C326="","",IFERROR(INDEX(Disputes!$C$5:$C$1004,MATCH(C326,Disputes!$A$5:$A$1004,0)),IFERROR(INDEX(Batches!$B$5:$B$64,MATCH(C326,Batches!$A$5:$A$64,0)),"")))</f>
        <v/>
      </c>
      <c r="J326" s="17" t="str">
        <f aca="false">IF(B326="","",DATE(YEAR(B326),MONTH(B326),1))</f>
        <v/>
      </c>
    </row>
    <row r="327" customFormat="false" ht="15" hidden="false" customHeight="false" outlineLevel="0" collapsed="false">
      <c r="A327" s="20"/>
      <c r="B327" s="21"/>
      <c r="C327" s="20"/>
      <c r="D327" s="20"/>
      <c r="E327" s="20"/>
      <c r="F327" s="33"/>
      <c r="G327" s="20"/>
      <c r="H327" s="20"/>
      <c r="I327" s="8" t="str">
        <f aca="false">IF(C327="","",IFERROR(INDEX(Disputes!$C$5:$C$1004,MATCH(C327,Disputes!$A$5:$A$1004,0)),IFERROR(INDEX(Batches!$B$5:$B$64,MATCH(C327,Batches!$A$5:$A$64,0)),"")))</f>
        <v/>
      </c>
      <c r="J327" s="17" t="str">
        <f aca="false">IF(B327="","",DATE(YEAR(B327),MONTH(B327),1))</f>
        <v/>
      </c>
    </row>
    <row r="328" customFormat="false" ht="15" hidden="false" customHeight="false" outlineLevel="0" collapsed="false">
      <c r="A328" s="20"/>
      <c r="B328" s="21"/>
      <c r="C328" s="20"/>
      <c r="D328" s="20"/>
      <c r="E328" s="20"/>
      <c r="F328" s="33"/>
      <c r="G328" s="20"/>
      <c r="H328" s="20"/>
      <c r="I328" s="8" t="str">
        <f aca="false">IF(C328="","",IFERROR(INDEX(Disputes!$C$5:$C$1004,MATCH(C328,Disputes!$A$5:$A$1004,0)),IFERROR(INDEX(Batches!$B$5:$B$64,MATCH(C328,Batches!$A$5:$A$64,0)),"")))</f>
        <v/>
      </c>
      <c r="J328" s="17" t="str">
        <f aca="false">IF(B328="","",DATE(YEAR(B328),MONTH(B328),1))</f>
        <v/>
      </c>
    </row>
    <row r="329" customFormat="false" ht="15" hidden="false" customHeight="false" outlineLevel="0" collapsed="false">
      <c r="A329" s="20"/>
      <c r="B329" s="21"/>
      <c r="C329" s="20"/>
      <c r="D329" s="20"/>
      <c r="E329" s="20"/>
      <c r="F329" s="33"/>
      <c r="G329" s="20"/>
      <c r="H329" s="20"/>
      <c r="I329" s="8" t="str">
        <f aca="false">IF(C329="","",IFERROR(INDEX(Disputes!$C$5:$C$1004,MATCH(C329,Disputes!$A$5:$A$1004,0)),IFERROR(INDEX(Batches!$B$5:$B$64,MATCH(C329,Batches!$A$5:$A$64,0)),"")))</f>
        <v/>
      </c>
      <c r="J329" s="17" t="str">
        <f aca="false">IF(B329="","",DATE(YEAR(B329),MONTH(B329),1))</f>
        <v/>
      </c>
    </row>
    <row r="330" customFormat="false" ht="15" hidden="false" customHeight="false" outlineLevel="0" collapsed="false">
      <c r="A330" s="20"/>
      <c r="B330" s="21"/>
      <c r="C330" s="20"/>
      <c r="D330" s="20"/>
      <c r="E330" s="20"/>
      <c r="F330" s="33"/>
      <c r="G330" s="20"/>
      <c r="H330" s="20"/>
      <c r="I330" s="8" t="str">
        <f aca="false">IF(C330="","",IFERROR(INDEX(Disputes!$C$5:$C$1004,MATCH(C330,Disputes!$A$5:$A$1004,0)),IFERROR(INDEX(Batches!$B$5:$B$64,MATCH(C330,Batches!$A$5:$A$64,0)),"")))</f>
        <v/>
      </c>
      <c r="J330" s="17" t="str">
        <f aca="false">IF(B330="","",DATE(YEAR(B330),MONTH(B330),1))</f>
        <v/>
      </c>
    </row>
    <row r="331" customFormat="false" ht="15" hidden="false" customHeight="false" outlineLevel="0" collapsed="false">
      <c r="A331" s="20"/>
      <c r="B331" s="21"/>
      <c r="C331" s="20"/>
      <c r="D331" s="20"/>
      <c r="E331" s="20"/>
      <c r="F331" s="33"/>
      <c r="G331" s="20"/>
      <c r="H331" s="20"/>
      <c r="I331" s="8" t="str">
        <f aca="false">IF(C331="","",IFERROR(INDEX(Disputes!$C$5:$C$1004,MATCH(C331,Disputes!$A$5:$A$1004,0)),IFERROR(INDEX(Batches!$B$5:$B$64,MATCH(C331,Batches!$A$5:$A$64,0)),"")))</f>
        <v/>
      </c>
      <c r="J331" s="17" t="str">
        <f aca="false">IF(B331="","",DATE(YEAR(B331),MONTH(B331),1))</f>
        <v/>
      </c>
    </row>
    <row r="332" customFormat="false" ht="15" hidden="false" customHeight="false" outlineLevel="0" collapsed="false">
      <c r="A332" s="20"/>
      <c r="B332" s="21"/>
      <c r="C332" s="20"/>
      <c r="D332" s="20"/>
      <c r="E332" s="20"/>
      <c r="F332" s="33"/>
      <c r="G332" s="20"/>
      <c r="H332" s="20"/>
      <c r="I332" s="8" t="str">
        <f aca="false">IF(C332="","",IFERROR(INDEX(Disputes!$C$5:$C$1004,MATCH(C332,Disputes!$A$5:$A$1004,0)),IFERROR(INDEX(Batches!$B$5:$B$64,MATCH(C332,Batches!$A$5:$A$64,0)),"")))</f>
        <v/>
      </c>
      <c r="J332" s="17" t="str">
        <f aca="false">IF(B332="","",DATE(YEAR(B332),MONTH(B332),1))</f>
        <v/>
      </c>
    </row>
    <row r="333" customFormat="false" ht="15" hidden="false" customHeight="false" outlineLevel="0" collapsed="false">
      <c r="A333" s="20"/>
      <c r="B333" s="21"/>
      <c r="C333" s="20"/>
      <c r="D333" s="20"/>
      <c r="E333" s="20"/>
      <c r="F333" s="33"/>
      <c r="G333" s="20"/>
      <c r="H333" s="20"/>
      <c r="I333" s="8" t="str">
        <f aca="false">IF(C333="","",IFERROR(INDEX(Disputes!$C$5:$C$1004,MATCH(C333,Disputes!$A$5:$A$1004,0)),IFERROR(INDEX(Batches!$B$5:$B$64,MATCH(C333,Batches!$A$5:$A$64,0)),"")))</f>
        <v/>
      </c>
      <c r="J333" s="17" t="str">
        <f aca="false">IF(B333="","",DATE(YEAR(B333),MONTH(B333),1))</f>
        <v/>
      </c>
    </row>
    <row r="334" customFormat="false" ht="15" hidden="false" customHeight="false" outlineLevel="0" collapsed="false">
      <c r="A334" s="20"/>
      <c r="B334" s="21"/>
      <c r="C334" s="20"/>
      <c r="D334" s="20"/>
      <c r="E334" s="20"/>
      <c r="F334" s="33"/>
      <c r="G334" s="20"/>
      <c r="H334" s="20"/>
      <c r="I334" s="8" t="str">
        <f aca="false">IF(C334="","",IFERROR(INDEX(Disputes!$C$5:$C$1004,MATCH(C334,Disputes!$A$5:$A$1004,0)),IFERROR(INDEX(Batches!$B$5:$B$64,MATCH(C334,Batches!$A$5:$A$64,0)),"")))</f>
        <v/>
      </c>
      <c r="J334" s="17" t="str">
        <f aca="false">IF(B334="","",DATE(YEAR(B334),MONTH(B334),1))</f>
        <v/>
      </c>
    </row>
    <row r="335" customFormat="false" ht="15" hidden="false" customHeight="false" outlineLevel="0" collapsed="false">
      <c r="A335" s="20"/>
      <c r="B335" s="21"/>
      <c r="C335" s="20"/>
      <c r="D335" s="20"/>
      <c r="E335" s="20"/>
      <c r="F335" s="33"/>
      <c r="G335" s="20"/>
      <c r="H335" s="20"/>
      <c r="I335" s="8" t="str">
        <f aca="false">IF(C335="","",IFERROR(INDEX(Disputes!$C$5:$C$1004,MATCH(C335,Disputes!$A$5:$A$1004,0)),IFERROR(INDEX(Batches!$B$5:$B$64,MATCH(C335,Batches!$A$5:$A$64,0)),"")))</f>
        <v/>
      </c>
      <c r="J335" s="17" t="str">
        <f aca="false">IF(B335="","",DATE(YEAR(B335),MONTH(B335),1))</f>
        <v/>
      </c>
    </row>
    <row r="336" customFormat="false" ht="15" hidden="false" customHeight="false" outlineLevel="0" collapsed="false">
      <c r="A336" s="20"/>
      <c r="B336" s="21"/>
      <c r="C336" s="20"/>
      <c r="D336" s="20"/>
      <c r="E336" s="20"/>
      <c r="F336" s="33"/>
      <c r="G336" s="20"/>
      <c r="H336" s="20"/>
      <c r="I336" s="8" t="str">
        <f aca="false">IF(C336="","",IFERROR(INDEX(Disputes!$C$5:$C$1004,MATCH(C336,Disputes!$A$5:$A$1004,0)),IFERROR(INDEX(Batches!$B$5:$B$64,MATCH(C336,Batches!$A$5:$A$64,0)),"")))</f>
        <v/>
      </c>
      <c r="J336" s="17" t="str">
        <f aca="false">IF(B336="","",DATE(YEAR(B336),MONTH(B336),1))</f>
        <v/>
      </c>
    </row>
    <row r="337" customFormat="false" ht="15" hidden="false" customHeight="false" outlineLevel="0" collapsed="false">
      <c r="A337" s="20"/>
      <c r="B337" s="21"/>
      <c r="C337" s="20"/>
      <c r="D337" s="20"/>
      <c r="E337" s="20"/>
      <c r="F337" s="33"/>
      <c r="G337" s="20"/>
      <c r="H337" s="20"/>
      <c r="I337" s="8" t="str">
        <f aca="false">IF(C337="","",IFERROR(INDEX(Disputes!$C$5:$C$1004,MATCH(C337,Disputes!$A$5:$A$1004,0)),IFERROR(INDEX(Batches!$B$5:$B$64,MATCH(C337,Batches!$A$5:$A$64,0)),"")))</f>
        <v/>
      </c>
      <c r="J337" s="17" t="str">
        <f aca="false">IF(B337="","",DATE(YEAR(B337),MONTH(B337),1))</f>
        <v/>
      </c>
    </row>
    <row r="338" customFormat="false" ht="15" hidden="false" customHeight="false" outlineLevel="0" collapsed="false">
      <c r="A338" s="20"/>
      <c r="B338" s="21"/>
      <c r="C338" s="20"/>
      <c r="D338" s="20"/>
      <c r="E338" s="20"/>
      <c r="F338" s="33"/>
      <c r="G338" s="20"/>
      <c r="H338" s="20"/>
      <c r="I338" s="8" t="str">
        <f aca="false">IF(C338="","",IFERROR(INDEX(Disputes!$C$5:$C$1004,MATCH(C338,Disputes!$A$5:$A$1004,0)),IFERROR(INDEX(Batches!$B$5:$B$64,MATCH(C338,Batches!$A$5:$A$64,0)),"")))</f>
        <v/>
      </c>
      <c r="J338" s="17" t="str">
        <f aca="false">IF(B338="","",DATE(YEAR(B338),MONTH(B338),1))</f>
        <v/>
      </c>
    </row>
    <row r="339" customFormat="false" ht="15" hidden="false" customHeight="false" outlineLevel="0" collapsed="false">
      <c r="A339" s="20"/>
      <c r="B339" s="21"/>
      <c r="C339" s="20"/>
      <c r="D339" s="20"/>
      <c r="E339" s="20"/>
      <c r="F339" s="33"/>
      <c r="G339" s="20"/>
      <c r="H339" s="20"/>
      <c r="I339" s="8" t="str">
        <f aca="false">IF(C339="","",IFERROR(INDEX(Disputes!$C$5:$C$1004,MATCH(C339,Disputes!$A$5:$A$1004,0)),IFERROR(INDEX(Batches!$B$5:$B$64,MATCH(C339,Batches!$A$5:$A$64,0)),"")))</f>
        <v/>
      </c>
      <c r="J339" s="17" t="str">
        <f aca="false">IF(B339="","",DATE(YEAR(B339),MONTH(B339),1))</f>
        <v/>
      </c>
    </row>
    <row r="340" customFormat="false" ht="15" hidden="false" customHeight="false" outlineLevel="0" collapsed="false">
      <c r="A340" s="20"/>
      <c r="B340" s="21"/>
      <c r="C340" s="20"/>
      <c r="D340" s="20"/>
      <c r="E340" s="20"/>
      <c r="F340" s="33"/>
      <c r="G340" s="20"/>
      <c r="H340" s="20"/>
      <c r="I340" s="8" t="str">
        <f aca="false">IF(C340="","",IFERROR(INDEX(Disputes!$C$5:$C$1004,MATCH(C340,Disputes!$A$5:$A$1004,0)),IFERROR(INDEX(Batches!$B$5:$B$64,MATCH(C340,Batches!$A$5:$A$64,0)),"")))</f>
        <v/>
      </c>
      <c r="J340" s="17" t="str">
        <f aca="false">IF(B340="","",DATE(YEAR(B340),MONTH(B340),1))</f>
        <v/>
      </c>
    </row>
    <row r="341" customFormat="false" ht="15" hidden="false" customHeight="false" outlineLevel="0" collapsed="false">
      <c r="A341" s="20"/>
      <c r="B341" s="21"/>
      <c r="C341" s="20"/>
      <c r="D341" s="20"/>
      <c r="E341" s="20"/>
      <c r="F341" s="33"/>
      <c r="G341" s="20"/>
      <c r="H341" s="20"/>
      <c r="I341" s="8" t="str">
        <f aca="false">IF(C341="","",IFERROR(INDEX(Disputes!$C$5:$C$1004,MATCH(C341,Disputes!$A$5:$A$1004,0)),IFERROR(INDEX(Batches!$B$5:$B$64,MATCH(C341,Batches!$A$5:$A$64,0)),"")))</f>
        <v/>
      </c>
      <c r="J341" s="17" t="str">
        <f aca="false">IF(B341="","",DATE(YEAR(B341),MONTH(B341),1))</f>
        <v/>
      </c>
    </row>
    <row r="342" customFormat="false" ht="15" hidden="false" customHeight="false" outlineLevel="0" collapsed="false">
      <c r="A342" s="20"/>
      <c r="B342" s="21"/>
      <c r="C342" s="20"/>
      <c r="D342" s="20"/>
      <c r="E342" s="20"/>
      <c r="F342" s="33"/>
      <c r="G342" s="20"/>
      <c r="H342" s="20"/>
      <c r="I342" s="8" t="str">
        <f aca="false">IF(C342="","",IFERROR(INDEX(Disputes!$C$5:$C$1004,MATCH(C342,Disputes!$A$5:$A$1004,0)),IFERROR(INDEX(Batches!$B$5:$B$64,MATCH(C342,Batches!$A$5:$A$64,0)),"")))</f>
        <v/>
      </c>
      <c r="J342" s="17" t="str">
        <f aca="false">IF(B342="","",DATE(YEAR(B342),MONTH(B342),1))</f>
        <v/>
      </c>
    </row>
    <row r="343" customFormat="false" ht="15" hidden="false" customHeight="false" outlineLevel="0" collapsed="false">
      <c r="A343" s="20"/>
      <c r="B343" s="21"/>
      <c r="C343" s="20"/>
      <c r="D343" s="20"/>
      <c r="E343" s="20"/>
      <c r="F343" s="33"/>
      <c r="G343" s="20"/>
      <c r="H343" s="20"/>
      <c r="I343" s="8" t="str">
        <f aca="false">IF(C343="","",IFERROR(INDEX(Disputes!$C$5:$C$1004,MATCH(C343,Disputes!$A$5:$A$1004,0)),IFERROR(INDEX(Batches!$B$5:$B$64,MATCH(C343,Batches!$A$5:$A$64,0)),"")))</f>
        <v/>
      </c>
      <c r="J343" s="17" t="str">
        <f aca="false">IF(B343="","",DATE(YEAR(B343),MONTH(B343),1))</f>
        <v/>
      </c>
    </row>
    <row r="344" customFormat="false" ht="15" hidden="false" customHeight="false" outlineLevel="0" collapsed="false">
      <c r="A344" s="20"/>
      <c r="B344" s="21"/>
      <c r="C344" s="20"/>
      <c r="D344" s="20"/>
      <c r="E344" s="20"/>
      <c r="F344" s="33"/>
      <c r="G344" s="20"/>
      <c r="H344" s="20"/>
      <c r="I344" s="8" t="str">
        <f aca="false">IF(C344="","",IFERROR(INDEX(Disputes!$C$5:$C$1004,MATCH(C344,Disputes!$A$5:$A$1004,0)),IFERROR(INDEX(Batches!$B$5:$B$64,MATCH(C344,Batches!$A$5:$A$64,0)),"")))</f>
        <v/>
      </c>
      <c r="J344" s="17" t="str">
        <f aca="false">IF(B344="","",DATE(YEAR(B344),MONTH(B344),1))</f>
        <v/>
      </c>
    </row>
    <row r="345" customFormat="false" ht="15" hidden="false" customHeight="false" outlineLevel="0" collapsed="false">
      <c r="A345" s="20"/>
      <c r="B345" s="21"/>
      <c r="C345" s="20"/>
      <c r="D345" s="20"/>
      <c r="E345" s="20"/>
      <c r="F345" s="33"/>
      <c r="G345" s="20"/>
      <c r="H345" s="20"/>
      <c r="I345" s="8" t="str">
        <f aca="false">IF(C345="","",IFERROR(INDEX(Disputes!$C$5:$C$1004,MATCH(C345,Disputes!$A$5:$A$1004,0)),IFERROR(INDEX(Batches!$B$5:$B$64,MATCH(C345,Batches!$A$5:$A$64,0)),"")))</f>
        <v/>
      </c>
      <c r="J345" s="17" t="str">
        <f aca="false">IF(B345="","",DATE(YEAR(B345),MONTH(B345),1))</f>
        <v/>
      </c>
    </row>
    <row r="346" customFormat="false" ht="15" hidden="false" customHeight="false" outlineLevel="0" collapsed="false">
      <c r="A346" s="20"/>
      <c r="B346" s="21"/>
      <c r="C346" s="20"/>
      <c r="D346" s="20"/>
      <c r="E346" s="20"/>
      <c r="F346" s="33"/>
      <c r="G346" s="20"/>
      <c r="H346" s="20"/>
      <c r="I346" s="8" t="str">
        <f aca="false">IF(C346="","",IFERROR(INDEX(Disputes!$C$5:$C$1004,MATCH(C346,Disputes!$A$5:$A$1004,0)),IFERROR(INDEX(Batches!$B$5:$B$64,MATCH(C346,Batches!$A$5:$A$64,0)),"")))</f>
        <v/>
      </c>
      <c r="J346" s="17" t="str">
        <f aca="false">IF(B346="","",DATE(YEAR(B346),MONTH(B346),1))</f>
        <v/>
      </c>
    </row>
    <row r="347" customFormat="false" ht="15" hidden="false" customHeight="false" outlineLevel="0" collapsed="false">
      <c r="A347" s="20"/>
      <c r="B347" s="21"/>
      <c r="C347" s="20"/>
      <c r="D347" s="20"/>
      <c r="E347" s="20"/>
      <c r="F347" s="33"/>
      <c r="G347" s="20"/>
      <c r="H347" s="20"/>
      <c r="I347" s="8" t="str">
        <f aca="false">IF(C347="","",IFERROR(INDEX(Disputes!$C$5:$C$1004,MATCH(C347,Disputes!$A$5:$A$1004,0)),IFERROR(INDEX(Batches!$B$5:$B$64,MATCH(C347,Batches!$A$5:$A$64,0)),"")))</f>
        <v/>
      </c>
      <c r="J347" s="17" t="str">
        <f aca="false">IF(B347="","",DATE(YEAR(B347),MONTH(B347),1))</f>
        <v/>
      </c>
    </row>
    <row r="348" customFormat="false" ht="15" hidden="false" customHeight="false" outlineLevel="0" collapsed="false">
      <c r="A348" s="20"/>
      <c r="B348" s="21"/>
      <c r="C348" s="20"/>
      <c r="D348" s="20"/>
      <c r="E348" s="20"/>
      <c r="F348" s="33"/>
      <c r="G348" s="20"/>
      <c r="H348" s="20"/>
      <c r="I348" s="8" t="str">
        <f aca="false">IF(C348="","",IFERROR(INDEX(Disputes!$C$5:$C$1004,MATCH(C348,Disputes!$A$5:$A$1004,0)),IFERROR(INDEX(Batches!$B$5:$B$64,MATCH(C348,Batches!$A$5:$A$64,0)),"")))</f>
        <v/>
      </c>
      <c r="J348" s="17" t="str">
        <f aca="false">IF(B348="","",DATE(YEAR(B348),MONTH(B348),1))</f>
        <v/>
      </c>
    </row>
    <row r="349" customFormat="false" ht="15" hidden="false" customHeight="false" outlineLevel="0" collapsed="false">
      <c r="A349" s="20"/>
      <c r="B349" s="21"/>
      <c r="C349" s="20"/>
      <c r="D349" s="20"/>
      <c r="E349" s="20"/>
      <c r="F349" s="33"/>
      <c r="G349" s="20"/>
      <c r="H349" s="20"/>
      <c r="I349" s="8" t="str">
        <f aca="false">IF(C349="","",IFERROR(INDEX(Disputes!$C$5:$C$1004,MATCH(C349,Disputes!$A$5:$A$1004,0)),IFERROR(INDEX(Batches!$B$5:$B$64,MATCH(C349,Batches!$A$5:$A$64,0)),"")))</f>
        <v/>
      </c>
      <c r="J349" s="17" t="str">
        <f aca="false">IF(B349="","",DATE(YEAR(B349),MONTH(B349),1))</f>
        <v/>
      </c>
    </row>
    <row r="350" customFormat="false" ht="15" hidden="false" customHeight="false" outlineLevel="0" collapsed="false">
      <c r="A350" s="20"/>
      <c r="B350" s="21"/>
      <c r="C350" s="20"/>
      <c r="D350" s="20"/>
      <c r="E350" s="20"/>
      <c r="F350" s="33"/>
      <c r="G350" s="20"/>
      <c r="H350" s="20"/>
      <c r="I350" s="8" t="str">
        <f aca="false">IF(C350="","",IFERROR(INDEX(Disputes!$C$5:$C$1004,MATCH(C350,Disputes!$A$5:$A$1004,0)),IFERROR(INDEX(Batches!$B$5:$B$64,MATCH(C350,Batches!$A$5:$A$64,0)),"")))</f>
        <v/>
      </c>
      <c r="J350" s="17" t="str">
        <f aca="false">IF(B350="","",DATE(YEAR(B350),MONTH(B350),1))</f>
        <v/>
      </c>
    </row>
    <row r="351" customFormat="false" ht="15" hidden="false" customHeight="false" outlineLevel="0" collapsed="false">
      <c r="A351" s="20"/>
      <c r="B351" s="21"/>
      <c r="C351" s="20"/>
      <c r="D351" s="20"/>
      <c r="E351" s="20"/>
      <c r="F351" s="33"/>
      <c r="G351" s="20"/>
      <c r="H351" s="20"/>
      <c r="I351" s="8" t="str">
        <f aca="false">IF(C351="","",IFERROR(INDEX(Disputes!$C$5:$C$1004,MATCH(C351,Disputes!$A$5:$A$1004,0)),IFERROR(INDEX(Batches!$B$5:$B$64,MATCH(C351,Batches!$A$5:$A$64,0)),"")))</f>
        <v/>
      </c>
      <c r="J351" s="17" t="str">
        <f aca="false">IF(B351="","",DATE(YEAR(B351),MONTH(B351),1))</f>
        <v/>
      </c>
    </row>
    <row r="352" customFormat="false" ht="15" hidden="false" customHeight="false" outlineLevel="0" collapsed="false">
      <c r="A352" s="20"/>
      <c r="B352" s="21"/>
      <c r="C352" s="20"/>
      <c r="D352" s="20"/>
      <c r="E352" s="20"/>
      <c r="F352" s="33"/>
      <c r="G352" s="20"/>
      <c r="H352" s="20"/>
      <c r="I352" s="8" t="str">
        <f aca="false">IF(C352="","",IFERROR(INDEX(Disputes!$C$5:$C$1004,MATCH(C352,Disputes!$A$5:$A$1004,0)),IFERROR(INDEX(Batches!$B$5:$B$64,MATCH(C352,Batches!$A$5:$A$64,0)),"")))</f>
        <v/>
      </c>
      <c r="J352" s="17" t="str">
        <f aca="false">IF(B352="","",DATE(YEAR(B352),MONTH(B352),1))</f>
        <v/>
      </c>
    </row>
    <row r="353" customFormat="false" ht="15" hidden="false" customHeight="false" outlineLevel="0" collapsed="false">
      <c r="A353" s="20"/>
      <c r="B353" s="21"/>
      <c r="C353" s="20"/>
      <c r="D353" s="20"/>
      <c r="E353" s="20"/>
      <c r="F353" s="33"/>
      <c r="G353" s="20"/>
      <c r="H353" s="20"/>
      <c r="I353" s="8" t="str">
        <f aca="false">IF(C353="","",IFERROR(INDEX(Disputes!$C$5:$C$1004,MATCH(C353,Disputes!$A$5:$A$1004,0)),IFERROR(INDEX(Batches!$B$5:$B$64,MATCH(C353,Batches!$A$5:$A$64,0)),"")))</f>
        <v/>
      </c>
      <c r="J353" s="17" t="str">
        <f aca="false">IF(B353="","",DATE(YEAR(B353),MONTH(B353),1))</f>
        <v/>
      </c>
    </row>
    <row r="354" customFormat="false" ht="15" hidden="false" customHeight="false" outlineLevel="0" collapsed="false">
      <c r="A354" s="20"/>
      <c r="B354" s="21"/>
      <c r="C354" s="20"/>
      <c r="D354" s="20"/>
      <c r="E354" s="20"/>
      <c r="F354" s="33"/>
      <c r="G354" s="20"/>
      <c r="H354" s="20"/>
      <c r="I354" s="8" t="str">
        <f aca="false">IF(C354="","",IFERROR(INDEX(Disputes!$C$5:$C$1004,MATCH(C354,Disputes!$A$5:$A$1004,0)),IFERROR(INDEX(Batches!$B$5:$B$64,MATCH(C354,Batches!$A$5:$A$64,0)),"")))</f>
        <v/>
      </c>
      <c r="J354" s="17" t="str">
        <f aca="false">IF(B354="","",DATE(YEAR(B354),MONTH(B354),1))</f>
        <v/>
      </c>
    </row>
    <row r="355" customFormat="false" ht="15" hidden="false" customHeight="false" outlineLevel="0" collapsed="false">
      <c r="A355" s="20"/>
      <c r="B355" s="21"/>
      <c r="C355" s="20"/>
      <c r="D355" s="20"/>
      <c r="E355" s="20"/>
      <c r="F355" s="33"/>
      <c r="G355" s="20"/>
      <c r="H355" s="20"/>
      <c r="I355" s="8" t="str">
        <f aca="false">IF(C355="","",IFERROR(INDEX(Disputes!$C$5:$C$1004,MATCH(C355,Disputes!$A$5:$A$1004,0)),IFERROR(INDEX(Batches!$B$5:$B$64,MATCH(C355,Batches!$A$5:$A$64,0)),"")))</f>
        <v/>
      </c>
      <c r="J355" s="17" t="str">
        <f aca="false">IF(B355="","",DATE(YEAR(B355),MONTH(B355),1))</f>
        <v/>
      </c>
    </row>
    <row r="356" customFormat="false" ht="15" hidden="false" customHeight="false" outlineLevel="0" collapsed="false">
      <c r="A356" s="20"/>
      <c r="B356" s="21"/>
      <c r="C356" s="20"/>
      <c r="D356" s="20"/>
      <c r="E356" s="20"/>
      <c r="F356" s="33"/>
      <c r="G356" s="20"/>
      <c r="H356" s="20"/>
      <c r="I356" s="8" t="str">
        <f aca="false">IF(C356="","",IFERROR(INDEX(Disputes!$C$5:$C$1004,MATCH(C356,Disputes!$A$5:$A$1004,0)),IFERROR(INDEX(Batches!$B$5:$B$64,MATCH(C356,Batches!$A$5:$A$64,0)),"")))</f>
        <v/>
      </c>
      <c r="J356" s="17" t="str">
        <f aca="false">IF(B356="","",DATE(YEAR(B356),MONTH(B356),1))</f>
        <v/>
      </c>
    </row>
    <row r="357" customFormat="false" ht="15" hidden="false" customHeight="false" outlineLevel="0" collapsed="false">
      <c r="A357" s="20"/>
      <c r="B357" s="21"/>
      <c r="C357" s="20"/>
      <c r="D357" s="20"/>
      <c r="E357" s="20"/>
      <c r="F357" s="33"/>
      <c r="G357" s="20"/>
      <c r="H357" s="20"/>
      <c r="I357" s="8" t="str">
        <f aca="false">IF(C357="","",IFERROR(INDEX(Disputes!$C$5:$C$1004,MATCH(C357,Disputes!$A$5:$A$1004,0)),IFERROR(INDEX(Batches!$B$5:$B$64,MATCH(C357,Batches!$A$5:$A$64,0)),"")))</f>
        <v/>
      </c>
      <c r="J357" s="17" t="str">
        <f aca="false">IF(B357="","",DATE(YEAR(B357),MONTH(B357),1))</f>
        <v/>
      </c>
    </row>
    <row r="358" customFormat="false" ht="15" hidden="false" customHeight="false" outlineLevel="0" collapsed="false">
      <c r="A358" s="20"/>
      <c r="B358" s="21"/>
      <c r="C358" s="20"/>
      <c r="D358" s="20"/>
      <c r="E358" s="20"/>
      <c r="F358" s="33"/>
      <c r="G358" s="20"/>
      <c r="H358" s="20"/>
      <c r="I358" s="8" t="str">
        <f aca="false">IF(C358="","",IFERROR(INDEX(Disputes!$C$5:$C$1004,MATCH(C358,Disputes!$A$5:$A$1004,0)),IFERROR(INDEX(Batches!$B$5:$B$64,MATCH(C358,Batches!$A$5:$A$64,0)),"")))</f>
        <v/>
      </c>
      <c r="J358" s="17" t="str">
        <f aca="false">IF(B358="","",DATE(YEAR(B358),MONTH(B358),1))</f>
        <v/>
      </c>
    </row>
    <row r="359" customFormat="false" ht="15" hidden="false" customHeight="false" outlineLevel="0" collapsed="false">
      <c r="A359" s="20"/>
      <c r="B359" s="21"/>
      <c r="C359" s="20"/>
      <c r="D359" s="20"/>
      <c r="E359" s="20"/>
      <c r="F359" s="33"/>
      <c r="G359" s="20"/>
      <c r="H359" s="20"/>
      <c r="I359" s="8" t="str">
        <f aca="false">IF(C359="","",IFERROR(INDEX(Disputes!$C$5:$C$1004,MATCH(C359,Disputes!$A$5:$A$1004,0)),IFERROR(INDEX(Batches!$B$5:$B$64,MATCH(C359,Batches!$A$5:$A$64,0)),"")))</f>
        <v/>
      </c>
      <c r="J359" s="17" t="str">
        <f aca="false">IF(B359="","",DATE(YEAR(B359),MONTH(B359),1))</f>
        <v/>
      </c>
    </row>
    <row r="360" customFormat="false" ht="15" hidden="false" customHeight="false" outlineLevel="0" collapsed="false">
      <c r="A360" s="20"/>
      <c r="B360" s="21"/>
      <c r="C360" s="20"/>
      <c r="D360" s="20"/>
      <c r="E360" s="20"/>
      <c r="F360" s="33"/>
      <c r="G360" s="20"/>
      <c r="H360" s="20"/>
      <c r="I360" s="8" t="str">
        <f aca="false">IF(C360="","",IFERROR(INDEX(Disputes!$C$5:$C$1004,MATCH(C360,Disputes!$A$5:$A$1004,0)),IFERROR(INDEX(Batches!$B$5:$B$64,MATCH(C360,Batches!$A$5:$A$64,0)),"")))</f>
        <v/>
      </c>
      <c r="J360" s="17" t="str">
        <f aca="false">IF(B360="","",DATE(YEAR(B360),MONTH(B360),1))</f>
        <v/>
      </c>
    </row>
    <row r="361" customFormat="false" ht="15" hidden="false" customHeight="false" outlineLevel="0" collapsed="false">
      <c r="A361" s="20"/>
      <c r="B361" s="21"/>
      <c r="C361" s="20"/>
      <c r="D361" s="20"/>
      <c r="E361" s="20"/>
      <c r="F361" s="33"/>
      <c r="G361" s="20"/>
      <c r="H361" s="20"/>
      <c r="I361" s="8" t="str">
        <f aca="false">IF(C361="","",IFERROR(INDEX(Disputes!$C$5:$C$1004,MATCH(C361,Disputes!$A$5:$A$1004,0)),IFERROR(INDEX(Batches!$B$5:$B$64,MATCH(C361,Batches!$A$5:$A$64,0)),"")))</f>
        <v/>
      </c>
      <c r="J361" s="17" t="str">
        <f aca="false">IF(B361="","",DATE(YEAR(B361),MONTH(B361),1))</f>
        <v/>
      </c>
    </row>
    <row r="362" customFormat="false" ht="15" hidden="false" customHeight="false" outlineLevel="0" collapsed="false">
      <c r="A362" s="20"/>
      <c r="B362" s="21"/>
      <c r="C362" s="20"/>
      <c r="D362" s="20"/>
      <c r="E362" s="20"/>
      <c r="F362" s="33"/>
      <c r="G362" s="20"/>
      <c r="H362" s="20"/>
      <c r="I362" s="8" t="str">
        <f aca="false">IF(C362="","",IFERROR(INDEX(Disputes!$C$5:$C$1004,MATCH(C362,Disputes!$A$5:$A$1004,0)),IFERROR(INDEX(Batches!$B$5:$B$64,MATCH(C362,Batches!$A$5:$A$64,0)),"")))</f>
        <v/>
      </c>
      <c r="J362" s="17" t="str">
        <f aca="false">IF(B362="","",DATE(YEAR(B362),MONTH(B362),1))</f>
        <v/>
      </c>
    </row>
    <row r="363" customFormat="false" ht="15" hidden="false" customHeight="false" outlineLevel="0" collapsed="false">
      <c r="A363" s="20"/>
      <c r="B363" s="21"/>
      <c r="C363" s="20"/>
      <c r="D363" s="20"/>
      <c r="E363" s="20"/>
      <c r="F363" s="33"/>
      <c r="G363" s="20"/>
      <c r="H363" s="20"/>
      <c r="I363" s="8" t="str">
        <f aca="false">IF(C363="","",IFERROR(INDEX(Disputes!$C$5:$C$1004,MATCH(C363,Disputes!$A$5:$A$1004,0)),IFERROR(INDEX(Batches!$B$5:$B$64,MATCH(C363,Batches!$A$5:$A$64,0)),"")))</f>
        <v/>
      </c>
      <c r="J363" s="17" t="str">
        <f aca="false">IF(B363="","",DATE(YEAR(B363),MONTH(B363),1))</f>
        <v/>
      </c>
    </row>
    <row r="364" customFormat="false" ht="15" hidden="false" customHeight="false" outlineLevel="0" collapsed="false">
      <c r="A364" s="20"/>
      <c r="B364" s="21"/>
      <c r="C364" s="20"/>
      <c r="D364" s="20"/>
      <c r="E364" s="20"/>
      <c r="F364" s="33"/>
      <c r="G364" s="20"/>
      <c r="H364" s="20"/>
      <c r="I364" s="8" t="str">
        <f aca="false">IF(C364="","",IFERROR(INDEX(Disputes!$C$5:$C$1004,MATCH(C364,Disputes!$A$5:$A$1004,0)),IFERROR(INDEX(Batches!$B$5:$B$64,MATCH(C364,Batches!$A$5:$A$64,0)),"")))</f>
        <v/>
      </c>
      <c r="J364" s="17" t="str">
        <f aca="false">IF(B364="","",DATE(YEAR(B364),MONTH(B364),1))</f>
        <v/>
      </c>
    </row>
    <row r="365" customFormat="false" ht="15" hidden="false" customHeight="false" outlineLevel="0" collapsed="false">
      <c r="A365" s="20"/>
      <c r="B365" s="21"/>
      <c r="C365" s="20"/>
      <c r="D365" s="20"/>
      <c r="E365" s="20"/>
      <c r="F365" s="33"/>
      <c r="G365" s="20"/>
      <c r="H365" s="20"/>
      <c r="I365" s="8" t="str">
        <f aca="false">IF(C365="","",IFERROR(INDEX(Disputes!$C$5:$C$1004,MATCH(C365,Disputes!$A$5:$A$1004,0)),IFERROR(INDEX(Batches!$B$5:$B$64,MATCH(C365,Batches!$A$5:$A$64,0)),"")))</f>
        <v/>
      </c>
      <c r="J365" s="17" t="str">
        <f aca="false">IF(B365="","",DATE(YEAR(B365),MONTH(B365),1))</f>
        <v/>
      </c>
    </row>
    <row r="366" customFormat="false" ht="15" hidden="false" customHeight="false" outlineLevel="0" collapsed="false">
      <c r="A366" s="20"/>
      <c r="B366" s="21"/>
      <c r="C366" s="20"/>
      <c r="D366" s="20"/>
      <c r="E366" s="20"/>
      <c r="F366" s="33"/>
      <c r="G366" s="20"/>
      <c r="H366" s="20"/>
      <c r="I366" s="8" t="str">
        <f aca="false">IF(C366="","",IFERROR(INDEX(Disputes!$C$5:$C$1004,MATCH(C366,Disputes!$A$5:$A$1004,0)),IFERROR(INDEX(Batches!$B$5:$B$64,MATCH(C366,Batches!$A$5:$A$64,0)),"")))</f>
        <v/>
      </c>
      <c r="J366" s="17" t="str">
        <f aca="false">IF(B366="","",DATE(YEAR(B366),MONTH(B366),1))</f>
        <v/>
      </c>
    </row>
    <row r="367" customFormat="false" ht="15" hidden="false" customHeight="false" outlineLevel="0" collapsed="false">
      <c r="A367" s="20"/>
      <c r="B367" s="21"/>
      <c r="C367" s="20"/>
      <c r="D367" s="20"/>
      <c r="E367" s="20"/>
      <c r="F367" s="33"/>
      <c r="G367" s="20"/>
      <c r="H367" s="20"/>
      <c r="I367" s="8" t="str">
        <f aca="false">IF(C367="","",IFERROR(INDEX(Disputes!$C$5:$C$1004,MATCH(C367,Disputes!$A$5:$A$1004,0)),IFERROR(INDEX(Batches!$B$5:$B$64,MATCH(C367,Batches!$A$5:$A$64,0)),"")))</f>
        <v/>
      </c>
      <c r="J367" s="17" t="str">
        <f aca="false">IF(B367="","",DATE(YEAR(B367),MONTH(B367),1))</f>
        <v/>
      </c>
    </row>
    <row r="368" customFormat="false" ht="15" hidden="false" customHeight="false" outlineLevel="0" collapsed="false">
      <c r="A368" s="20"/>
      <c r="B368" s="21"/>
      <c r="C368" s="20"/>
      <c r="D368" s="20"/>
      <c r="E368" s="20"/>
      <c r="F368" s="33"/>
      <c r="G368" s="20"/>
      <c r="H368" s="20"/>
      <c r="I368" s="8" t="str">
        <f aca="false">IF(C368="","",IFERROR(INDEX(Disputes!$C$5:$C$1004,MATCH(C368,Disputes!$A$5:$A$1004,0)),IFERROR(INDEX(Batches!$B$5:$B$64,MATCH(C368,Batches!$A$5:$A$64,0)),"")))</f>
        <v/>
      </c>
      <c r="J368" s="17" t="str">
        <f aca="false">IF(B368="","",DATE(YEAR(B368),MONTH(B368),1))</f>
        <v/>
      </c>
    </row>
    <row r="369" customFormat="false" ht="15" hidden="false" customHeight="false" outlineLevel="0" collapsed="false">
      <c r="A369" s="20"/>
      <c r="B369" s="21"/>
      <c r="C369" s="20"/>
      <c r="D369" s="20"/>
      <c r="E369" s="20"/>
      <c r="F369" s="33"/>
      <c r="G369" s="20"/>
      <c r="H369" s="20"/>
      <c r="I369" s="8" t="str">
        <f aca="false">IF(C369="","",IFERROR(INDEX(Disputes!$C$5:$C$1004,MATCH(C369,Disputes!$A$5:$A$1004,0)),IFERROR(INDEX(Batches!$B$5:$B$64,MATCH(C369,Batches!$A$5:$A$64,0)),"")))</f>
        <v/>
      </c>
      <c r="J369" s="17" t="str">
        <f aca="false">IF(B369="","",DATE(YEAR(B369),MONTH(B369),1))</f>
        <v/>
      </c>
    </row>
    <row r="370" customFormat="false" ht="15" hidden="false" customHeight="false" outlineLevel="0" collapsed="false">
      <c r="A370" s="20"/>
      <c r="B370" s="21"/>
      <c r="C370" s="20"/>
      <c r="D370" s="20"/>
      <c r="E370" s="20"/>
      <c r="F370" s="33"/>
      <c r="G370" s="20"/>
      <c r="H370" s="20"/>
      <c r="I370" s="8" t="str">
        <f aca="false">IF(C370="","",IFERROR(INDEX(Disputes!$C$5:$C$1004,MATCH(C370,Disputes!$A$5:$A$1004,0)),IFERROR(INDEX(Batches!$B$5:$B$64,MATCH(C370,Batches!$A$5:$A$64,0)),"")))</f>
        <v/>
      </c>
      <c r="J370" s="17" t="str">
        <f aca="false">IF(B370="","",DATE(YEAR(B370),MONTH(B370),1))</f>
        <v/>
      </c>
    </row>
    <row r="371" customFormat="false" ht="15" hidden="false" customHeight="false" outlineLevel="0" collapsed="false">
      <c r="A371" s="20"/>
      <c r="B371" s="21"/>
      <c r="C371" s="20"/>
      <c r="D371" s="20"/>
      <c r="E371" s="20"/>
      <c r="F371" s="33"/>
      <c r="G371" s="20"/>
      <c r="H371" s="20"/>
      <c r="I371" s="8" t="str">
        <f aca="false">IF(C371="","",IFERROR(INDEX(Disputes!$C$5:$C$1004,MATCH(C371,Disputes!$A$5:$A$1004,0)),IFERROR(INDEX(Batches!$B$5:$B$64,MATCH(C371,Batches!$A$5:$A$64,0)),"")))</f>
        <v/>
      </c>
      <c r="J371" s="17" t="str">
        <f aca="false">IF(B371="","",DATE(YEAR(B371),MONTH(B371),1))</f>
        <v/>
      </c>
    </row>
    <row r="372" customFormat="false" ht="15" hidden="false" customHeight="false" outlineLevel="0" collapsed="false">
      <c r="A372" s="20"/>
      <c r="B372" s="21"/>
      <c r="C372" s="20"/>
      <c r="D372" s="20"/>
      <c r="E372" s="20"/>
      <c r="F372" s="33"/>
      <c r="G372" s="20"/>
      <c r="H372" s="20"/>
      <c r="I372" s="8" t="str">
        <f aca="false">IF(C372="","",IFERROR(INDEX(Disputes!$C$5:$C$1004,MATCH(C372,Disputes!$A$5:$A$1004,0)),IFERROR(INDEX(Batches!$B$5:$B$64,MATCH(C372,Batches!$A$5:$A$64,0)),"")))</f>
        <v/>
      </c>
      <c r="J372" s="17" t="str">
        <f aca="false">IF(B372="","",DATE(YEAR(B372),MONTH(B372),1))</f>
        <v/>
      </c>
    </row>
    <row r="373" customFormat="false" ht="15" hidden="false" customHeight="false" outlineLevel="0" collapsed="false">
      <c r="A373" s="20"/>
      <c r="B373" s="21"/>
      <c r="C373" s="20"/>
      <c r="D373" s="20"/>
      <c r="E373" s="20"/>
      <c r="F373" s="33"/>
      <c r="G373" s="20"/>
      <c r="H373" s="20"/>
      <c r="I373" s="8" t="str">
        <f aca="false">IF(C373="","",IFERROR(INDEX(Disputes!$C$5:$C$1004,MATCH(C373,Disputes!$A$5:$A$1004,0)),IFERROR(INDEX(Batches!$B$5:$B$64,MATCH(C373,Batches!$A$5:$A$64,0)),"")))</f>
        <v/>
      </c>
      <c r="J373" s="17" t="str">
        <f aca="false">IF(B373="","",DATE(YEAR(B373),MONTH(B373),1))</f>
        <v/>
      </c>
    </row>
    <row r="374" customFormat="false" ht="15" hidden="false" customHeight="false" outlineLevel="0" collapsed="false">
      <c r="A374" s="20"/>
      <c r="B374" s="21"/>
      <c r="C374" s="20"/>
      <c r="D374" s="20"/>
      <c r="E374" s="20"/>
      <c r="F374" s="33"/>
      <c r="G374" s="20"/>
      <c r="H374" s="20"/>
      <c r="I374" s="8" t="str">
        <f aca="false">IF(C374="","",IFERROR(INDEX(Disputes!$C$5:$C$1004,MATCH(C374,Disputes!$A$5:$A$1004,0)),IFERROR(INDEX(Batches!$B$5:$B$64,MATCH(C374,Batches!$A$5:$A$64,0)),"")))</f>
        <v/>
      </c>
      <c r="J374" s="17" t="str">
        <f aca="false">IF(B374="","",DATE(YEAR(B374),MONTH(B374),1))</f>
        <v/>
      </c>
    </row>
    <row r="375" customFormat="false" ht="15" hidden="false" customHeight="false" outlineLevel="0" collapsed="false">
      <c r="A375" s="20"/>
      <c r="B375" s="21"/>
      <c r="C375" s="20"/>
      <c r="D375" s="20"/>
      <c r="E375" s="20"/>
      <c r="F375" s="33"/>
      <c r="G375" s="20"/>
      <c r="H375" s="20"/>
      <c r="I375" s="8" t="str">
        <f aca="false">IF(C375="","",IFERROR(INDEX(Disputes!$C$5:$C$1004,MATCH(C375,Disputes!$A$5:$A$1004,0)),IFERROR(INDEX(Batches!$B$5:$B$64,MATCH(C375,Batches!$A$5:$A$64,0)),"")))</f>
        <v/>
      </c>
      <c r="J375" s="17" t="str">
        <f aca="false">IF(B375="","",DATE(YEAR(B375),MONTH(B375),1))</f>
        <v/>
      </c>
    </row>
    <row r="376" customFormat="false" ht="15" hidden="false" customHeight="false" outlineLevel="0" collapsed="false">
      <c r="A376" s="20"/>
      <c r="B376" s="21"/>
      <c r="C376" s="20"/>
      <c r="D376" s="20"/>
      <c r="E376" s="20"/>
      <c r="F376" s="33"/>
      <c r="G376" s="20"/>
      <c r="H376" s="20"/>
      <c r="I376" s="8" t="str">
        <f aca="false">IF(C376="","",IFERROR(INDEX(Disputes!$C$5:$C$1004,MATCH(C376,Disputes!$A$5:$A$1004,0)),IFERROR(INDEX(Batches!$B$5:$B$64,MATCH(C376,Batches!$A$5:$A$64,0)),"")))</f>
        <v/>
      </c>
      <c r="J376" s="17" t="str">
        <f aca="false">IF(B376="","",DATE(YEAR(B376),MONTH(B376),1))</f>
        <v/>
      </c>
    </row>
    <row r="377" customFormat="false" ht="15" hidden="false" customHeight="false" outlineLevel="0" collapsed="false">
      <c r="A377" s="20"/>
      <c r="B377" s="21"/>
      <c r="C377" s="20"/>
      <c r="D377" s="20"/>
      <c r="E377" s="20"/>
      <c r="F377" s="33"/>
      <c r="G377" s="20"/>
      <c r="H377" s="20"/>
      <c r="I377" s="8" t="str">
        <f aca="false">IF(C377="","",IFERROR(INDEX(Disputes!$C$5:$C$1004,MATCH(C377,Disputes!$A$5:$A$1004,0)),IFERROR(INDEX(Batches!$B$5:$B$64,MATCH(C377,Batches!$A$5:$A$64,0)),"")))</f>
        <v/>
      </c>
      <c r="J377" s="17" t="str">
        <f aca="false">IF(B377="","",DATE(YEAR(B377),MONTH(B377),1))</f>
        <v/>
      </c>
    </row>
    <row r="378" customFormat="false" ht="15" hidden="false" customHeight="false" outlineLevel="0" collapsed="false">
      <c r="A378" s="20"/>
      <c r="B378" s="21"/>
      <c r="C378" s="20"/>
      <c r="D378" s="20"/>
      <c r="E378" s="20"/>
      <c r="F378" s="33"/>
      <c r="G378" s="20"/>
      <c r="H378" s="20"/>
      <c r="I378" s="8" t="str">
        <f aca="false">IF(C378="","",IFERROR(INDEX(Disputes!$C$5:$C$1004,MATCH(C378,Disputes!$A$5:$A$1004,0)),IFERROR(INDEX(Batches!$B$5:$B$64,MATCH(C378,Batches!$A$5:$A$64,0)),"")))</f>
        <v/>
      </c>
      <c r="J378" s="17" t="str">
        <f aca="false">IF(B378="","",DATE(YEAR(B378),MONTH(B378),1))</f>
        <v/>
      </c>
    </row>
    <row r="379" customFormat="false" ht="15" hidden="false" customHeight="false" outlineLevel="0" collapsed="false">
      <c r="A379" s="20"/>
      <c r="B379" s="21"/>
      <c r="C379" s="20"/>
      <c r="D379" s="20"/>
      <c r="E379" s="20"/>
      <c r="F379" s="33"/>
      <c r="G379" s="20"/>
      <c r="H379" s="20"/>
      <c r="I379" s="8" t="str">
        <f aca="false">IF(C379="","",IFERROR(INDEX(Disputes!$C$5:$C$1004,MATCH(C379,Disputes!$A$5:$A$1004,0)),IFERROR(INDEX(Batches!$B$5:$B$64,MATCH(C379,Batches!$A$5:$A$64,0)),"")))</f>
        <v/>
      </c>
      <c r="J379" s="17" t="str">
        <f aca="false">IF(B379="","",DATE(YEAR(B379),MONTH(B379),1))</f>
        <v/>
      </c>
    </row>
    <row r="380" customFormat="false" ht="15" hidden="false" customHeight="false" outlineLevel="0" collapsed="false">
      <c r="A380" s="20"/>
      <c r="B380" s="21"/>
      <c r="C380" s="20"/>
      <c r="D380" s="20"/>
      <c r="E380" s="20"/>
      <c r="F380" s="33"/>
      <c r="G380" s="20"/>
      <c r="H380" s="20"/>
      <c r="I380" s="8" t="str">
        <f aca="false">IF(C380="","",IFERROR(INDEX(Disputes!$C$5:$C$1004,MATCH(C380,Disputes!$A$5:$A$1004,0)),IFERROR(INDEX(Batches!$B$5:$B$64,MATCH(C380,Batches!$A$5:$A$64,0)),"")))</f>
        <v/>
      </c>
      <c r="J380" s="17" t="str">
        <f aca="false">IF(B380="","",DATE(YEAR(B380),MONTH(B380),1))</f>
        <v/>
      </c>
    </row>
    <row r="381" customFormat="false" ht="15" hidden="false" customHeight="false" outlineLevel="0" collapsed="false">
      <c r="A381" s="20"/>
      <c r="B381" s="21"/>
      <c r="C381" s="20"/>
      <c r="D381" s="20"/>
      <c r="E381" s="20"/>
      <c r="F381" s="33"/>
      <c r="G381" s="20"/>
      <c r="H381" s="20"/>
      <c r="I381" s="8" t="str">
        <f aca="false">IF(C381="","",IFERROR(INDEX(Disputes!$C$5:$C$1004,MATCH(C381,Disputes!$A$5:$A$1004,0)),IFERROR(INDEX(Batches!$B$5:$B$64,MATCH(C381,Batches!$A$5:$A$64,0)),"")))</f>
        <v/>
      </c>
      <c r="J381" s="17" t="str">
        <f aca="false">IF(B381="","",DATE(YEAR(B381),MONTH(B381),1))</f>
        <v/>
      </c>
    </row>
    <row r="382" customFormat="false" ht="15" hidden="false" customHeight="false" outlineLevel="0" collapsed="false">
      <c r="A382" s="20"/>
      <c r="B382" s="21"/>
      <c r="C382" s="20"/>
      <c r="D382" s="20"/>
      <c r="E382" s="20"/>
      <c r="F382" s="33"/>
      <c r="G382" s="20"/>
      <c r="H382" s="20"/>
      <c r="I382" s="8" t="str">
        <f aca="false">IF(C382="","",IFERROR(INDEX(Disputes!$C$5:$C$1004,MATCH(C382,Disputes!$A$5:$A$1004,0)),IFERROR(INDEX(Batches!$B$5:$B$64,MATCH(C382,Batches!$A$5:$A$64,0)),"")))</f>
        <v/>
      </c>
      <c r="J382" s="17" t="str">
        <f aca="false">IF(B382="","",DATE(YEAR(B382),MONTH(B382),1))</f>
        <v/>
      </c>
    </row>
    <row r="383" customFormat="false" ht="15" hidden="false" customHeight="false" outlineLevel="0" collapsed="false">
      <c r="A383" s="20"/>
      <c r="B383" s="21"/>
      <c r="C383" s="20"/>
      <c r="D383" s="20"/>
      <c r="E383" s="20"/>
      <c r="F383" s="33"/>
      <c r="G383" s="20"/>
      <c r="H383" s="20"/>
      <c r="I383" s="8" t="str">
        <f aca="false">IF(C383="","",IFERROR(INDEX(Disputes!$C$5:$C$1004,MATCH(C383,Disputes!$A$5:$A$1004,0)),IFERROR(INDEX(Batches!$B$5:$B$64,MATCH(C383,Batches!$A$5:$A$64,0)),"")))</f>
        <v/>
      </c>
      <c r="J383" s="17" t="str">
        <f aca="false">IF(B383="","",DATE(YEAR(B383),MONTH(B383),1))</f>
        <v/>
      </c>
    </row>
    <row r="384" customFormat="false" ht="15" hidden="false" customHeight="false" outlineLevel="0" collapsed="false">
      <c r="A384" s="20"/>
      <c r="B384" s="21"/>
      <c r="C384" s="20"/>
      <c r="D384" s="20"/>
      <c r="E384" s="20"/>
      <c r="F384" s="33"/>
      <c r="G384" s="20"/>
      <c r="H384" s="20"/>
      <c r="I384" s="8" t="str">
        <f aca="false">IF(C384="","",IFERROR(INDEX(Disputes!$C$5:$C$1004,MATCH(C384,Disputes!$A$5:$A$1004,0)),IFERROR(INDEX(Batches!$B$5:$B$64,MATCH(C384,Batches!$A$5:$A$64,0)),"")))</f>
        <v/>
      </c>
      <c r="J384" s="17" t="str">
        <f aca="false">IF(B384="","",DATE(YEAR(B384),MONTH(B384),1))</f>
        <v/>
      </c>
    </row>
    <row r="385" customFormat="false" ht="15" hidden="false" customHeight="false" outlineLevel="0" collapsed="false">
      <c r="A385" s="20"/>
      <c r="B385" s="21"/>
      <c r="C385" s="20"/>
      <c r="D385" s="20"/>
      <c r="E385" s="20"/>
      <c r="F385" s="33"/>
      <c r="G385" s="20"/>
      <c r="H385" s="20"/>
      <c r="I385" s="8" t="str">
        <f aca="false">IF(C385="","",IFERROR(INDEX(Disputes!$C$5:$C$1004,MATCH(C385,Disputes!$A$5:$A$1004,0)),IFERROR(INDEX(Batches!$B$5:$B$64,MATCH(C385,Batches!$A$5:$A$64,0)),"")))</f>
        <v/>
      </c>
      <c r="J385" s="17" t="str">
        <f aca="false">IF(B385="","",DATE(YEAR(B385),MONTH(B385),1))</f>
        <v/>
      </c>
    </row>
    <row r="386" customFormat="false" ht="15" hidden="false" customHeight="false" outlineLevel="0" collapsed="false">
      <c r="A386" s="20"/>
      <c r="B386" s="21"/>
      <c r="C386" s="20"/>
      <c r="D386" s="20"/>
      <c r="E386" s="20"/>
      <c r="F386" s="33"/>
      <c r="G386" s="20"/>
      <c r="H386" s="20"/>
      <c r="I386" s="8" t="str">
        <f aca="false">IF(C386="","",IFERROR(INDEX(Disputes!$C$5:$C$1004,MATCH(C386,Disputes!$A$5:$A$1004,0)),IFERROR(INDEX(Batches!$B$5:$B$64,MATCH(C386,Batches!$A$5:$A$64,0)),"")))</f>
        <v/>
      </c>
      <c r="J386" s="17" t="str">
        <f aca="false">IF(B386="","",DATE(YEAR(B386),MONTH(B386),1))</f>
        <v/>
      </c>
    </row>
    <row r="387" customFormat="false" ht="15" hidden="false" customHeight="false" outlineLevel="0" collapsed="false">
      <c r="A387" s="20"/>
      <c r="B387" s="21"/>
      <c r="C387" s="20"/>
      <c r="D387" s="20"/>
      <c r="E387" s="20"/>
      <c r="F387" s="33"/>
      <c r="G387" s="20"/>
      <c r="H387" s="20"/>
      <c r="I387" s="8" t="str">
        <f aca="false">IF(C387="","",IFERROR(INDEX(Disputes!$C$5:$C$1004,MATCH(C387,Disputes!$A$5:$A$1004,0)),IFERROR(INDEX(Batches!$B$5:$B$64,MATCH(C387,Batches!$A$5:$A$64,0)),"")))</f>
        <v/>
      </c>
      <c r="J387" s="17" t="str">
        <f aca="false">IF(B387="","",DATE(YEAR(B387),MONTH(B387),1))</f>
        <v/>
      </c>
    </row>
    <row r="388" customFormat="false" ht="15" hidden="false" customHeight="false" outlineLevel="0" collapsed="false">
      <c r="A388" s="20"/>
      <c r="B388" s="21"/>
      <c r="C388" s="20"/>
      <c r="D388" s="20"/>
      <c r="E388" s="20"/>
      <c r="F388" s="33"/>
      <c r="G388" s="20"/>
      <c r="H388" s="20"/>
      <c r="I388" s="8" t="str">
        <f aca="false">IF(C388="","",IFERROR(INDEX(Disputes!$C$5:$C$1004,MATCH(C388,Disputes!$A$5:$A$1004,0)),IFERROR(INDEX(Batches!$B$5:$B$64,MATCH(C388,Batches!$A$5:$A$64,0)),"")))</f>
        <v/>
      </c>
      <c r="J388" s="17" t="str">
        <f aca="false">IF(B388="","",DATE(YEAR(B388),MONTH(B388),1))</f>
        <v/>
      </c>
    </row>
    <row r="389" customFormat="false" ht="15" hidden="false" customHeight="false" outlineLevel="0" collapsed="false">
      <c r="A389" s="20"/>
      <c r="B389" s="21"/>
      <c r="C389" s="20"/>
      <c r="D389" s="20"/>
      <c r="E389" s="20"/>
      <c r="F389" s="33"/>
      <c r="G389" s="20"/>
      <c r="H389" s="20"/>
      <c r="I389" s="8" t="str">
        <f aca="false">IF(C389="","",IFERROR(INDEX(Disputes!$C$5:$C$1004,MATCH(C389,Disputes!$A$5:$A$1004,0)),IFERROR(INDEX(Batches!$B$5:$B$64,MATCH(C389,Batches!$A$5:$A$64,0)),"")))</f>
        <v/>
      </c>
      <c r="J389" s="17" t="str">
        <f aca="false">IF(B389="","",DATE(YEAR(B389),MONTH(B389),1))</f>
        <v/>
      </c>
    </row>
    <row r="390" customFormat="false" ht="15" hidden="false" customHeight="false" outlineLevel="0" collapsed="false">
      <c r="A390" s="20"/>
      <c r="B390" s="21"/>
      <c r="C390" s="20"/>
      <c r="D390" s="20"/>
      <c r="E390" s="20"/>
      <c r="F390" s="33"/>
      <c r="G390" s="20"/>
      <c r="H390" s="20"/>
      <c r="I390" s="8" t="str">
        <f aca="false">IF(C390="","",IFERROR(INDEX(Disputes!$C$5:$C$1004,MATCH(C390,Disputes!$A$5:$A$1004,0)),IFERROR(INDEX(Batches!$B$5:$B$64,MATCH(C390,Batches!$A$5:$A$64,0)),"")))</f>
        <v/>
      </c>
      <c r="J390" s="17" t="str">
        <f aca="false">IF(B390="","",DATE(YEAR(B390),MONTH(B390),1))</f>
        <v/>
      </c>
    </row>
    <row r="391" customFormat="false" ht="15" hidden="false" customHeight="false" outlineLevel="0" collapsed="false">
      <c r="A391" s="20"/>
      <c r="B391" s="21"/>
      <c r="C391" s="20"/>
      <c r="D391" s="20"/>
      <c r="E391" s="20"/>
      <c r="F391" s="33"/>
      <c r="G391" s="20"/>
      <c r="H391" s="20"/>
      <c r="I391" s="8" t="str">
        <f aca="false">IF(C391="","",IFERROR(INDEX(Disputes!$C$5:$C$1004,MATCH(C391,Disputes!$A$5:$A$1004,0)),IFERROR(INDEX(Batches!$B$5:$B$64,MATCH(C391,Batches!$A$5:$A$64,0)),"")))</f>
        <v/>
      </c>
      <c r="J391" s="17" t="str">
        <f aca="false">IF(B391="","",DATE(YEAR(B391),MONTH(B391),1))</f>
        <v/>
      </c>
    </row>
    <row r="392" customFormat="false" ht="15" hidden="false" customHeight="false" outlineLevel="0" collapsed="false">
      <c r="A392" s="20"/>
      <c r="B392" s="21"/>
      <c r="C392" s="20"/>
      <c r="D392" s="20"/>
      <c r="E392" s="20"/>
      <c r="F392" s="33"/>
      <c r="G392" s="20"/>
      <c r="H392" s="20"/>
      <c r="I392" s="8" t="str">
        <f aca="false">IF(C392="","",IFERROR(INDEX(Disputes!$C$5:$C$1004,MATCH(C392,Disputes!$A$5:$A$1004,0)),IFERROR(INDEX(Batches!$B$5:$B$64,MATCH(C392,Batches!$A$5:$A$64,0)),"")))</f>
        <v/>
      </c>
      <c r="J392" s="17" t="str">
        <f aca="false">IF(B392="","",DATE(YEAR(B392),MONTH(B392),1))</f>
        <v/>
      </c>
    </row>
    <row r="393" customFormat="false" ht="15" hidden="false" customHeight="false" outlineLevel="0" collapsed="false">
      <c r="A393" s="20"/>
      <c r="B393" s="21"/>
      <c r="C393" s="20"/>
      <c r="D393" s="20"/>
      <c r="E393" s="20"/>
      <c r="F393" s="33"/>
      <c r="G393" s="20"/>
      <c r="H393" s="20"/>
      <c r="I393" s="8" t="str">
        <f aca="false">IF(C393="","",IFERROR(INDEX(Disputes!$C$5:$C$1004,MATCH(C393,Disputes!$A$5:$A$1004,0)),IFERROR(INDEX(Batches!$B$5:$B$64,MATCH(C393,Batches!$A$5:$A$64,0)),"")))</f>
        <v/>
      </c>
      <c r="J393" s="17" t="str">
        <f aca="false">IF(B393="","",DATE(YEAR(B393),MONTH(B393),1))</f>
        <v/>
      </c>
    </row>
    <row r="394" customFormat="false" ht="15" hidden="false" customHeight="false" outlineLevel="0" collapsed="false">
      <c r="A394" s="20"/>
      <c r="B394" s="21"/>
      <c r="C394" s="20"/>
      <c r="D394" s="20"/>
      <c r="E394" s="20"/>
      <c r="F394" s="33"/>
      <c r="G394" s="20"/>
      <c r="H394" s="20"/>
      <c r="I394" s="8" t="str">
        <f aca="false">IF(C394="","",IFERROR(INDEX(Disputes!$C$5:$C$1004,MATCH(C394,Disputes!$A$5:$A$1004,0)),IFERROR(INDEX(Batches!$B$5:$B$64,MATCH(C394,Batches!$A$5:$A$64,0)),"")))</f>
        <v/>
      </c>
      <c r="J394" s="17" t="str">
        <f aca="false">IF(B394="","",DATE(YEAR(B394),MONTH(B394),1))</f>
        <v/>
      </c>
    </row>
    <row r="395" customFormat="false" ht="15" hidden="false" customHeight="false" outlineLevel="0" collapsed="false">
      <c r="A395" s="20"/>
      <c r="B395" s="21"/>
      <c r="C395" s="20"/>
      <c r="D395" s="20"/>
      <c r="E395" s="20"/>
      <c r="F395" s="33"/>
      <c r="G395" s="20"/>
      <c r="H395" s="20"/>
      <c r="I395" s="8" t="str">
        <f aca="false">IF(C395="","",IFERROR(INDEX(Disputes!$C$5:$C$1004,MATCH(C395,Disputes!$A$5:$A$1004,0)),IFERROR(INDEX(Batches!$B$5:$B$64,MATCH(C395,Batches!$A$5:$A$64,0)),"")))</f>
        <v/>
      </c>
      <c r="J395" s="17" t="str">
        <f aca="false">IF(B395="","",DATE(YEAR(B395),MONTH(B395),1))</f>
        <v/>
      </c>
    </row>
    <row r="396" customFormat="false" ht="15" hidden="false" customHeight="false" outlineLevel="0" collapsed="false">
      <c r="A396" s="20"/>
      <c r="B396" s="21"/>
      <c r="C396" s="20"/>
      <c r="D396" s="20"/>
      <c r="E396" s="20"/>
      <c r="F396" s="33"/>
      <c r="G396" s="20"/>
      <c r="H396" s="20"/>
      <c r="I396" s="8" t="str">
        <f aca="false">IF(C396="","",IFERROR(INDEX(Disputes!$C$5:$C$1004,MATCH(C396,Disputes!$A$5:$A$1004,0)),IFERROR(INDEX(Batches!$B$5:$B$64,MATCH(C396,Batches!$A$5:$A$64,0)),"")))</f>
        <v/>
      </c>
      <c r="J396" s="17" t="str">
        <f aca="false">IF(B396="","",DATE(YEAR(B396),MONTH(B396),1))</f>
        <v/>
      </c>
    </row>
    <row r="397" customFormat="false" ht="15" hidden="false" customHeight="false" outlineLevel="0" collapsed="false">
      <c r="A397" s="20"/>
      <c r="B397" s="21"/>
      <c r="C397" s="20"/>
      <c r="D397" s="20"/>
      <c r="E397" s="20"/>
      <c r="F397" s="33"/>
      <c r="G397" s="20"/>
      <c r="H397" s="20"/>
      <c r="I397" s="8" t="str">
        <f aca="false">IF(C397="","",IFERROR(INDEX(Disputes!$C$5:$C$1004,MATCH(C397,Disputes!$A$5:$A$1004,0)),IFERROR(INDEX(Batches!$B$5:$B$64,MATCH(C397,Batches!$A$5:$A$64,0)),"")))</f>
        <v/>
      </c>
      <c r="J397" s="17" t="str">
        <f aca="false">IF(B397="","",DATE(YEAR(B397),MONTH(B397),1))</f>
        <v/>
      </c>
    </row>
    <row r="398" customFormat="false" ht="15" hidden="false" customHeight="false" outlineLevel="0" collapsed="false">
      <c r="A398" s="20"/>
      <c r="B398" s="21"/>
      <c r="C398" s="20"/>
      <c r="D398" s="20"/>
      <c r="E398" s="20"/>
      <c r="F398" s="33"/>
      <c r="G398" s="20"/>
      <c r="H398" s="20"/>
      <c r="I398" s="8" t="str">
        <f aca="false">IF(C398="","",IFERROR(INDEX(Disputes!$C$5:$C$1004,MATCH(C398,Disputes!$A$5:$A$1004,0)),IFERROR(INDEX(Batches!$B$5:$B$64,MATCH(C398,Batches!$A$5:$A$64,0)),"")))</f>
        <v/>
      </c>
      <c r="J398" s="17" t="str">
        <f aca="false">IF(B398="","",DATE(YEAR(B398),MONTH(B398),1))</f>
        <v/>
      </c>
    </row>
    <row r="399" customFormat="false" ht="15" hidden="false" customHeight="false" outlineLevel="0" collapsed="false">
      <c r="A399" s="20"/>
      <c r="B399" s="21"/>
      <c r="C399" s="20"/>
      <c r="D399" s="20"/>
      <c r="E399" s="20"/>
      <c r="F399" s="33"/>
      <c r="G399" s="20"/>
      <c r="H399" s="20"/>
      <c r="I399" s="8" t="str">
        <f aca="false">IF(C399="","",IFERROR(INDEX(Disputes!$C$5:$C$1004,MATCH(C399,Disputes!$A$5:$A$1004,0)),IFERROR(INDEX(Batches!$B$5:$B$64,MATCH(C399,Batches!$A$5:$A$64,0)),"")))</f>
        <v/>
      </c>
      <c r="J399" s="17" t="str">
        <f aca="false">IF(B399="","",DATE(YEAR(B399),MONTH(B399),1))</f>
        <v/>
      </c>
    </row>
    <row r="400" customFormat="false" ht="15" hidden="false" customHeight="false" outlineLevel="0" collapsed="false">
      <c r="A400" s="20"/>
      <c r="B400" s="21"/>
      <c r="C400" s="20"/>
      <c r="D400" s="20"/>
      <c r="E400" s="20"/>
      <c r="F400" s="33"/>
      <c r="G400" s="20"/>
      <c r="H400" s="20"/>
      <c r="I400" s="8" t="str">
        <f aca="false">IF(C400="","",IFERROR(INDEX(Disputes!$C$5:$C$1004,MATCH(C400,Disputes!$A$5:$A$1004,0)),IFERROR(INDEX(Batches!$B$5:$B$64,MATCH(C400,Batches!$A$5:$A$64,0)),"")))</f>
        <v/>
      </c>
      <c r="J400" s="17" t="str">
        <f aca="false">IF(B400="","",DATE(YEAR(B400),MONTH(B400),1))</f>
        <v/>
      </c>
    </row>
    <row r="401" customFormat="false" ht="15" hidden="false" customHeight="false" outlineLevel="0" collapsed="false">
      <c r="A401" s="20"/>
      <c r="B401" s="21"/>
      <c r="C401" s="20"/>
      <c r="D401" s="20"/>
      <c r="E401" s="20"/>
      <c r="F401" s="33"/>
      <c r="G401" s="20"/>
      <c r="H401" s="20"/>
      <c r="I401" s="8" t="str">
        <f aca="false">IF(C401="","",IFERROR(INDEX(Disputes!$C$5:$C$1004,MATCH(C401,Disputes!$A$5:$A$1004,0)),IFERROR(INDEX(Batches!$B$5:$B$64,MATCH(C401,Batches!$A$5:$A$64,0)),"")))</f>
        <v/>
      </c>
      <c r="J401" s="17" t="str">
        <f aca="false">IF(B401="","",DATE(YEAR(B401),MONTH(B401),1))</f>
        <v/>
      </c>
    </row>
    <row r="402" customFormat="false" ht="15" hidden="false" customHeight="false" outlineLevel="0" collapsed="false">
      <c r="A402" s="20"/>
      <c r="B402" s="21"/>
      <c r="C402" s="20"/>
      <c r="D402" s="20"/>
      <c r="E402" s="20"/>
      <c r="F402" s="33"/>
      <c r="G402" s="20"/>
      <c r="H402" s="20"/>
      <c r="I402" s="8" t="str">
        <f aca="false">IF(C402="","",IFERROR(INDEX(Disputes!$C$5:$C$1004,MATCH(C402,Disputes!$A$5:$A$1004,0)),IFERROR(INDEX(Batches!$B$5:$B$64,MATCH(C402,Batches!$A$5:$A$64,0)),"")))</f>
        <v/>
      </c>
      <c r="J402" s="17" t="str">
        <f aca="false">IF(B402="","",DATE(YEAR(B402),MONTH(B402),1))</f>
        <v/>
      </c>
    </row>
    <row r="403" customFormat="false" ht="15" hidden="false" customHeight="false" outlineLevel="0" collapsed="false">
      <c r="A403" s="20"/>
      <c r="B403" s="21"/>
      <c r="C403" s="20"/>
      <c r="D403" s="20"/>
      <c r="E403" s="20"/>
      <c r="F403" s="33"/>
      <c r="G403" s="20"/>
      <c r="H403" s="20"/>
      <c r="I403" s="8" t="str">
        <f aca="false">IF(C403="","",IFERROR(INDEX(Disputes!$C$5:$C$1004,MATCH(C403,Disputes!$A$5:$A$1004,0)),IFERROR(INDEX(Batches!$B$5:$B$64,MATCH(C403,Batches!$A$5:$A$64,0)),"")))</f>
        <v/>
      </c>
      <c r="J403" s="17" t="str">
        <f aca="false">IF(B403="","",DATE(YEAR(B403),MONTH(B403),1))</f>
        <v/>
      </c>
    </row>
    <row r="404" customFormat="false" ht="15" hidden="false" customHeight="false" outlineLevel="0" collapsed="false">
      <c r="A404" s="20"/>
      <c r="B404" s="21"/>
      <c r="C404" s="20"/>
      <c r="D404" s="20"/>
      <c r="E404" s="20"/>
      <c r="F404" s="33"/>
      <c r="G404" s="20"/>
      <c r="H404" s="20"/>
      <c r="I404" s="8" t="str">
        <f aca="false">IF(C404="","",IFERROR(INDEX(Disputes!$C$5:$C$1004,MATCH(C404,Disputes!$A$5:$A$1004,0)),IFERROR(INDEX(Batches!$B$5:$B$64,MATCH(C404,Batches!$A$5:$A$64,0)),"")))</f>
        <v/>
      </c>
      <c r="J404" s="17" t="str">
        <f aca="false">IF(B404="","",DATE(YEAR(B404),MONTH(B404),1))</f>
        <v/>
      </c>
    </row>
    <row r="405" customFormat="false" ht="15" hidden="false" customHeight="false" outlineLevel="0" collapsed="false">
      <c r="A405" s="20"/>
      <c r="B405" s="21"/>
      <c r="C405" s="20"/>
      <c r="D405" s="20"/>
      <c r="E405" s="20"/>
      <c r="F405" s="33"/>
      <c r="G405" s="20"/>
      <c r="H405" s="20"/>
      <c r="I405" s="8" t="str">
        <f aca="false">IF(C405="","",IFERROR(INDEX(Disputes!$C$5:$C$1004,MATCH(C405,Disputes!$A$5:$A$1004,0)),IFERROR(INDEX(Batches!$B$5:$B$64,MATCH(C405,Batches!$A$5:$A$64,0)),"")))</f>
        <v/>
      </c>
      <c r="J405" s="17" t="str">
        <f aca="false">IF(B405="","",DATE(YEAR(B405),MONTH(B405),1))</f>
        <v/>
      </c>
    </row>
    <row r="406" customFormat="false" ht="15" hidden="false" customHeight="false" outlineLevel="0" collapsed="false">
      <c r="A406" s="20"/>
      <c r="B406" s="21"/>
      <c r="C406" s="20"/>
      <c r="D406" s="20"/>
      <c r="E406" s="20"/>
      <c r="F406" s="33"/>
      <c r="G406" s="20"/>
      <c r="H406" s="20"/>
      <c r="I406" s="8" t="str">
        <f aca="false">IF(C406="","",IFERROR(INDEX(Disputes!$C$5:$C$1004,MATCH(C406,Disputes!$A$5:$A$1004,0)),IFERROR(INDEX(Batches!$B$5:$B$64,MATCH(C406,Batches!$A$5:$A$64,0)),"")))</f>
        <v/>
      </c>
      <c r="J406" s="17" t="str">
        <f aca="false">IF(B406="","",DATE(YEAR(B406),MONTH(B406),1))</f>
        <v/>
      </c>
    </row>
    <row r="407" customFormat="false" ht="15" hidden="false" customHeight="false" outlineLevel="0" collapsed="false">
      <c r="A407" s="20"/>
      <c r="B407" s="21"/>
      <c r="C407" s="20"/>
      <c r="D407" s="20"/>
      <c r="E407" s="20"/>
      <c r="F407" s="33"/>
      <c r="G407" s="20"/>
      <c r="H407" s="20"/>
      <c r="I407" s="8" t="str">
        <f aca="false">IF(C407="","",IFERROR(INDEX(Disputes!$C$5:$C$1004,MATCH(C407,Disputes!$A$5:$A$1004,0)),IFERROR(INDEX(Batches!$B$5:$B$64,MATCH(C407,Batches!$A$5:$A$64,0)),"")))</f>
        <v/>
      </c>
      <c r="J407" s="17" t="str">
        <f aca="false">IF(B407="","",DATE(YEAR(B407),MONTH(B407),1))</f>
        <v/>
      </c>
    </row>
    <row r="408" customFormat="false" ht="15" hidden="false" customHeight="false" outlineLevel="0" collapsed="false">
      <c r="A408" s="20"/>
      <c r="B408" s="21"/>
      <c r="C408" s="20"/>
      <c r="D408" s="20"/>
      <c r="E408" s="20"/>
      <c r="F408" s="33"/>
      <c r="G408" s="20"/>
      <c r="H408" s="20"/>
      <c r="I408" s="8" t="str">
        <f aca="false">IF(C408="","",IFERROR(INDEX(Disputes!$C$5:$C$1004,MATCH(C408,Disputes!$A$5:$A$1004,0)),IFERROR(INDEX(Batches!$B$5:$B$64,MATCH(C408,Batches!$A$5:$A$64,0)),"")))</f>
        <v/>
      </c>
      <c r="J408" s="17" t="str">
        <f aca="false">IF(B408="","",DATE(YEAR(B408),MONTH(B408),1))</f>
        <v/>
      </c>
    </row>
    <row r="409" customFormat="false" ht="15" hidden="false" customHeight="false" outlineLevel="0" collapsed="false">
      <c r="A409" s="20"/>
      <c r="B409" s="21"/>
      <c r="C409" s="20"/>
      <c r="D409" s="20"/>
      <c r="E409" s="20"/>
      <c r="F409" s="33"/>
      <c r="G409" s="20"/>
      <c r="H409" s="20"/>
      <c r="I409" s="8" t="str">
        <f aca="false">IF(C409="","",IFERROR(INDEX(Disputes!$C$5:$C$1004,MATCH(C409,Disputes!$A$5:$A$1004,0)),IFERROR(INDEX(Batches!$B$5:$B$64,MATCH(C409,Batches!$A$5:$A$64,0)),"")))</f>
        <v/>
      </c>
      <c r="J409" s="17" t="str">
        <f aca="false">IF(B409="","",DATE(YEAR(B409),MONTH(B409),1))</f>
        <v/>
      </c>
    </row>
    <row r="410" customFormat="false" ht="15" hidden="false" customHeight="false" outlineLevel="0" collapsed="false">
      <c r="A410" s="20"/>
      <c r="B410" s="21"/>
      <c r="C410" s="20"/>
      <c r="D410" s="20"/>
      <c r="E410" s="20"/>
      <c r="F410" s="33"/>
      <c r="G410" s="20"/>
      <c r="H410" s="20"/>
      <c r="I410" s="8" t="str">
        <f aca="false">IF(C410="","",IFERROR(INDEX(Disputes!$C$5:$C$1004,MATCH(C410,Disputes!$A$5:$A$1004,0)),IFERROR(INDEX(Batches!$B$5:$B$64,MATCH(C410,Batches!$A$5:$A$64,0)),"")))</f>
        <v/>
      </c>
      <c r="J410" s="17" t="str">
        <f aca="false">IF(B410="","",DATE(YEAR(B410),MONTH(B410),1))</f>
        <v/>
      </c>
    </row>
    <row r="411" customFormat="false" ht="15" hidden="false" customHeight="false" outlineLevel="0" collapsed="false">
      <c r="A411" s="20"/>
      <c r="B411" s="21"/>
      <c r="C411" s="20"/>
      <c r="D411" s="20"/>
      <c r="E411" s="20"/>
      <c r="F411" s="33"/>
      <c r="G411" s="20"/>
      <c r="H411" s="20"/>
      <c r="I411" s="8" t="str">
        <f aca="false">IF(C411="","",IFERROR(INDEX(Disputes!$C$5:$C$1004,MATCH(C411,Disputes!$A$5:$A$1004,0)),IFERROR(INDEX(Batches!$B$5:$B$64,MATCH(C411,Batches!$A$5:$A$64,0)),"")))</f>
        <v/>
      </c>
      <c r="J411" s="17" t="str">
        <f aca="false">IF(B411="","",DATE(YEAR(B411),MONTH(B411),1))</f>
        <v/>
      </c>
    </row>
    <row r="412" customFormat="false" ht="15" hidden="false" customHeight="false" outlineLevel="0" collapsed="false">
      <c r="A412" s="20"/>
      <c r="B412" s="21"/>
      <c r="C412" s="20"/>
      <c r="D412" s="20"/>
      <c r="E412" s="20"/>
      <c r="F412" s="33"/>
      <c r="G412" s="20"/>
      <c r="H412" s="20"/>
      <c r="I412" s="8" t="str">
        <f aca="false">IF(C412="","",IFERROR(INDEX(Disputes!$C$5:$C$1004,MATCH(C412,Disputes!$A$5:$A$1004,0)),IFERROR(INDEX(Batches!$B$5:$B$64,MATCH(C412,Batches!$A$5:$A$64,0)),"")))</f>
        <v/>
      </c>
      <c r="J412" s="17" t="str">
        <f aca="false">IF(B412="","",DATE(YEAR(B412),MONTH(B412),1))</f>
        <v/>
      </c>
    </row>
    <row r="413" customFormat="false" ht="15" hidden="false" customHeight="false" outlineLevel="0" collapsed="false">
      <c r="A413" s="20"/>
      <c r="B413" s="21"/>
      <c r="C413" s="20"/>
      <c r="D413" s="20"/>
      <c r="E413" s="20"/>
      <c r="F413" s="33"/>
      <c r="G413" s="20"/>
      <c r="H413" s="20"/>
      <c r="I413" s="8" t="str">
        <f aca="false">IF(C413="","",IFERROR(INDEX(Disputes!$C$5:$C$1004,MATCH(C413,Disputes!$A$5:$A$1004,0)),IFERROR(INDEX(Batches!$B$5:$B$64,MATCH(C413,Batches!$A$5:$A$64,0)),"")))</f>
        <v/>
      </c>
      <c r="J413" s="17" t="str">
        <f aca="false">IF(B413="","",DATE(YEAR(B413),MONTH(B413),1))</f>
        <v/>
      </c>
    </row>
    <row r="414" customFormat="false" ht="15" hidden="false" customHeight="false" outlineLevel="0" collapsed="false">
      <c r="A414" s="20"/>
      <c r="B414" s="21"/>
      <c r="C414" s="20"/>
      <c r="D414" s="20"/>
      <c r="E414" s="20"/>
      <c r="F414" s="33"/>
      <c r="G414" s="20"/>
      <c r="H414" s="20"/>
      <c r="I414" s="8" t="str">
        <f aca="false">IF(C414="","",IFERROR(INDEX(Disputes!$C$5:$C$1004,MATCH(C414,Disputes!$A$5:$A$1004,0)),IFERROR(INDEX(Batches!$B$5:$B$64,MATCH(C414,Batches!$A$5:$A$64,0)),"")))</f>
        <v/>
      </c>
      <c r="J414" s="17" t="str">
        <f aca="false">IF(B414="","",DATE(YEAR(B414),MONTH(B414),1))</f>
        <v/>
      </c>
    </row>
    <row r="415" customFormat="false" ht="15" hidden="false" customHeight="false" outlineLevel="0" collapsed="false">
      <c r="A415" s="20"/>
      <c r="B415" s="21"/>
      <c r="C415" s="20"/>
      <c r="D415" s="20"/>
      <c r="E415" s="20"/>
      <c r="F415" s="33"/>
      <c r="G415" s="20"/>
      <c r="H415" s="20"/>
      <c r="I415" s="8" t="str">
        <f aca="false">IF(C415="","",IFERROR(INDEX(Disputes!$C$5:$C$1004,MATCH(C415,Disputes!$A$5:$A$1004,0)),IFERROR(INDEX(Batches!$B$5:$B$64,MATCH(C415,Batches!$A$5:$A$64,0)),"")))</f>
        <v/>
      </c>
      <c r="J415" s="17" t="str">
        <f aca="false">IF(B415="","",DATE(YEAR(B415),MONTH(B415),1))</f>
        <v/>
      </c>
    </row>
    <row r="416" customFormat="false" ht="15" hidden="false" customHeight="false" outlineLevel="0" collapsed="false">
      <c r="A416" s="20"/>
      <c r="B416" s="21"/>
      <c r="C416" s="20"/>
      <c r="D416" s="20"/>
      <c r="E416" s="20"/>
      <c r="F416" s="33"/>
      <c r="G416" s="20"/>
      <c r="H416" s="20"/>
      <c r="I416" s="8" t="str">
        <f aca="false">IF(C416="","",IFERROR(INDEX(Disputes!$C$5:$C$1004,MATCH(C416,Disputes!$A$5:$A$1004,0)),IFERROR(INDEX(Batches!$B$5:$B$64,MATCH(C416,Batches!$A$5:$A$64,0)),"")))</f>
        <v/>
      </c>
      <c r="J416" s="17" t="str">
        <f aca="false">IF(B416="","",DATE(YEAR(B416),MONTH(B416),1))</f>
        <v/>
      </c>
    </row>
    <row r="417" customFormat="false" ht="15" hidden="false" customHeight="false" outlineLevel="0" collapsed="false">
      <c r="A417" s="20"/>
      <c r="B417" s="21"/>
      <c r="C417" s="20"/>
      <c r="D417" s="20"/>
      <c r="E417" s="20"/>
      <c r="F417" s="33"/>
      <c r="G417" s="20"/>
      <c r="H417" s="20"/>
      <c r="I417" s="8" t="str">
        <f aca="false">IF(C417="","",IFERROR(INDEX(Disputes!$C$5:$C$1004,MATCH(C417,Disputes!$A$5:$A$1004,0)),IFERROR(INDEX(Batches!$B$5:$B$64,MATCH(C417,Batches!$A$5:$A$64,0)),"")))</f>
        <v/>
      </c>
      <c r="J417" s="17" t="str">
        <f aca="false">IF(B417="","",DATE(YEAR(B417),MONTH(B417),1))</f>
        <v/>
      </c>
    </row>
    <row r="418" customFormat="false" ht="15" hidden="false" customHeight="false" outlineLevel="0" collapsed="false">
      <c r="A418" s="20"/>
      <c r="B418" s="21"/>
      <c r="C418" s="20"/>
      <c r="D418" s="20"/>
      <c r="E418" s="20"/>
      <c r="F418" s="33"/>
      <c r="G418" s="20"/>
      <c r="H418" s="20"/>
      <c r="I418" s="8" t="str">
        <f aca="false">IF(C418="","",IFERROR(INDEX(Disputes!$C$5:$C$1004,MATCH(C418,Disputes!$A$5:$A$1004,0)),IFERROR(INDEX(Batches!$B$5:$B$64,MATCH(C418,Batches!$A$5:$A$64,0)),"")))</f>
        <v/>
      </c>
      <c r="J418" s="17" t="str">
        <f aca="false">IF(B418="","",DATE(YEAR(B418),MONTH(B418),1))</f>
        <v/>
      </c>
    </row>
    <row r="419" customFormat="false" ht="15" hidden="false" customHeight="false" outlineLevel="0" collapsed="false">
      <c r="A419" s="20"/>
      <c r="B419" s="21"/>
      <c r="C419" s="20"/>
      <c r="D419" s="20"/>
      <c r="E419" s="20"/>
      <c r="F419" s="33"/>
      <c r="G419" s="20"/>
      <c r="H419" s="20"/>
      <c r="I419" s="8" t="str">
        <f aca="false">IF(C419="","",IFERROR(INDEX(Disputes!$C$5:$C$1004,MATCH(C419,Disputes!$A$5:$A$1004,0)),IFERROR(INDEX(Batches!$B$5:$B$64,MATCH(C419,Batches!$A$5:$A$64,0)),"")))</f>
        <v/>
      </c>
      <c r="J419" s="17" t="str">
        <f aca="false">IF(B419="","",DATE(YEAR(B419),MONTH(B419),1))</f>
        <v/>
      </c>
    </row>
    <row r="420" customFormat="false" ht="15" hidden="false" customHeight="false" outlineLevel="0" collapsed="false">
      <c r="A420" s="20"/>
      <c r="B420" s="21"/>
      <c r="C420" s="20"/>
      <c r="D420" s="20"/>
      <c r="E420" s="20"/>
      <c r="F420" s="33"/>
      <c r="G420" s="20"/>
      <c r="H420" s="20"/>
      <c r="I420" s="8" t="str">
        <f aca="false">IF(C420="","",IFERROR(INDEX(Disputes!$C$5:$C$1004,MATCH(C420,Disputes!$A$5:$A$1004,0)),IFERROR(INDEX(Batches!$B$5:$B$64,MATCH(C420,Batches!$A$5:$A$64,0)),"")))</f>
        <v/>
      </c>
      <c r="J420" s="17" t="str">
        <f aca="false">IF(B420="","",DATE(YEAR(B420),MONTH(B420),1))</f>
        <v/>
      </c>
    </row>
    <row r="421" customFormat="false" ht="15" hidden="false" customHeight="false" outlineLevel="0" collapsed="false">
      <c r="A421" s="20"/>
      <c r="B421" s="21"/>
      <c r="C421" s="20"/>
      <c r="D421" s="20"/>
      <c r="E421" s="20"/>
      <c r="F421" s="33"/>
      <c r="G421" s="20"/>
      <c r="H421" s="20"/>
      <c r="I421" s="8" t="str">
        <f aca="false">IF(C421="","",IFERROR(INDEX(Disputes!$C$5:$C$1004,MATCH(C421,Disputes!$A$5:$A$1004,0)),IFERROR(INDEX(Batches!$B$5:$B$64,MATCH(C421,Batches!$A$5:$A$64,0)),"")))</f>
        <v/>
      </c>
      <c r="J421" s="17" t="str">
        <f aca="false">IF(B421="","",DATE(YEAR(B421),MONTH(B421),1))</f>
        <v/>
      </c>
    </row>
    <row r="422" customFormat="false" ht="15" hidden="false" customHeight="false" outlineLevel="0" collapsed="false">
      <c r="A422" s="20"/>
      <c r="B422" s="21"/>
      <c r="C422" s="20"/>
      <c r="D422" s="20"/>
      <c r="E422" s="20"/>
      <c r="F422" s="33"/>
      <c r="G422" s="20"/>
      <c r="H422" s="20"/>
      <c r="I422" s="8" t="str">
        <f aca="false">IF(C422="","",IFERROR(INDEX(Disputes!$C$5:$C$1004,MATCH(C422,Disputes!$A$5:$A$1004,0)),IFERROR(INDEX(Batches!$B$5:$B$64,MATCH(C422,Batches!$A$5:$A$64,0)),"")))</f>
        <v/>
      </c>
      <c r="J422" s="17" t="str">
        <f aca="false">IF(B422="","",DATE(YEAR(B422),MONTH(B422),1))</f>
        <v/>
      </c>
    </row>
    <row r="423" customFormat="false" ht="15" hidden="false" customHeight="false" outlineLevel="0" collapsed="false">
      <c r="A423" s="20"/>
      <c r="B423" s="21"/>
      <c r="C423" s="20"/>
      <c r="D423" s="20"/>
      <c r="E423" s="20"/>
      <c r="F423" s="33"/>
      <c r="G423" s="20"/>
      <c r="H423" s="20"/>
      <c r="I423" s="8" t="str">
        <f aca="false">IF(C423="","",IFERROR(INDEX(Disputes!$C$5:$C$1004,MATCH(C423,Disputes!$A$5:$A$1004,0)),IFERROR(INDEX(Batches!$B$5:$B$64,MATCH(C423,Batches!$A$5:$A$64,0)),"")))</f>
        <v/>
      </c>
      <c r="J423" s="17" t="str">
        <f aca="false">IF(B423="","",DATE(YEAR(B423),MONTH(B423),1))</f>
        <v/>
      </c>
    </row>
    <row r="424" customFormat="false" ht="15" hidden="false" customHeight="false" outlineLevel="0" collapsed="false">
      <c r="A424" s="20"/>
      <c r="B424" s="21"/>
      <c r="C424" s="20"/>
      <c r="D424" s="20"/>
      <c r="E424" s="20"/>
      <c r="F424" s="33"/>
      <c r="G424" s="20"/>
      <c r="H424" s="20"/>
      <c r="I424" s="8" t="str">
        <f aca="false">IF(C424="","",IFERROR(INDEX(Disputes!$C$5:$C$1004,MATCH(C424,Disputes!$A$5:$A$1004,0)),IFERROR(INDEX(Batches!$B$5:$B$64,MATCH(C424,Batches!$A$5:$A$64,0)),"")))</f>
        <v/>
      </c>
      <c r="J424" s="17" t="str">
        <f aca="false">IF(B424="","",DATE(YEAR(B424),MONTH(B424),1))</f>
        <v/>
      </c>
    </row>
    <row r="425" customFormat="false" ht="15" hidden="false" customHeight="false" outlineLevel="0" collapsed="false">
      <c r="A425" s="20"/>
      <c r="B425" s="21"/>
      <c r="C425" s="20"/>
      <c r="D425" s="20"/>
      <c r="E425" s="20"/>
      <c r="F425" s="33"/>
      <c r="G425" s="20"/>
      <c r="H425" s="20"/>
      <c r="I425" s="8" t="str">
        <f aca="false">IF(C425="","",IFERROR(INDEX(Disputes!$C$5:$C$1004,MATCH(C425,Disputes!$A$5:$A$1004,0)),IFERROR(INDEX(Batches!$B$5:$B$64,MATCH(C425,Batches!$A$5:$A$64,0)),"")))</f>
        <v/>
      </c>
      <c r="J425" s="17" t="str">
        <f aca="false">IF(B425="","",DATE(YEAR(B425),MONTH(B425),1))</f>
        <v/>
      </c>
    </row>
    <row r="426" customFormat="false" ht="15" hidden="false" customHeight="false" outlineLevel="0" collapsed="false">
      <c r="A426" s="20"/>
      <c r="B426" s="21"/>
      <c r="C426" s="20"/>
      <c r="D426" s="20"/>
      <c r="E426" s="20"/>
      <c r="F426" s="33"/>
      <c r="G426" s="20"/>
      <c r="H426" s="20"/>
      <c r="I426" s="8" t="str">
        <f aca="false">IF(C426="","",IFERROR(INDEX(Disputes!$C$5:$C$1004,MATCH(C426,Disputes!$A$5:$A$1004,0)),IFERROR(INDEX(Batches!$B$5:$B$64,MATCH(C426,Batches!$A$5:$A$64,0)),"")))</f>
        <v/>
      </c>
      <c r="J426" s="17" t="str">
        <f aca="false">IF(B426="","",DATE(YEAR(B426),MONTH(B426),1))</f>
        <v/>
      </c>
    </row>
    <row r="427" customFormat="false" ht="15" hidden="false" customHeight="false" outlineLevel="0" collapsed="false">
      <c r="A427" s="20"/>
      <c r="B427" s="21"/>
      <c r="C427" s="20"/>
      <c r="D427" s="20"/>
      <c r="E427" s="20"/>
      <c r="F427" s="33"/>
      <c r="G427" s="20"/>
      <c r="H427" s="20"/>
      <c r="I427" s="8" t="str">
        <f aca="false">IF(C427="","",IFERROR(INDEX(Disputes!$C$5:$C$1004,MATCH(C427,Disputes!$A$5:$A$1004,0)),IFERROR(INDEX(Batches!$B$5:$B$64,MATCH(C427,Batches!$A$5:$A$64,0)),"")))</f>
        <v/>
      </c>
      <c r="J427" s="17" t="str">
        <f aca="false">IF(B427="","",DATE(YEAR(B427),MONTH(B427),1))</f>
        <v/>
      </c>
    </row>
    <row r="428" customFormat="false" ht="15" hidden="false" customHeight="false" outlineLevel="0" collapsed="false">
      <c r="A428" s="20"/>
      <c r="B428" s="21"/>
      <c r="C428" s="20"/>
      <c r="D428" s="20"/>
      <c r="E428" s="20"/>
      <c r="F428" s="33"/>
      <c r="G428" s="20"/>
      <c r="H428" s="20"/>
      <c r="I428" s="8" t="str">
        <f aca="false">IF(C428="","",IFERROR(INDEX(Disputes!$C$5:$C$1004,MATCH(C428,Disputes!$A$5:$A$1004,0)),IFERROR(INDEX(Batches!$B$5:$B$64,MATCH(C428,Batches!$A$5:$A$64,0)),"")))</f>
        <v/>
      </c>
      <c r="J428" s="17" t="str">
        <f aca="false">IF(B428="","",DATE(YEAR(B428),MONTH(B428),1))</f>
        <v/>
      </c>
    </row>
    <row r="429" customFormat="false" ht="15" hidden="false" customHeight="false" outlineLevel="0" collapsed="false">
      <c r="A429" s="20"/>
      <c r="B429" s="21"/>
      <c r="C429" s="20"/>
      <c r="D429" s="20"/>
      <c r="E429" s="20"/>
      <c r="F429" s="33"/>
      <c r="G429" s="20"/>
      <c r="H429" s="20"/>
      <c r="I429" s="8" t="str">
        <f aca="false">IF(C429="","",IFERROR(INDEX(Disputes!$C$5:$C$1004,MATCH(C429,Disputes!$A$5:$A$1004,0)),IFERROR(INDEX(Batches!$B$5:$B$64,MATCH(C429,Batches!$A$5:$A$64,0)),"")))</f>
        <v/>
      </c>
      <c r="J429" s="17" t="str">
        <f aca="false">IF(B429="","",DATE(YEAR(B429),MONTH(B429),1))</f>
        <v/>
      </c>
    </row>
    <row r="430" customFormat="false" ht="15" hidden="false" customHeight="false" outlineLevel="0" collapsed="false">
      <c r="A430" s="20"/>
      <c r="B430" s="21"/>
      <c r="C430" s="20"/>
      <c r="D430" s="20"/>
      <c r="E430" s="20"/>
      <c r="F430" s="33"/>
      <c r="G430" s="20"/>
      <c r="H430" s="20"/>
      <c r="I430" s="8" t="str">
        <f aca="false">IF(C430="","",IFERROR(INDEX(Disputes!$C$5:$C$1004,MATCH(C430,Disputes!$A$5:$A$1004,0)),IFERROR(INDEX(Batches!$B$5:$B$64,MATCH(C430,Batches!$A$5:$A$64,0)),"")))</f>
        <v/>
      </c>
      <c r="J430" s="17" t="str">
        <f aca="false">IF(B430="","",DATE(YEAR(B430),MONTH(B430),1))</f>
        <v/>
      </c>
    </row>
    <row r="431" customFormat="false" ht="15" hidden="false" customHeight="false" outlineLevel="0" collapsed="false">
      <c r="A431" s="20"/>
      <c r="B431" s="21"/>
      <c r="C431" s="20"/>
      <c r="D431" s="20"/>
      <c r="E431" s="20"/>
      <c r="F431" s="33"/>
      <c r="G431" s="20"/>
      <c r="H431" s="20"/>
      <c r="I431" s="8" t="str">
        <f aca="false">IF(C431="","",IFERROR(INDEX(Disputes!$C$5:$C$1004,MATCH(C431,Disputes!$A$5:$A$1004,0)),IFERROR(INDEX(Batches!$B$5:$B$64,MATCH(C431,Batches!$A$5:$A$64,0)),"")))</f>
        <v/>
      </c>
      <c r="J431" s="17" t="str">
        <f aca="false">IF(B431="","",DATE(YEAR(B431),MONTH(B431),1))</f>
        <v/>
      </c>
    </row>
    <row r="432" customFormat="false" ht="15" hidden="false" customHeight="false" outlineLevel="0" collapsed="false">
      <c r="A432" s="20"/>
      <c r="B432" s="21"/>
      <c r="C432" s="20"/>
      <c r="D432" s="20"/>
      <c r="E432" s="20"/>
      <c r="F432" s="33"/>
      <c r="G432" s="20"/>
      <c r="H432" s="20"/>
      <c r="I432" s="8" t="str">
        <f aca="false">IF(C432="","",IFERROR(INDEX(Disputes!$C$5:$C$1004,MATCH(C432,Disputes!$A$5:$A$1004,0)),IFERROR(INDEX(Batches!$B$5:$B$64,MATCH(C432,Batches!$A$5:$A$64,0)),"")))</f>
        <v/>
      </c>
      <c r="J432" s="17" t="str">
        <f aca="false">IF(B432="","",DATE(YEAR(B432),MONTH(B432),1))</f>
        <v/>
      </c>
    </row>
    <row r="433" customFormat="false" ht="15" hidden="false" customHeight="false" outlineLevel="0" collapsed="false">
      <c r="A433" s="20"/>
      <c r="B433" s="21"/>
      <c r="C433" s="20"/>
      <c r="D433" s="20"/>
      <c r="E433" s="20"/>
      <c r="F433" s="33"/>
      <c r="G433" s="20"/>
      <c r="H433" s="20"/>
      <c r="I433" s="8" t="str">
        <f aca="false">IF(C433="","",IFERROR(INDEX(Disputes!$C$5:$C$1004,MATCH(C433,Disputes!$A$5:$A$1004,0)),IFERROR(INDEX(Batches!$B$5:$B$64,MATCH(C433,Batches!$A$5:$A$64,0)),"")))</f>
        <v/>
      </c>
      <c r="J433" s="17" t="str">
        <f aca="false">IF(B433="","",DATE(YEAR(B433),MONTH(B433),1))</f>
        <v/>
      </c>
    </row>
    <row r="434" customFormat="false" ht="15" hidden="false" customHeight="false" outlineLevel="0" collapsed="false">
      <c r="A434" s="20"/>
      <c r="B434" s="21"/>
      <c r="C434" s="20"/>
      <c r="D434" s="20"/>
      <c r="E434" s="20"/>
      <c r="F434" s="33"/>
      <c r="G434" s="20"/>
      <c r="H434" s="20"/>
      <c r="I434" s="8" t="str">
        <f aca="false">IF(C434="","",IFERROR(INDEX(Disputes!$C$5:$C$1004,MATCH(C434,Disputes!$A$5:$A$1004,0)),IFERROR(INDEX(Batches!$B$5:$B$64,MATCH(C434,Batches!$A$5:$A$64,0)),"")))</f>
        <v/>
      </c>
      <c r="J434" s="17" t="str">
        <f aca="false">IF(B434="","",DATE(YEAR(B434),MONTH(B434),1))</f>
        <v/>
      </c>
    </row>
    <row r="435" customFormat="false" ht="15" hidden="false" customHeight="false" outlineLevel="0" collapsed="false">
      <c r="A435" s="20"/>
      <c r="B435" s="21"/>
      <c r="C435" s="20"/>
      <c r="D435" s="20"/>
      <c r="E435" s="20"/>
      <c r="F435" s="33"/>
      <c r="G435" s="20"/>
      <c r="H435" s="20"/>
      <c r="I435" s="8" t="str">
        <f aca="false">IF(C435="","",IFERROR(INDEX(Disputes!$C$5:$C$1004,MATCH(C435,Disputes!$A$5:$A$1004,0)),IFERROR(INDEX(Batches!$B$5:$B$64,MATCH(C435,Batches!$A$5:$A$64,0)),"")))</f>
        <v/>
      </c>
      <c r="J435" s="17" t="str">
        <f aca="false">IF(B435="","",DATE(YEAR(B435),MONTH(B435),1))</f>
        <v/>
      </c>
    </row>
    <row r="436" customFormat="false" ht="15" hidden="false" customHeight="false" outlineLevel="0" collapsed="false">
      <c r="A436" s="20"/>
      <c r="B436" s="21"/>
      <c r="C436" s="20"/>
      <c r="D436" s="20"/>
      <c r="E436" s="20"/>
      <c r="F436" s="33"/>
      <c r="G436" s="20"/>
      <c r="H436" s="20"/>
      <c r="I436" s="8" t="str">
        <f aca="false">IF(C436="","",IFERROR(INDEX(Disputes!$C$5:$C$1004,MATCH(C436,Disputes!$A$5:$A$1004,0)),IFERROR(INDEX(Batches!$B$5:$B$64,MATCH(C436,Batches!$A$5:$A$64,0)),"")))</f>
        <v/>
      </c>
      <c r="J436" s="17" t="str">
        <f aca="false">IF(B436="","",DATE(YEAR(B436),MONTH(B436),1))</f>
        <v/>
      </c>
    </row>
    <row r="437" customFormat="false" ht="15" hidden="false" customHeight="false" outlineLevel="0" collapsed="false">
      <c r="A437" s="20"/>
      <c r="B437" s="21"/>
      <c r="C437" s="20"/>
      <c r="D437" s="20"/>
      <c r="E437" s="20"/>
      <c r="F437" s="33"/>
      <c r="G437" s="20"/>
      <c r="H437" s="20"/>
      <c r="I437" s="8" t="str">
        <f aca="false">IF(C437="","",IFERROR(INDEX(Disputes!$C$5:$C$1004,MATCH(C437,Disputes!$A$5:$A$1004,0)),IFERROR(INDEX(Batches!$B$5:$B$64,MATCH(C437,Batches!$A$5:$A$64,0)),"")))</f>
        <v/>
      </c>
      <c r="J437" s="17" t="str">
        <f aca="false">IF(B437="","",DATE(YEAR(B437),MONTH(B437),1))</f>
        <v/>
      </c>
    </row>
    <row r="438" customFormat="false" ht="15" hidden="false" customHeight="false" outlineLevel="0" collapsed="false">
      <c r="A438" s="20"/>
      <c r="B438" s="21"/>
      <c r="C438" s="20"/>
      <c r="D438" s="20"/>
      <c r="E438" s="20"/>
      <c r="F438" s="33"/>
      <c r="G438" s="20"/>
      <c r="H438" s="20"/>
      <c r="I438" s="8" t="str">
        <f aca="false">IF(C438="","",IFERROR(INDEX(Disputes!$C$5:$C$1004,MATCH(C438,Disputes!$A$5:$A$1004,0)),IFERROR(INDEX(Batches!$B$5:$B$64,MATCH(C438,Batches!$A$5:$A$64,0)),"")))</f>
        <v/>
      </c>
      <c r="J438" s="17" t="str">
        <f aca="false">IF(B438="","",DATE(YEAR(B438),MONTH(B438),1))</f>
        <v/>
      </c>
    </row>
    <row r="439" customFormat="false" ht="15" hidden="false" customHeight="false" outlineLevel="0" collapsed="false">
      <c r="A439" s="20"/>
      <c r="B439" s="21"/>
      <c r="C439" s="20"/>
      <c r="D439" s="20"/>
      <c r="E439" s="20"/>
      <c r="F439" s="33"/>
      <c r="G439" s="20"/>
      <c r="H439" s="20"/>
      <c r="I439" s="8" t="str">
        <f aca="false">IF(C439="","",IFERROR(INDEX(Disputes!$C$5:$C$1004,MATCH(C439,Disputes!$A$5:$A$1004,0)),IFERROR(INDEX(Batches!$B$5:$B$64,MATCH(C439,Batches!$A$5:$A$64,0)),"")))</f>
        <v/>
      </c>
      <c r="J439" s="17" t="str">
        <f aca="false">IF(B439="","",DATE(YEAR(B439),MONTH(B439),1))</f>
        <v/>
      </c>
    </row>
    <row r="440" customFormat="false" ht="15" hidden="false" customHeight="false" outlineLevel="0" collapsed="false">
      <c r="A440" s="20"/>
      <c r="B440" s="21"/>
      <c r="C440" s="20"/>
      <c r="D440" s="20"/>
      <c r="E440" s="20"/>
      <c r="F440" s="33"/>
      <c r="G440" s="20"/>
      <c r="H440" s="20"/>
      <c r="I440" s="8" t="str">
        <f aca="false">IF(C440="","",IFERROR(INDEX(Disputes!$C$5:$C$1004,MATCH(C440,Disputes!$A$5:$A$1004,0)),IFERROR(INDEX(Batches!$B$5:$B$64,MATCH(C440,Batches!$A$5:$A$64,0)),"")))</f>
        <v/>
      </c>
      <c r="J440" s="17" t="str">
        <f aca="false">IF(B440="","",DATE(YEAR(B440),MONTH(B440),1))</f>
        <v/>
      </c>
    </row>
    <row r="441" customFormat="false" ht="15" hidden="false" customHeight="false" outlineLevel="0" collapsed="false">
      <c r="A441" s="20"/>
      <c r="B441" s="21"/>
      <c r="C441" s="20"/>
      <c r="D441" s="20"/>
      <c r="E441" s="20"/>
      <c r="F441" s="33"/>
      <c r="G441" s="20"/>
      <c r="H441" s="20"/>
      <c r="I441" s="8" t="str">
        <f aca="false">IF(C441="","",IFERROR(INDEX(Disputes!$C$5:$C$1004,MATCH(C441,Disputes!$A$5:$A$1004,0)),IFERROR(INDEX(Batches!$B$5:$B$64,MATCH(C441,Batches!$A$5:$A$64,0)),"")))</f>
        <v/>
      </c>
      <c r="J441" s="17" t="str">
        <f aca="false">IF(B441="","",DATE(YEAR(B441),MONTH(B441),1))</f>
        <v/>
      </c>
    </row>
    <row r="442" customFormat="false" ht="15" hidden="false" customHeight="false" outlineLevel="0" collapsed="false">
      <c r="A442" s="20"/>
      <c r="B442" s="21"/>
      <c r="C442" s="20"/>
      <c r="D442" s="20"/>
      <c r="E442" s="20"/>
      <c r="F442" s="33"/>
      <c r="G442" s="20"/>
      <c r="H442" s="20"/>
      <c r="I442" s="8" t="str">
        <f aca="false">IF(C442="","",IFERROR(INDEX(Disputes!$C$5:$C$1004,MATCH(C442,Disputes!$A$5:$A$1004,0)),IFERROR(INDEX(Batches!$B$5:$B$64,MATCH(C442,Batches!$A$5:$A$64,0)),"")))</f>
        <v/>
      </c>
      <c r="J442" s="17" t="str">
        <f aca="false">IF(B442="","",DATE(YEAR(B442),MONTH(B442),1))</f>
        <v/>
      </c>
    </row>
    <row r="443" customFormat="false" ht="15" hidden="false" customHeight="false" outlineLevel="0" collapsed="false">
      <c r="A443" s="20"/>
      <c r="B443" s="21"/>
      <c r="C443" s="20"/>
      <c r="D443" s="20"/>
      <c r="E443" s="20"/>
      <c r="F443" s="33"/>
      <c r="G443" s="20"/>
      <c r="H443" s="20"/>
      <c r="I443" s="8" t="str">
        <f aca="false">IF(C443="","",IFERROR(INDEX(Disputes!$C$5:$C$1004,MATCH(C443,Disputes!$A$5:$A$1004,0)),IFERROR(INDEX(Batches!$B$5:$B$64,MATCH(C443,Batches!$A$5:$A$64,0)),"")))</f>
        <v/>
      </c>
      <c r="J443" s="17" t="str">
        <f aca="false">IF(B443="","",DATE(YEAR(B443),MONTH(B443),1))</f>
        <v/>
      </c>
    </row>
    <row r="444" customFormat="false" ht="15" hidden="false" customHeight="false" outlineLevel="0" collapsed="false">
      <c r="A444" s="20"/>
      <c r="B444" s="21"/>
      <c r="C444" s="20"/>
      <c r="D444" s="20"/>
      <c r="E444" s="20"/>
      <c r="F444" s="33"/>
      <c r="G444" s="20"/>
      <c r="H444" s="20"/>
      <c r="I444" s="8" t="str">
        <f aca="false">IF(C444="","",IFERROR(INDEX(Disputes!$C$5:$C$1004,MATCH(C444,Disputes!$A$5:$A$1004,0)),IFERROR(INDEX(Batches!$B$5:$B$64,MATCH(C444,Batches!$A$5:$A$64,0)),"")))</f>
        <v/>
      </c>
      <c r="J444" s="17" t="str">
        <f aca="false">IF(B444="","",DATE(YEAR(B444),MONTH(B444),1))</f>
        <v/>
      </c>
    </row>
    <row r="445" customFormat="false" ht="15" hidden="false" customHeight="false" outlineLevel="0" collapsed="false">
      <c r="A445" s="20"/>
      <c r="B445" s="21"/>
      <c r="C445" s="20"/>
      <c r="D445" s="20"/>
      <c r="E445" s="20"/>
      <c r="F445" s="33"/>
      <c r="G445" s="20"/>
      <c r="H445" s="20"/>
      <c r="I445" s="8" t="str">
        <f aca="false">IF(C445="","",IFERROR(INDEX(Disputes!$C$5:$C$1004,MATCH(C445,Disputes!$A$5:$A$1004,0)),IFERROR(INDEX(Batches!$B$5:$B$64,MATCH(C445,Batches!$A$5:$A$64,0)),"")))</f>
        <v/>
      </c>
      <c r="J445" s="17" t="str">
        <f aca="false">IF(B445="","",DATE(YEAR(B445),MONTH(B445),1))</f>
        <v/>
      </c>
    </row>
    <row r="446" customFormat="false" ht="15" hidden="false" customHeight="false" outlineLevel="0" collapsed="false">
      <c r="A446" s="20"/>
      <c r="B446" s="21"/>
      <c r="C446" s="20"/>
      <c r="D446" s="20"/>
      <c r="E446" s="20"/>
      <c r="F446" s="33"/>
      <c r="G446" s="20"/>
      <c r="H446" s="20"/>
      <c r="I446" s="8" t="str">
        <f aca="false">IF(C446="","",IFERROR(INDEX(Disputes!$C$5:$C$1004,MATCH(C446,Disputes!$A$5:$A$1004,0)),IFERROR(INDEX(Batches!$B$5:$B$64,MATCH(C446,Batches!$A$5:$A$64,0)),"")))</f>
        <v/>
      </c>
      <c r="J446" s="17" t="str">
        <f aca="false">IF(B446="","",DATE(YEAR(B446),MONTH(B446),1))</f>
        <v/>
      </c>
    </row>
    <row r="447" customFormat="false" ht="15" hidden="false" customHeight="false" outlineLevel="0" collapsed="false">
      <c r="A447" s="20"/>
      <c r="B447" s="21"/>
      <c r="C447" s="20"/>
      <c r="D447" s="20"/>
      <c r="E447" s="20"/>
      <c r="F447" s="33"/>
      <c r="G447" s="20"/>
      <c r="H447" s="20"/>
      <c r="I447" s="8" t="str">
        <f aca="false">IF(C447="","",IFERROR(INDEX(Disputes!$C$5:$C$1004,MATCH(C447,Disputes!$A$5:$A$1004,0)),IFERROR(INDEX(Batches!$B$5:$B$64,MATCH(C447,Batches!$A$5:$A$64,0)),"")))</f>
        <v/>
      </c>
      <c r="J447" s="17" t="str">
        <f aca="false">IF(B447="","",DATE(YEAR(B447),MONTH(B447),1))</f>
        <v/>
      </c>
    </row>
    <row r="448" customFormat="false" ht="15" hidden="false" customHeight="false" outlineLevel="0" collapsed="false">
      <c r="A448" s="20"/>
      <c r="B448" s="21"/>
      <c r="C448" s="20"/>
      <c r="D448" s="20"/>
      <c r="E448" s="20"/>
      <c r="F448" s="33"/>
      <c r="G448" s="20"/>
      <c r="H448" s="20"/>
      <c r="I448" s="8" t="str">
        <f aca="false">IF(C448="","",IFERROR(INDEX(Disputes!$C$5:$C$1004,MATCH(C448,Disputes!$A$5:$A$1004,0)),IFERROR(INDEX(Batches!$B$5:$B$64,MATCH(C448,Batches!$A$5:$A$64,0)),"")))</f>
        <v/>
      </c>
      <c r="J448" s="17" t="str">
        <f aca="false">IF(B448="","",DATE(YEAR(B448),MONTH(B448),1))</f>
        <v/>
      </c>
    </row>
    <row r="449" customFormat="false" ht="15" hidden="false" customHeight="false" outlineLevel="0" collapsed="false">
      <c r="A449" s="20"/>
      <c r="B449" s="21"/>
      <c r="C449" s="20"/>
      <c r="D449" s="20"/>
      <c r="E449" s="20"/>
      <c r="F449" s="33"/>
      <c r="G449" s="20"/>
      <c r="H449" s="20"/>
      <c r="I449" s="8" t="str">
        <f aca="false">IF(C449="","",IFERROR(INDEX(Disputes!$C$5:$C$1004,MATCH(C449,Disputes!$A$5:$A$1004,0)),IFERROR(INDEX(Batches!$B$5:$B$64,MATCH(C449,Batches!$A$5:$A$64,0)),"")))</f>
        <v/>
      </c>
      <c r="J449" s="17" t="str">
        <f aca="false">IF(B449="","",DATE(YEAR(B449),MONTH(B449),1))</f>
        <v/>
      </c>
    </row>
    <row r="450" customFormat="false" ht="15" hidden="false" customHeight="false" outlineLevel="0" collapsed="false">
      <c r="A450" s="20"/>
      <c r="B450" s="21"/>
      <c r="C450" s="20"/>
      <c r="D450" s="20"/>
      <c r="E450" s="20"/>
      <c r="F450" s="33"/>
      <c r="G450" s="20"/>
      <c r="H450" s="20"/>
      <c r="I450" s="8" t="str">
        <f aca="false">IF(C450="","",IFERROR(INDEX(Disputes!$C$5:$C$1004,MATCH(C450,Disputes!$A$5:$A$1004,0)),IFERROR(INDEX(Batches!$B$5:$B$64,MATCH(C450,Batches!$A$5:$A$64,0)),"")))</f>
        <v/>
      </c>
      <c r="J450" s="17" t="str">
        <f aca="false">IF(B450="","",DATE(YEAR(B450),MONTH(B450),1))</f>
        <v/>
      </c>
    </row>
    <row r="451" customFormat="false" ht="15" hidden="false" customHeight="false" outlineLevel="0" collapsed="false">
      <c r="A451" s="20"/>
      <c r="B451" s="21"/>
      <c r="C451" s="20"/>
      <c r="D451" s="20"/>
      <c r="E451" s="20"/>
      <c r="F451" s="33"/>
      <c r="G451" s="20"/>
      <c r="H451" s="20"/>
      <c r="I451" s="8" t="str">
        <f aca="false">IF(C451="","",IFERROR(INDEX(Disputes!$C$5:$C$1004,MATCH(C451,Disputes!$A$5:$A$1004,0)),IFERROR(INDEX(Batches!$B$5:$B$64,MATCH(C451,Batches!$A$5:$A$64,0)),"")))</f>
        <v/>
      </c>
      <c r="J451" s="17" t="str">
        <f aca="false">IF(B451="","",DATE(YEAR(B451),MONTH(B451),1))</f>
        <v/>
      </c>
    </row>
    <row r="452" customFormat="false" ht="15" hidden="false" customHeight="false" outlineLevel="0" collapsed="false">
      <c r="A452" s="20"/>
      <c r="B452" s="21"/>
      <c r="C452" s="20"/>
      <c r="D452" s="20"/>
      <c r="E452" s="20"/>
      <c r="F452" s="33"/>
      <c r="G452" s="20"/>
      <c r="H452" s="20"/>
      <c r="I452" s="8" t="str">
        <f aca="false">IF(C452="","",IFERROR(INDEX(Disputes!$C$5:$C$1004,MATCH(C452,Disputes!$A$5:$A$1004,0)),IFERROR(INDEX(Batches!$B$5:$B$64,MATCH(C452,Batches!$A$5:$A$64,0)),"")))</f>
        <v/>
      </c>
      <c r="J452" s="17" t="str">
        <f aca="false">IF(B452="","",DATE(YEAR(B452),MONTH(B452),1))</f>
        <v/>
      </c>
    </row>
    <row r="453" customFormat="false" ht="15" hidden="false" customHeight="false" outlineLevel="0" collapsed="false">
      <c r="A453" s="20"/>
      <c r="B453" s="21"/>
      <c r="C453" s="20"/>
      <c r="D453" s="20"/>
      <c r="E453" s="20"/>
      <c r="F453" s="33"/>
      <c r="G453" s="20"/>
      <c r="H453" s="20"/>
      <c r="I453" s="8" t="str">
        <f aca="false">IF(C453="","",IFERROR(INDEX(Disputes!$C$5:$C$1004,MATCH(C453,Disputes!$A$5:$A$1004,0)),IFERROR(INDEX(Batches!$B$5:$B$64,MATCH(C453,Batches!$A$5:$A$64,0)),"")))</f>
        <v/>
      </c>
      <c r="J453" s="17" t="str">
        <f aca="false">IF(B453="","",DATE(YEAR(B453),MONTH(B453),1))</f>
        <v/>
      </c>
    </row>
    <row r="454" customFormat="false" ht="15" hidden="false" customHeight="false" outlineLevel="0" collapsed="false">
      <c r="A454" s="20"/>
      <c r="B454" s="21"/>
      <c r="C454" s="20"/>
      <c r="D454" s="20"/>
      <c r="E454" s="20"/>
      <c r="F454" s="33"/>
      <c r="G454" s="20"/>
      <c r="H454" s="20"/>
      <c r="I454" s="8" t="str">
        <f aca="false">IF(C454="","",IFERROR(INDEX(Disputes!$C$5:$C$1004,MATCH(C454,Disputes!$A$5:$A$1004,0)),IFERROR(INDEX(Batches!$B$5:$B$64,MATCH(C454,Batches!$A$5:$A$64,0)),"")))</f>
        <v/>
      </c>
      <c r="J454" s="17" t="str">
        <f aca="false">IF(B454="","",DATE(YEAR(B454),MONTH(B454),1))</f>
        <v/>
      </c>
    </row>
    <row r="455" customFormat="false" ht="15" hidden="false" customHeight="false" outlineLevel="0" collapsed="false">
      <c r="A455" s="20"/>
      <c r="B455" s="21"/>
      <c r="C455" s="20"/>
      <c r="D455" s="20"/>
      <c r="E455" s="20"/>
      <c r="F455" s="33"/>
      <c r="G455" s="20"/>
      <c r="H455" s="20"/>
      <c r="I455" s="8" t="str">
        <f aca="false">IF(C455="","",IFERROR(INDEX(Disputes!$C$5:$C$1004,MATCH(C455,Disputes!$A$5:$A$1004,0)),IFERROR(INDEX(Batches!$B$5:$B$64,MATCH(C455,Batches!$A$5:$A$64,0)),"")))</f>
        <v/>
      </c>
      <c r="J455" s="17" t="str">
        <f aca="false">IF(B455="","",DATE(YEAR(B455),MONTH(B455),1))</f>
        <v/>
      </c>
    </row>
    <row r="456" customFormat="false" ht="15" hidden="false" customHeight="false" outlineLevel="0" collapsed="false">
      <c r="A456" s="20"/>
      <c r="B456" s="21"/>
      <c r="C456" s="20"/>
      <c r="D456" s="20"/>
      <c r="E456" s="20"/>
      <c r="F456" s="33"/>
      <c r="G456" s="20"/>
      <c r="H456" s="20"/>
      <c r="I456" s="8" t="str">
        <f aca="false">IF(C456="","",IFERROR(INDEX(Disputes!$C$5:$C$1004,MATCH(C456,Disputes!$A$5:$A$1004,0)),IFERROR(INDEX(Batches!$B$5:$B$64,MATCH(C456,Batches!$A$5:$A$64,0)),"")))</f>
        <v/>
      </c>
      <c r="J456" s="17" t="str">
        <f aca="false">IF(B456="","",DATE(YEAR(B456),MONTH(B456),1))</f>
        <v/>
      </c>
    </row>
    <row r="457" customFormat="false" ht="15" hidden="false" customHeight="false" outlineLevel="0" collapsed="false">
      <c r="A457" s="20"/>
      <c r="B457" s="21"/>
      <c r="C457" s="20"/>
      <c r="D457" s="20"/>
      <c r="E457" s="20"/>
      <c r="F457" s="33"/>
      <c r="G457" s="20"/>
      <c r="H457" s="20"/>
      <c r="I457" s="8" t="str">
        <f aca="false">IF(C457="","",IFERROR(INDEX(Disputes!$C$5:$C$1004,MATCH(C457,Disputes!$A$5:$A$1004,0)),IFERROR(INDEX(Batches!$B$5:$B$64,MATCH(C457,Batches!$A$5:$A$64,0)),"")))</f>
        <v/>
      </c>
      <c r="J457" s="17" t="str">
        <f aca="false">IF(B457="","",DATE(YEAR(B457),MONTH(B457),1))</f>
        <v/>
      </c>
    </row>
    <row r="458" customFormat="false" ht="15" hidden="false" customHeight="false" outlineLevel="0" collapsed="false">
      <c r="A458" s="20"/>
      <c r="B458" s="21"/>
      <c r="C458" s="20"/>
      <c r="D458" s="20"/>
      <c r="E458" s="20"/>
      <c r="F458" s="33"/>
      <c r="G458" s="20"/>
      <c r="H458" s="20"/>
      <c r="I458" s="8" t="str">
        <f aca="false">IF(C458="","",IFERROR(INDEX(Disputes!$C$5:$C$1004,MATCH(C458,Disputes!$A$5:$A$1004,0)),IFERROR(INDEX(Batches!$B$5:$B$64,MATCH(C458,Batches!$A$5:$A$64,0)),"")))</f>
        <v/>
      </c>
      <c r="J458" s="17" t="str">
        <f aca="false">IF(B458="","",DATE(YEAR(B458),MONTH(B458),1))</f>
        <v/>
      </c>
    </row>
    <row r="459" customFormat="false" ht="15" hidden="false" customHeight="false" outlineLevel="0" collapsed="false">
      <c r="A459" s="20"/>
      <c r="B459" s="21"/>
      <c r="C459" s="20"/>
      <c r="D459" s="20"/>
      <c r="E459" s="20"/>
      <c r="F459" s="33"/>
      <c r="G459" s="20"/>
      <c r="H459" s="20"/>
      <c r="I459" s="8" t="str">
        <f aca="false">IF(C459="","",IFERROR(INDEX(Disputes!$C$5:$C$1004,MATCH(C459,Disputes!$A$5:$A$1004,0)),IFERROR(INDEX(Batches!$B$5:$B$64,MATCH(C459,Batches!$A$5:$A$64,0)),"")))</f>
        <v/>
      </c>
      <c r="J459" s="17" t="str">
        <f aca="false">IF(B459="","",DATE(YEAR(B459),MONTH(B459),1))</f>
        <v/>
      </c>
    </row>
    <row r="460" customFormat="false" ht="15" hidden="false" customHeight="false" outlineLevel="0" collapsed="false">
      <c r="A460" s="20"/>
      <c r="B460" s="21"/>
      <c r="C460" s="20"/>
      <c r="D460" s="20"/>
      <c r="E460" s="20"/>
      <c r="F460" s="33"/>
      <c r="G460" s="20"/>
      <c r="H460" s="20"/>
      <c r="I460" s="8" t="str">
        <f aca="false">IF(C460="","",IFERROR(INDEX(Disputes!$C$5:$C$1004,MATCH(C460,Disputes!$A$5:$A$1004,0)),IFERROR(INDEX(Batches!$B$5:$B$64,MATCH(C460,Batches!$A$5:$A$64,0)),"")))</f>
        <v/>
      </c>
      <c r="J460" s="17" t="str">
        <f aca="false">IF(B460="","",DATE(YEAR(B460),MONTH(B460),1))</f>
        <v/>
      </c>
    </row>
    <row r="461" customFormat="false" ht="15" hidden="false" customHeight="false" outlineLevel="0" collapsed="false">
      <c r="A461" s="20"/>
      <c r="B461" s="21"/>
      <c r="C461" s="20"/>
      <c r="D461" s="20"/>
      <c r="E461" s="20"/>
      <c r="F461" s="33"/>
      <c r="G461" s="20"/>
      <c r="H461" s="20"/>
      <c r="I461" s="8" t="str">
        <f aca="false">IF(C461="","",IFERROR(INDEX(Disputes!$C$5:$C$1004,MATCH(C461,Disputes!$A$5:$A$1004,0)),IFERROR(INDEX(Batches!$B$5:$B$64,MATCH(C461,Batches!$A$5:$A$64,0)),"")))</f>
        <v/>
      </c>
      <c r="J461" s="17" t="str">
        <f aca="false">IF(B461="","",DATE(YEAR(B461),MONTH(B461),1))</f>
        <v/>
      </c>
    </row>
    <row r="462" customFormat="false" ht="15" hidden="false" customHeight="false" outlineLevel="0" collapsed="false">
      <c r="A462" s="20"/>
      <c r="B462" s="21"/>
      <c r="C462" s="20"/>
      <c r="D462" s="20"/>
      <c r="E462" s="20"/>
      <c r="F462" s="33"/>
      <c r="G462" s="20"/>
      <c r="H462" s="20"/>
      <c r="I462" s="8" t="str">
        <f aca="false">IF(C462="","",IFERROR(INDEX(Disputes!$C$5:$C$1004,MATCH(C462,Disputes!$A$5:$A$1004,0)),IFERROR(INDEX(Batches!$B$5:$B$64,MATCH(C462,Batches!$A$5:$A$64,0)),"")))</f>
        <v/>
      </c>
      <c r="J462" s="17" t="str">
        <f aca="false">IF(B462="","",DATE(YEAR(B462),MONTH(B462),1))</f>
        <v/>
      </c>
    </row>
    <row r="463" customFormat="false" ht="15" hidden="false" customHeight="false" outlineLevel="0" collapsed="false">
      <c r="A463" s="20"/>
      <c r="B463" s="21"/>
      <c r="C463" s="20"/>
      <c r="D463" s="20"/>
      <c r="E463" s="20"/>
      <c r="F463" s="33"/>
      <c r="G463" s="20"/>
      <c r="H463" s="20"/>
      <c r="I463" s="8" t="str">
        <f aca="false">IF(C463="","",IFERROR(INDEX(Disputes!$C$5:$C$1004,MATCH(C463,Disputes!$A$5:$A$1004,0)),IFERROR(INDEX(Batches!$B$5:$B$64,MATCH(C463,Batches!$A$5:$A$64,0)),"")))</f>
        <v/>
      </c>
      <c r="J463" s="17" t="str">
        <f aca="false">IF(B463="","",DATE(YEAR(B463),MONTH(B463),1))</f>
        <v/>
      </c>
    </row>
    <row r="464" customFormat="false" ht="15" hidden="false" customHeight="false" outlineLevel="0" collapsed="false">
      <c r="A464" s="20"/>
      <c r="B464" s="21"/>
      <c r="C464" s="20"/>
      <c r="D464" s="20"/>
      <c r="E464" s="20"/>
      <c r="F464" s="33"/>
      <c r="G464" s="20"/>
      <c r="H464" s="20"/>
      <c r="I464" s="8" t="str">
        <f aca="false">IF(C464="","",IFERROR(INDEX(Disputes!$C$5:$C$1004,MATCH(C464,Disputes!$A$5:$A$1004,0)),IFERROR(INDEX(Batches!$B$5:$B$64,MATCH(C464,Batches!$A$5:$A$64,0)),"")))</f>
        <v/>
      </c>
      <c r="J464" s="17" t="str">
        <f aca="false">IF(B464="","",DATE(YEAR(B464),MONTH(B464),1))</f>
        <v/>
      </c>
    </row>
    <row r="465" customFormat="false" ht="15" hidden="false" customHeight="false" outlineLevel="0" collapsed="false">
      <c r="A465" s="20"/>
      <c r="B465" s="21"/>
      <c r="C465" s="20"/>
      <c r="D465" s="20"/>
      <c r="E465" s="20"/>
      <c r="F465" s="33"/>
      <c r="G465" s="20"/>
      <c r="H465" s="20"/>
      <c r="I465" s="8" t="str">
        <f aca="false">IF(C465="","",IFERROR(INDEX(Disputes!$C$5:$C$1004,MATCH(C465,Disputes!$A$5:$A$1004,0)),IFERROR(INDEX(Batches!$B$5:$B$64,MATCH(C465,Batches!$A$5:$A$64,0)),"")))</f>
        <v/>
      </c>
      <c r="J465" s="17" t="str">
        <f aca="false">IF(B465="","",DATE(YEAR(B465),MONTH(B465),1))</f>
        <v/>
      </c>
    </row>
    <row r="466" customFormat="false" ht="15" hidden="false" customHeight="false" outlineLevel="0" collapsed="false">
      <c r="A466" s="20"/>
      <c r="B466" s="21"/>
      <c r="C466" s="20"/>
      <c r="D466" s="20"/>
      <c r="E466" s="20"/>
      <c r="F466" s="33"/>
      <c r="G466" s="20"/>
      <c r="H466" s="20"/>
      <c r="I466" s="8" t="str">
        <f aca="false">IF(C466="","",IFERROR(INDEX(Disputes!$C$5:$C$1004,MATCH(C466,Disputes!$A$5:$A$1004,0)),IFERROR(INDEX(Batches!$B$5:$B$64,MATCH(C466,Batches!$A$5:$A$64,0)),"")))</f>
        <v/>
      </c>
      <c r="J466" s="17" t="str">
        <f aca="false">IF(B466="","",DATE(YEAR(B466),MONTH(B466),1))</f>
        <v/>
      </c>
    </row>
    <row r="467" customFormat="false" ht="15" hidden="false" customHeight="false" outlineLevel="0" collapsed="false">
      <c r="A467" s="20"/>
      <c r="B467" s="21"/>
      <c r="C467" s="20"/>
      <c r="D467" s="20"/>
      <c r="E467" s="20"/>
      <c r="F467" s="33"/>
      <c r="G467" s="20"/>
      <c r="H467" s="20"/>
      <c r="I467" s="8" t="str">
        <f aca="false">IF(C467="","",IFERROR(INDEX(Disputes!$C$5:$C$1004,MATCH(C467,Disputes!$A$5:$A$1004,0)),IFERROR(INDEX(Batches!$B$5:$B$64,MATCH(C467,Batches!$A$5:$A$64,0)),"")))</f>
        <v/>
      </c>
      <c r="J467" s="17" t="str">
        <f aca="false">IF(B467="","",DATE(YEAR(B467),MONTH(B467),1))</f>
        <v/>
      </c>
    </row>
    <row r="468" customFormat="false" ht="15" hidden="false" customHeight="false" outlineLevel="0" collapsed="false">
      <c r="A468" s="20"/>
      <c r="B468" s="21"/>
      <c r="C468" s="20"/>
      <c r="D468" s="20"/>
      <c r="E468" s="20"/>
      <c r="F468" s="33"/>
      <c r="G468" s="20"/>
      <c r="H468" s="20"/>
      <c r="I468" s="8" t="str">
        <f aca="false">IF(C468="","",IFERROR(INDEX(Disputes!$C$5:$C$1004,MATCH(C468,Disputes!$A$5:$A$1004,0)),IFERROR(INDEX(Batches!$B$5:$B$64,MATCH(C468,Batches!$A$5:$A$64,0)),"")))</f>
        <v/>
      </c>
      <c r="J468" s="17" t="str">
        <f aca="false">IF(B468="","",DATE(YEAR(B468),MONTH(B468),1))</f>
        <v/>
      </c>
    </row>
    <row r="469" customFormat="false" ht="15" hidden="false" customHeight="false" outlineLevel="0" collapsed="false">
      <c r="A469" s="20"/>
      <c r="B469" s="21"/>
      <c r="C469" s="20"/>
      <c r="D469" s="20"/>
      <c r="E469" s="20"/>
      <c r="F469" s="33"/>
      <c r="G469" s="20"/>
      <c r="H469" s="20"/>
      <c r="I469" s="8" t="str">
        <f aca="false">IF(C469="","",IFERROR(INDEX(Disputes!$C$5:$C$1004,MATCH(C469,Disputes!$A$5:$A$1004,0)),IFERROR(INDEX(Batches!$B$5:$B$64,MATCH(C469,Batches!$A$5:$A$64,0)),"")))</f>
        <v/>
      </c>
      <c r="J469" s="17" t="str">
        <f aca="false">IF(B469="","",DATE(YEAR(B469),MONTH(B469),1))</f>
        <v/>
      </c>
    </row>
    <row r="470" customFormat="false" ht="15" hidden="false" customHeight="false" outlineLevel="0" collapsed="false">
      <c r="A470" s="20"/>
      <c r="B470" s="21"/>
      <c r="C470" s="20"/>
      <c r="D470" s="20"/>
      <c r="E470" s="20"/>
      <c r="F470" s="33"/>
      <c r="G470" s="20"/>
      <c r="H470" s="20"/>
      <c r="I470" s="8" t="str">
        <f aca="false">IF(C470="","",IFERROR(INDEX(Disputes!$C$5:$C$1004,MATCH(C470,Disputes!$A$5:$A$1004,0)),IFERROR(INDEX(Batches!$B$5:$B$64,MATCH(C470,Batches!$A$5:$A$64,0)),"")))</f>
        <v/>
      </c>
      <c r="J470" s="17" t="str">
        <f aca="false">IF(B470="","",DATE(YEAR(B470),MONTH(B470),1))</f>
        <v/>
      </c>
    </row>
    <row r="471" customFormat="false" ht="15" hidden="false" customHeight="false" outlineLevel="0" collapsed="false">
      <c r="A471" s="20"/>
      <c r="B471" s="21"/>
      <c r="C471" s="20"/>
      <c r="D471" s="20"/>
      <c r="E471" s="20"/>
      <c r="F471" s="33"/>
      <c r="G471" s="20"/>
      <c r="H471" s="20"/>
      <c r="I471" s="8" t="str">
        <f aca="false">IF(C471="","",IFERROR(INDEX(Disputes!$C$5:$C$1004,MATCH(C471,Disputes!$A$5:$A$1004,0)),IFERROR(INDEX(Batches!$B$5:$B$64,MATCH(C471,Batches!$A$5:$A$64,0)),"")))</f>
        <v/>
      </c>
      <c r="J471" s="17" t="str">
        <f aca="false">IF(B471="","",DATE(YEAR(B471),MONTH(B471),1))</f>
        <v/>
      </c>
    </row>
    <row r="472" customFormat="false" ht="15" hidden="false" customHeight="false" outlineLevel="0" collapsed="false">
      <c r="A472" s="20"/>
      <c r="B472" s="21"/>
      <c r="C472" s="20"/>
      <c r="D472" s="20"/>
      <c r="E472" s="20"/>
      <c r="F472" s="33"/>
      <c r="G472" s="20"/>
      <c r="H472" s="20"/>
      <c r="I472" s="8" t="str">
        <f aca="false">IF(C472="","",IFERROR(INDEX(Disputes!$C$5:$C$1004,MATCH(C472,Disputes!$A$5:$A$1004,0)),IFERROR(INDEX(Batches!$B$5:$B$64,MATCH(C472,Batches!$A$5:$A$64,0)),"")))</f>
        <v/>
      </c>
      <c r="J472" s="17" t="str">
        <f aca="false">IF(B472="","",DATE(YEAR(B472),MONTH(B472),1))</f>
        <v/>
      </c>
    </row>
    <row r="473" customFormat="false" ht="15" hidden="false" customHeight="false" outlineLevel="0" collapsed="false">
      <c r="A473" s="20"/>
      <c r="B473" s="21"/>
      <c r="C473" s="20"/>
      <c r="D473" s="20"/>
      <c r="E473" s="20"/>
      <c r="F473" s="33"/>
      <c r="G473" s="20"/>
      <c r="H473" s="20"/>
      <c r="I473" s="8" t="str">
        <f aca="false">IF(C473="","",IFERROR(INDEX(Disputes!$C$5:$C$1004,MATCH(C473,Disputes!$A$5:$A$1004,0)),IFERROR(INDEX(Batches!$B$5:$B$64,MATCH(C473,Batches!$A$5:$A$64,0)),"")))</f>
        <v/>
      </c>
      <c r="J473" s="17" t="str">
        <f aca="false">IF(B473="","",DATE(YEAR(B473),MONTH(B473),1))</f>
        <v/>
      </c>
    </row>
    <row r="474" customFormat="false" ht="15" hidden="false" customHeight="false" outlineLevel="0" collapsed="false">
      <c r="A474" s="20"/>
      <c r="B474" s="21"/>
      <c r="C474" s="20"/>
      <c r="D474" s="20"/>
      <c r="E474" s="20"/>
      <c r="F474" s="33"/>
      <c r="G474" s="20"/>
      <c r="H474" s="20"/>
      <c r="I474" s="8" t="str">
        <f aca="false">IF(C474="","",IFERROR(INDEX(Disputes!$C$5:$C$1004,MATCH(C474,Disputes!$A$5:$A$1004,0)),IFERROR(INDEX(Batches!$B$5:$B$64,MATCH(C474,Batches!$A$5:$A$64,0)),"")))</f>
        <v/>
      </c>
      <c r="J474" s="17" t="str">
        <f aca="false">IF(B474="","",DATE(YEAR(B474),MONTH(B474),1))</f>
        <v/>
      </c>
    </row>
    <row r="475" customFormat="false" ht="15" hidden="false" customHeight="false" outlineLevel="0" collapsed="false">
      <c r="A475" s="20"/>
      <c r="B475" s="21"/>
      <c r="C475" s="20"/>
      <c r="D475" s="20"/>
      <c r="E475" s="20"/>
      <c r="F475" s="33"/>
      <c r="G475" s="20"/>
      <c r="H475" s="20"/>
      <c r="I475" s="8" t="str">
        <f aca="false">IF(C475="","",IFERROR(INDEX(Disputes!$C$5:$C$1004,MATCH(C475,Disputes!$A$5:$A$1004,0)),IFERROR(INDEX(Batches!$B$5:$B$64,MATCH(C475,Batches!$A$5:$A$64,0)),"")))</f>
        <v/>
      </c>
      <c r="J475" s="17" t="str">
        <f aca="false">IF(B475="","",DATE(YEAR(B475),MONTH(B475),1))</f>
        <v/>
      </c>
    </row>
    <row r="476" customFormat="false" ht="15" hidden="false" customHeight="false" outlineLevel="0" collapsed="false">
      <c r="A476" s="20"/>
      <c r="B476" s="21"/>
      <c r="C476" s="20"/>
      <c r="D476" s="20"/>
      <c r="E476" s="20"/>
      <c r="F476" s="33"/>
      <c r="G476" s="20"/>
      <c r="H476" s="20"/>
      <c r="I476" s="8" t="str">
        <f aca="false">IF(C476="","",IFERROR(INDEX(Disputes!$C$5:$C$1004,MATCH(C476,Disputes!$A$5:$A$1004,0)),IFERROR(INDEX(Batches!$B$5:$B$64,MATCH(C476,Batches!$A$5:$A$64,0)),"")))</f>
        <v/>
      </c>
      <c r="J476" s="17" t="str">
        <f aca="false">IF(B476="","",DATE(YEAR(B476),MONTH(B476),1))</f>
        <v/>
      </c>
    </row>
    <row r="477" customFormat="false" ht="15" hidden="false" customHeight="false" outlineLevel="0" collapsed="false">
      <c r="A477" s="20"/>
      <c r="B477" s="21"/>
      <c r="C477" s="20"/>
      <c r="D477" s="20"/>
      <c r="E477" s="20"/>
      <c r="F477" s="33"/>
      <c r="G477" s="20"/>
      <c r="H477" s="20"/>
      <c r="I477" s="8" t="str">
        <f aca="false">IF(C477="","",IFERROR(INDEX(Disputes!$C$5:$C$1004,MATCH(C477,Disputes!$A$5:$A$1004,0)),IFERROR(INDEX(Batches!$B$5:$B$64,MATCH(C477,Batches!$A$5:$A$64,0)),"")))</f>
        <v/>
      </c>
      <c r="J477" s="17" t="str">
        <f aca="false">IF(B477="","",DATE(YEAR(B477),MONTH(B477),1))</f>
        <v/>
      </c>
    </row>
    <row r="478" customFormat="false" ht="15" hidden="false" customHeight="false" outlineLevel="0" collapsed="false">
      <c r="A478" s="20"/>
      <c r="B478" s="21"/>
      <c r="C478" s="20"/>
      <c r="D478" s="20"/>
      <c r="E478" s="20"/>
      <c r="F478" s="33"/>
      <c r="G478" s="20"/>
      <c r="H478" s="20"/>
      <c r="I478" s="8" t="str">
        <f aca="false">IF(C478="","",IFERROR(INDEX(Disputes!$C$5:$C$1004,MATCH(C478,Disputes!$A$5:$A$1004,0)),IFERROR(INDEX(Batches!$B$5:$B$64,MATCH(C478,Batches!$A$5:$A$64,0)),"")))</f>
        <v/>
      </c>
      <c r="J478" s="17" t="str">
        <f aca="false">IF(B478="","",DATE(YEAR(B478),MONTH(B478),1))</f>
        <v/>
      </c>
    </row>
    <row r="479" customFormat="false" ht="15" hidden="false" customHeight="false" outlineLevel="0" collapsed="false">
      <c r="A479" s="20"/>
      <c r="B479" s="21"/>
      <c r="C479" s="20"/>
      <c r="D479" s="20"/>
      <c r="E479" s="20"/>
      <c r="F479" s="33"/>
      <c r="G479" s="20"/>
      <c r="H479" s="20"/>
      <c r="I479" s="8" t="str">
        <f aca="false">IF(C479="","",IFERROR(INDEX(Disputes!$C$5:$C$1004,MATCH(C479,Disputes!$A$5:$A$1004,0)),IFERROR(INDEX(Batches!$B$5:$B$64,MATCH(C479,Batches!$A$5:$A$64,0)),"")))</f>
        <v/>
      </c>
      <c r="J479" s="17" t="str">
        <f aca="false">IF(B479="","",DATE(YEAR(B479),MONTH(B479),1))</f>
        <v/>
      </c>
    </row>
    <row r="480" customFormat="false" ht="15" hidden="false" customHeight="false" outlineLevel="0" collapsed="false">
      <c r="A480" s="20"/>
      <c r="B480" s="21"/>
      <c r="C480" s="20"/>
      <c r="D480" s="20"/>
      <c r="E480" s="20"/>
      <c r="F480" s="33"/>
      <c r="G480" s="20"/>
      <c r="H480" s="20"/>
      <c r="I480" s="8" t="str">
        <f aca="false">IF(C480="","",IFERROR(INDEX(Disputes!$C$5:$C$1004,MATCH(C480,Disputes!$A$5:$A$1004,0)),IFERROR(INDEX(Batches!$B$5:$B$64,MATCH(C480,Batches!$A$5:$A$64,0)),"")))</f>
        <v/>
      </c>
      <c r="J480" s="17" t="str">
        <f aca="false">IF(B480="","",DATE(YEAR(B480),MONTH(B480),1))</f>
        <v/>
      </c>
    </row>
    <row r="481" customFormat="false" ht="15" hidden="false" customHeight="false" outlineLevel="0" collapsed="false">
      <c r="A481" s="20"/>
      <c r="B481" s="21"/>
      <c r="C481" s="20"/>
      <c r="D481" s="20"/>
      <c r="E481" s="20"/>
      <c r="F481" s="33"/>
      <c r="G481" s="20"/>
      <c r="H481" s="20"/>
      <c r="I481" s="8" t="str">
        <f aca="false">IF(C481="","",IFERROR(INDEX(Disputes!$C$5:$C$1004,MATCH(C481,Disputes!$A$5:$A$1004,0)),IFERROR(INDEX(Batches!$B$5:$B$64,MATCH(C481,Batches!$A$5:$A$64,0)),"")))</f>
        <v/>
      </c>
      <c r="J481" s="17" t="str">
        <f aca="false">IF(B481="","",DATE(YEAR(B481),MONTH(B481),1))</f>
        <v/>
      </c>
    </row>
    <row r="482" customFormat="false" ht="15" hidden="false" customHeight="false" outlineLevel="0" collapsed="false">
      <c r="A482" s="20"/>
      <c r="B482" s="21"/>
      <c r="C482" s="20"/>
      <c r="D482" s="20"/>
      <c r="E482" s="20"/>
      <c r="F482" s="33"/>
      <c r="G482" s="20"/>
      <c r="H482" s="20"/>
      <c r="I482" s="8" t="str">
        <f aca="false">IF(C482="","",IFERROR(INDEX(Disputes!$C$5:$C$1004,MATCH(C482,Disputes!$A$5:$A$1004,0)),IFERROR(INDEX(Batches!$B$5:$B$64,MATCH(C482,Batches!$A$5:$A$64,0)),"")))</f>
        <v/>
      </c>
      <c r="J482" s="17" t="str">
        <f aca="false">IF(B482="","",DATE(YEAR(B482),MONTH(B482),1))</f>
        <v/>
      </c>
    </row>
    <row r="483" customFormat="false" ht="15" hidden="false" customHeight="false" outlineLevel="0" collapsed="false">
      <c r="A483" s="20"/>
      <c r="B483" s="21"/>
      <c r="C483" s="20"/>
      <c r="D483" s="20"/>
      <c r="E483" s="20"/>
      <c r="F483" s="33"/>
      <c r="G483" s="20"/>
      <c r="H483" s="20"/>
      <c r="I483" s="8" t="str">
        <f aca="false">IF(C483="","",IFERROR(INDEX(Disputes!$C$5:$C$1004,MATCH(C483,Disputes!$A$5:$A$1004,0)),IFERROR(INDEX(Batches!$B$5:$B$64,MATCH(C483,Batches!$A$5:$A$64,0)),"")))</f>
        <v/>
      </c>
      <c r="J483" s="17" t="str">
        <f aca="false">IF(B483="","",DATE(YEAR(B483),MONTH(B483),1))</f>
        <v/>
      </c>
    </row>
    <row r="484" customFormat="false" ht="15" hidden="false" customHeight="false" outlineLevel="0" collapsed="false">
      <c r="A484" s="20"/>
      <c r="B484" s="21"/>
      <c r="C484" s="20"/>
      <c r="D484" s="20"/>
      <c r="E484" s="20"/>
      <c r="F484" s="33"/>
      <c r="G484" s="20"/>
      <c r="H484" s="20"/>
      <c r="I484" s="8" t="str">
        <f aca="false">IF(C484="","",IFERROR(INDEX(Disputes!$C$5:$C$1004,MATCH(C484,Disputes!$A$5:$A$1004,0)),IFERROR(INDEX(Batches!$B$5:$B$64,MATCH(C484,Batches!$A$5:$A$64,0)),"")))</f>
        <v/>
      </c>
      <c r="J484" s="17" t="str">
        <f aca="false">IF(B484="","",DATE(YEAR(B484),MONTH(B484),1))</f>
        <v/>
      </c>
    </row>
    <row r="485" customFormat="false" ht="15" hidden="false" customHeight="false" outlineLevel="0" collapsed="false">
      <c r="A485" s="20"/>
      <c r="B485" s="21"/>
      <c r="C485" s="20"/>
      <c r="D485" s="20"/>
      <c r="E485" s="20"/>
      <c r="F485" s="33"/>
      <c r="G485" s="20"/>
      <c r="H485" s="20"/>
      <c r="I485" s="8" t="str">
        <f aca="false">IF(C485="","",IFERROR(INDEX(Disputes!$C$5:$C$1004,MATCH(C485,Disputes!$A$5:$A$1004,0)),IFERROR(INDEX(Batches!$B$5:$B$64,MATCH(C485,Batches!$A$5:$A$64,0)),"")))</f>
        <v/>
      </c>
      <c r="J485" s="17" t="str">
        <f aca="false">IF(B485="","",DATE(YEAR(B485),MONTH(B485),1))</f>
        <v/>
      </c>
    </row>
    <row r="486" customFormat="false" ht="15" hidden="false" customHeight="false" outlineLevel="0" collapsed="false">
      <c r="A486" s="20"/>
      <c r="B486" s="21"/>
      <c r="C486" s="20"/>
      <c r="D486" s="20"/>
      <c r="E486" s="20"/>
      <c r="F486" s="33"/>
      <c r="G486" s="20"/>
      <c r="H486" s="20"/>
      <c r="I486" s="8" t="str">
        <f aca="false">IF(C486="","",IFERROR(INDEX(Disputes!$C$5:$C$1004,MATCH(C486,Disputes!$A$5:$A$1004,0)),IFERROR(INDEX(Batches!$B$5:$B$64,MATCH(C486,Batches!$A$5:$A$64,0)),"")))</f>
        <v/>
      </c>
      <c r="J486" s="17" t="str">
        <f aca="false">IF(B486="","",DATE(YEAR(B486),MONTH(B486),1))</f>
        <v/>
      </c>
    </row>
    <row r="487" customFormat="false" ht="15" hidden="false" customHeight="false" outlineLevel="0" collapsed="false">
      <c r="A487" s="20"/>
      <c r="B487" s="21"/>
      <c r="C487" s="20"/>
      <c r="D487" s="20"/>
      <c r="E487" s="20"/>
      <c r="F487" s="33"/>
      <c r="G487" s="20"/>
      <c r="H487" s="20"/>
      <c r="I487" s="8" t="str">
        <f aca="false">IF(C487="","",IFERROR(INDEX(Disputes!$C$5:$C$1004,MATCH(C487,Disputes!$A$5:$A$1004,0)),IFERROR(INDEX(Batches!$B$5:$B$64,MATCH(C487,Batches!$A$5:$A$64,0)),"")))</f>
        <v/>
      </c>
      <c r="J487" s="17" t="str">
        <f aca="false">IF(B487="","",DATE(YEAR(B487),MONTH(B487),1))</f>
        <v/>
      </c>
    </row>
    <row r="488" customFormat="false" ht="15" hidden="false" customHeight="false" outlineLevel="0" collapsed="false">
      <c r="A488" s="20"/>
      <c r="B488" s="21"/>
      <c r="C488" s="20"/>
      <c r="D488" s="20"/>
      <c r="E488" s="20"/>
      <c r="F488" s="33"/>
      <c r="G488" s="20"/>
      <c r="H488" s="20"/>
      <c r="I488" s="8" t="str">
        <f aca="false">IF(C488="","",IFERROR(INDEX(Disputes!$C$5:$C$1004,MATCH(C488,Disputes!$A$5:$A$1004,0)),IFERROR(INDEX(Batches!$B$5:$B$64,MATCH(C488,Batches!$A$5:$A$64,0)),"")))</f>
        <v/>
      </c>
      <c r="J488" s="17" t="str">
        <f aca="false">IF(B488="","",DATE(YEAR(B488),MONTH(B488),1))</f>
        <v/>
      </c>
    </row>
    <row r="489" customFormat="false" ht="15" hidden="false" customHeight="false" outlineLevel="0" collapsed="false">
      <c r="A489" s="20"/>
      <c r="B489" s="21"/>
      <c r="C489" s="20"/>
      <c r="D489" s="20"/>
      <c r="E489" s="20"/>
      <c r="F489" s="33"/>
      <c r="G489" s="20"/>
      <c r="H489" s="20"/>
      <c r="I489" s="8" t="str">
        <f aca="false">IF(C489="","",IFERROR(INDEX(Disputes!$C$5:$C$1004,MATCH(C489,Disputes!$A$5:$A$1004,0)),IFERROR(INDEX(Batches!$B$5:$B$64,MATCH(C489,Batches!$A$5:$A$64,0)),"")))</f>
        <v/>
      </c>
      <c r="J489" s="17" t="str">
        <f aca="false">IF(B489="","",DATE(YEAR(B489),MONTH(B489),1))</f>
        <v/>
      </c>
    </row>
    <row r="490" customFormat="false" ht="15" hidden="false" customHeight="false" outlineLevel="0" collapsed="false">
      <c r="A490" s="20"/>
      <c r="B490" s="21"/>
      <c r="C490" s="20"/>
      <c r="D490" s="20"/>
      <c r="E490" s="20"/>
      <c r="F490" s="33"/>
      <c r="G490" s="20"/>
      <c r="H490" s="20"/>
      <c r="I490" s="8" t="str">
        <f aca="false">IF(C490="","",IFERROR(INDEX(Disputes!$C$5:$C$1004,MATCH(C490,Disputes!$A$5:$A$1004,0)),IFERROR(INDEX(Batches!$B$5:$B$64,MATCH(C490,Batches!$A$5:$A$64,0)),"")))</f>
        <v/>
      </c>
      <c r="J490" s="17" t="str">
        <f aca="false">IF(B490="","",DATE(YEAR(B490),MONTH(B490),1))</f>
        <v/>
      </c>
    </row>
    <row r="491" customFormat="false" ht="15" hidden="false" customHeight="false" outlineLevel="0" collapsed="false">
      <c r="A491" s="20"/>
      <c r="B491" s="21"/>
      <c r="C491" s="20"/>
      <c r="D491" s="20"/>
      <c r="E491" s="20"/>
      <c r="F491" s="33"/>
      <c r="G491" s="20"/>
      <c r="H491" s="20"/>
      <c r="I491" s="8" t="str">
        <f aca="false">IF(C491="","",IFERROR(INDEX(Disputes!$C$5:$C$1004,MATCH(C491,Disputes!$A$5:$A$1004,0)),IFERROR(INDEX(Batches!$B$5:$B$64,MATCH(C491,Batches!$A$5:$A$64,0)),"")))</f>
        <v/>
      </c>
      <c r="J491" s="17" t="str">
        <f aca="false">IF(B491="","",DATE(YEAR(B491),MONTH(B491),1))</f>
        <v/>
      </c>
    </row>
    <row r="492" customFormat="false" ht="15" hidden="false" customHeight="false" outlineLevel="0" collapsed="false">
      <c r="A492" s="20"/>
      <c r="B492" s="21"/>
      <c r="C492" s="20"/>
      <c r="D492" s="20"/>
      <c r="E492" s="20"/>
      <c r="F492" s="33"/>
      <c r="G492" s="20"/>
      <c r="H492" s="20"/>
      <c r="I492" s="8" t="str">
        <f aca="false">IF(C492="","",IFERROR(INDEX(Disputes!$C$5:$C$1004,MATCH(C492,Disputes!$A$5:$A$1004,0)),IFERROR(INDEX(Batches!$B$5:$B$64,MATCH(C492,Batches!$A$5:$A$64,0)),"")))</f>
        <v/>
      </c>
      <c r="J492" s="17" t="str">
        <f aca="false">IF(B492="","",DATE(YEAR(B492),MONTH(B492),1))</f>
        <v/>
      </c>
    </row>
    <row r="493" customFormat="false" ht="15" hidden="false" customHeight="false" outlineLevel="0" collapsed="false">
      <c r="A493" s="20"/>
      <c r="B493" s="21"/>
      <c r="C493" s="20"/>
      <c r="D493" s="20"/>
      <c r="E493" s="20"/>
      <c r="F493" s="33"/>
      <c r="G493" s="20"/>
      <c r="H493" s="20"/>
      <c r="I493" s="8" t="str">
        <f aca="false">IF(C493="","",IFERROR(INDEX(Disputes!$C$5:$C$1004,MATCH(C493,Disputes!$A$5:$A$1004,0)),IFERROR(INDEX(Batches!$B$5:$B$64,MATCH(C493,Batches!$A$5:$A$64,0)),"")))</f>
        <v/>
      </c>
      <c r="J493" s="17" t="str">
        <f aca="false">IF(B493="","",DATE(YEAR(B493),MONTH(B493),1))</f>
        <v/>
      </c>
    </row>
    <row r="494" customFormat="false" ht="15" hidden="false" customHeight="false" outlineLevel="0" collapsed="false">
      <c r="A494" s="20"/>
      <c r="B494" s="21"/>
      <c r="C494" s="20"/>
      <c r="D494" s="20"/>
      <c r="E494" s="20"/>
      <c r="F494" s="33"/>
      <c r="G494" s="20"/>
      <c r="H494" s="20"/>
      <c r="I494" s="8" t="str">
        <f aca="false">IF(C494="","",IFERROR(INDEX(Disputes!$C$5:$C$1004,MATCH(C494,Disputes!$A$5:$A$1004,0)),IFERROR(INDEX(Batches!$B$5:$B$64,MATCH(C494,Batches!$A$5:$A$64,0)),"")))</f>
        <v/>
      </c>
      <c r="J494" s="17" t="str">
        <f aca="false">IF(B494="","",DATE(YEAR(B494),MONTH(B494),1))</f>
        <v/>
      </c>
    </row>
    <row r="495" customFormat="false" ht="15" hidden="false" customHeight="false" outlineLevel="0" collapsed="false">
      <c r="A495" s="20"/>
      <c r="B495" s="21"/>
      <c r="C495" s="20"/>
      <c r="D495" s="20"/>
      <c r="E495" s="20"/>
      <c r="F495" s="33"/>
      <c r="G495" s="20"/>
      <c r="H495" s="20"/>
      <c r="I495" s="8" t="str">
        <f aca="false">IF(C495="","",IFERROR(INDEX(Disputes!$C$5:$C$1004,MATCH(C495,Disputes!$A$5:$A$1004,0)),IFERROR(INDEX(Batches!$B$5:$B$64,MATCH(C495,Batches!$A$5:$A$64,0)),"")))</f>
        <v/>
      </c>
      <c r="J495" s="17" t="str">
        <f aca="false">IF(B495="","",DATE(YEAR(B495),MONTH(B495),1))</f>
        <v/>
      </c>
    </row>
    <row r="496" customFormat="false" ht="15" hidden="false" customHeight="false" outlineLevel="0" collapsed="false">
      <c r="A496" s="20"/>
      <c r="B496" s="21"/>
      <c r="C496" s="20"/>
      <c r="D496" s="20"/>
      <c r="E496" s="20"/>
      <c r="F496" s="33"/>
      <c r="G496" s="20"/>
      <c r="H496" s="20"/>
      <c r="I496" s="8" t="str">
        <f aca="false">IF(C496="","",IFERROR(INDEX(Disputes!$C$5:$C$1004,MATCH(C496,Disputes!$A$5:$A$1004,0)),IFERROR(INDEX(Batches!$B$5:$B$64,MATCH(C496,Batches!$A$5:$A$64,0)),"")))</f>
        <v/>
      </c>
      <c r="J496" s="17" t="str">
        <f aca="false">IF(B496="","",DATE(YEAR(B496),MONTH(B496),1))</f>
        <v/>
      </c>
    </row>
    <row r="497" customFormat="false" ht="15" hidden="false" customHeight="false" outlineLevel="0" collapsed="false">
      <c r="A497" s="20"/>
      <c r="B497" s="21"/>
      <c r="C497" s="20"/>
      <c r="D497" s="20"/>
      <c r="E497" s="20"/>
      <c r="F497" s="33"/>
      <c r="G497" s="20"/>
      <c r="H497" s="20"/>
      <c r="I497" s="8" t="str">
        <f aca="false">IF(C497="","",IFERROR(INDEX(Disputes!$C$5:$C$1004,MATCH(C497,Disputes!$A$5:$A$1004,0)),IFERROR(INDEX(Batches!$B$5:$B$64,MATCH(C497,Batches!$A$5:$A$64,0)),"")))</f>
        <v/>
      </c>
      <c r="J497" s="17" t="str">
        <f aca="false">IF(B497="","",DATE(YEAR(B497),MONTH(B497),1))</f>
        <v/>
      </c>
    </row>
    <row r="498" customFormat="false" ht="15" hidden="false" customHeight="false" outlineLevel="0" collapsed="false">
      <c r="A498" s="20"/>
      <c r="B498" s="21"/>
      <c r="C498" s="20"/>
      <c r="D498" s="20"/>
      <c r="E498" s="20"/>
      <c r="F498" s="33"/>
      <c r="G498" s="20"/>
      <c r="H498" s="20"/>
      <c r="I498" s="8" t="str">
        <f aca="false">IF(C498="","",IFERROR(INDEX(Disputes!$C$5:$C$1004,MATCH(C498,Disputes!$A$5:$A$1004,0)),IFERROR(INDEX(Batches!$B$5:$B$64,MATCH(C498,Batches!$A$5:$A$64,0)),"")))</f>
        <v/>
      </c>
      <c r="J498" s="17" t="str">
        <f aca="false">IF(B498="","",DATE(YEAR(B498),MONTH(B498),1))</f>
        <v/>
      </c>
    </row>
    <row r="499" customFormat="false" ht="15" hidden="false" customHeight="false" outlineLevel="0" collapsed="false">
      <c r="A499" s="20"/>
      <c r="B499" s="21"/>
      <c r="C499" s="20"/>
      <c r="D499" s="20"/>
      <c r="E499" s="20"/>
      <c r="F499" s="33"/>
      <c r="G499" s="20"/>
      <c r="H499" s="20"/>
      <c r="I499" s="8" t="str">
        <f aca="false">IF(C499="","",IFERROR(INDEX(Disputes!$C$5:$C$1004,MATCH(C499,Disputes!$A$5:$A$1004,0)),IFERROR(INDEX(Batches!$B$5:$B$64,MATCH(C499,Batches!$A$5:$A$64,0)),"")))</f>
        <v/>
      </c>
      <c r="J499" s="17" t="str">
        <f aca="false">IF(B499="","",DATE(YEAR(B499),MONTH(B499),1))</f>
        <v/>
      </c>
    </row>
    <row r="500" customFormat="false" ht="15" hidden="false" customHeight="false" outlineLevel="0" collapsed="false">
      <c r="A500" s="20"/>
      <c r="B500" s="21"/>
      <c r="C500" s="20"/>
      <c r="D500" s="20"/>
      <c r="E500" s="20"/>
      <c r="F500" s="33"/>
      <c r="G500" s="20"/>
      <c r="H500" s="20"/>
      <c r="I500" s="8" t="str">
        <f aca="false">IF(C500="","",IFERROR(INDEX(Disputes!$C$5:$C$1004,MATCH(C500,Disputes!$A$5:$A$1004,0)),IFERROR(INDEX(Batches!$B$5:$B$64,MATCH(C500,Batches!$A$5:$A$64,0)),"")))</f>
        <v/>
      </c>
      <c r="J500" s="17" t="str">
        <f aca="false">IF(B500="","",DATE(YEAR(B500),MONTH(B500),1))</f>
        <v/>
      </c>
    </row>
    <row r="501" customFormat="false" ht="15" hidden="false" customHeight="false" outlineLevel="0" collapsed="false">
      <c r="A501" s="20"/>
      <c r="B501" s="21"/>
      <c r="C501" s="20"/>
      <c r="D501" s="20"/>
      <c r="E501" s="20"/>
      <c r="F501" s="33"/>
      <c r="G501" s="20"/>
      <c r="H501" s="20"/>
      <c r="I501" s="8" t="str">
        <f aca="false">IF(C501="","",IFERROR(INDEX(Disputes!$C$5:$C$1004,MATCH(C501,Disputes!$A$5:$A$1004,0)),IFERROR(INDEX(Batches!$B$5:$B$64,MATCH(C501,Batches!$A$5:$A$64,0)),"")))</f>
        <v/>
      </c>
      <c r="J501" s="17" t="str">
        <f aca="false">IF(B501="","",DATE(YEAR(B501),MONTH(B501),1))</f>
        <v/>
      </c>
    </row>
    <row r="502" customFormat="false" ht="15" hidden="false" customHeight="false" outlineLevel="0" collapsed="false">
      <c r="A502" s="20"/>
      <c r="B502" s="21"/>
      <c r="C502" s="20"/>
      <c r="D502" s="20"/>
      <c r="E502" s="20"/>
      <c r="F502" s="33"/>
      <c r="G502" s="20"/>
      <c r="H502" s="20"/>
      <c r="I502" s="8" t="str">
        <f aca="false">IF(C502="","",IFERROR(INDEX(Disputes!$C$5:$C$1004,MATCH(C502,Disputes!$A$5:$A$1004,0)),IFERROR(INDEX(Batches!$B$5:$B$64,MATCH(C502,Batches!$A$5:$A$64,0)),"")))</f>
        <v/>
      </c>
      <c r="J502" s="17" t="str">
        <f aca="false">IF(B502="","",DATE(YEAR(B502),MONTH(B502),1))</f>
        <v/>
      </c>
    </row>
    <row r="503" customFormat="false" ht="15" hidden="false" customHeight="false" outlineLevel="0" collapsed="false">
      <c r="A503" s="20"/>
      <c r="B503" s="21"/>
      <c r="C503" s="20"/>
      <c r="D503" s="20"/>
      <c r="E503" s="20"/>
      <c r="F503" s="33"/>
      <c r="G503" s="20"/>
      <c r="H503" s="20"/>
      <c r="I503" s="8" t="str">
        <f aca="false">IF(C503="","",IFERROR(INDEX(Disputes!$C$5:$C$1004,MATCH(C503,Disputes!$A$5:$A$1004,0)),IFERROR(INDEX(Batches!$B$5:$B$64,MATCH(C503,Batches!$A$5:$A$64,0)),"")))</f>
        <v/>
      </c>
      <c r="J503" s="17" t="str">
        <f aca="false">IF(B503="","",DATE(YEAR(B503),MONTH(B503),1))</f>
        <v/>
      </c>
    </row>
    <row r="504" customFormat="false" ht="15" hidden="false" customHeight="false" outlineLevel="0" collapsed="false">
      <c r="A504" s="20"/>
      <c r="B504" s="21"/>
      <c r="C504" s="20"/>
      <c r="D504" s="20"/>
      <c r="E504" s="20"/>
      <c r="F504" s="33"/>
      <c r="G504" s="20"/>
      <c r="H504" s="20"/>
      <c r="I504" s="8" t="str">
        <f aca="false">IF(C504="","",IFERROR(INDEX(Disputes!$C$5:$C$1004,MATCH(C504,Disputes!$A$5:$A$1004,0)),IFERROR(INDEX(Batches!$B$5:$B$64,MATCH(C504,Batches!$A$5:$A$64,0)),"")))</f>
        <v/>
      </c>
      <c r="J504" s="17" t="str">
        <f aca="false">IF(B504="","",DATE(YEAR(B504),MONTH(B504),1))</f>
        <v/>
      </c>
    </row>
    <row r="505" customFormat="false" ht="15" hidden="false" customHeight="false" outlineLevel="0" collapsed="false">
      <c r="A505" s="20"/>
      <c r="B505" s="21"/>
      <c r="C505" s="20"/>
      <c r="D505" s="20"/>
      <c r="E505" s="20"/>
      <c r="F505" s="33"/>
      <c r="G505" s="20"/>
      <c r="H505" s="20"/>
      <c r="I505" s="8" t="str">
        <f aca="false">IF(C505="","",IFERROR(INDEX(Disputes!$C$5:$C$1004,MATCH(C505,Disputes!$A$5:$A$1004,0)),IFERROR(INDEX(Batches!$B$5:$B$64,MATCH(C505,Batches!$A$5:$A$64,0)),"")))</f>
        <v/>
      </c>
      <c r="J505" s="17" t="str">
        <f aca="false">IF(B505="","",DATE(YEAR(B505),MONTH(B505),1))</f>
        <v/>
      </c>
    </row>
    <row r="506" customFormat="false" ht="15" hidden="false" customHeight="false" outlineLevel="0" collapsed="false">
      <c r="A506" s="20"/>
      <c r="B506" s="21"/>
      <c r="C506" s="20"/>
      <c r="D506" s="20"/>
      <c r="E506" s="20"/>
      <c r="F506" s="33"/>
      <c r="G506" s="20"/>
      <c r="H506" s="20"/>
      <c r="I506" s="8" t="str">
        <f aca="false">IF(C506="","",IFERROR(INDEX(Disputes!$C$5:$C$1004,MATCH(C506,Disputes!$A$5:$A$1004,0)),IFERROR(INDEX(Batches!$B$5:$B$64,MATCH(C506,Batches!$A$5:$A$64,0)),"")))</f>
        <v/>
      </c>
      <c r="J506" s="17" t="str">
        <f aca="false">IF(B506="","",DATE(YEAR(B506),MONTH(B506),1))</f>
        <v/>
      </c>
    </row>
    <row r="507" customFormat="false" ht="15" hidden="false" customHeight="false" outlineLevel="0" collapsed="false">
      <c r="A507" s="20"/>
      <c r="B507" s="21"/>
      <c r="C507" s="20"/>
      <c r="D507" s="20"/>
      <c r="E507" s="20"/>
      <c r="F507" s="33"/>
      <c r="G507" s="20"/>
      <c r="H507" s="20"/>
      <c r="I507" s="8" t="str">
        <f aca="false">IF(C507="","",IFERROR(INDEX(Disputes!$C$5:$C$1004,MATCH(C507,Disputes!$A$5:$A$1004,0)),IFERROR(INDEX(Batches!$B$5:$B$64,MATCH(C507,Batches!$A$5:$A$64,0)),"")))</f>
        <v/>
      </c>
      <c r="J507" s="17" t="str">
        <f aca="false">IF(B507="","",DATE(YEAR(B507),MONTH(B507),1))</f>
        <v/>
      </c>
    </row>
    <row r="508" customFormat="false" ht="15" hidden="false" customHeight="false" outlineLevel="0" collapsed="false">
      <c r="A508" s="20"/>
      <c r="B508" s="21"/>
      <c r="C508" s="20"/>
      <c r="D508" s="20"/>
      <c r="E508" s="20"/>
      <c r="F508" s="33"/>
      <c r="G508" s="20"/>
      <c r="H508" s="20"/>
      <c r="I508" s="8" t="str">
        <f aca="false">IF(C508="","",IFERROR(INDEX(Disputes!$C$5:$C$1004,MATCH(C508,Disputes!$A$5:$A$1004,0)),IFERROR(INDEX(Batches!$B$5:$B$64,MATCH(C508,Batches!$A$5:$A$64,0)),"")))</f>
        <v/>
      </c>
      <c r="J508" s="17" t="str">
        <f aca="false">IF(B508="","",DATE(YEAR(B508),MONTH(B508),1))</f>
        <v/>
      </c>
    </row>
    <row r="509" customFormat="false" ht="15" hidden="false" customHeight="false" outlineLevel="0" collapsed="false">
      <c r="A509" s="20"/>
      <c r="B509" s="21"/>
      <c r="C509" s="20"/>
      <c r="D509" s="20"/>
      <c r="E509" s="20"/>
      <c r="F509" s="33"/>
      <c r="G509" s="20"/>
      <c r="H509" s="20"/>
      <c r="I509" s="8" t="str">
        <f aca="false">IF(C509="","",IFERROR(INDEX(Disputes!$C$5:$C$1004,MATCH(C509,Disputes!$A$5:$A$1004,0)),IFERROR(INDEX(Batches!$B$5:$B$64,MATCH(C509,Batches!$A$5:$A$64,0)),"")))</f>
        <v/>
      </c>
      <c r="J509" s="17" t="str">
        <f aca="false">IF(B509="","",DATE(YEAR(B509),MONTH(B509),1))</f>
        <v/>
      </c>
    </row>
    <row r="510" customFormat="false" ht="15" hidden="false" customHeight="false" outlineLevel="0" collapsed="false">
      <c r="A510" s="20"/>
      <c r="B510" s="21"/>
      <c r="C510" s="20"/>
      <c r="D510" s="20"/>
      <c r="E510" s="20"/>
      <c r="F510" s="33"/>
      <c r="G510" s="20"/>
      <c r="H510" s="20"/>
      <c r="I510" s="8" t="str">
        <f aca="false">IF(C510="","",IFERROR(INDEX(Disputes!$C$5:$C$1004,MATCH(C510,Disputes!$A$5:$A$1004,0)),IFERROR(INDEX(Batches!$B$5:$B$64,MATCH(C510,Batches!$A$5:$A$64,0)),"")))</f>
        <v/>
      </c>
      <c r="J510" s="17" t="str">
        <f aca="false">IF(B510="","",DATE(YEAR(B510),MONTH(B510),1))</f>
        <v/>
      </c>
    </row>
    <row r="511" customFormat="false" ht="15" hidden="false" customHeight="false" outlineLevel="0" collapsed="false">
      <c r="A511" s="20"/>
      <c r="B511" s="21"/>
      <c r="C511" s="20"/>
      <c r="D511" s="20"/>
      <c r="E511" s="20"/>
      <c r="F511" s="33"/>
      <c r="G511" s="20"/>
      <c r="H511" s="20"/>
      <c r="I511" s="8" t="str">
        <f aca="false">IF(C511="","",IFERROR(INDEX(Disputes!$C$5:$C$1004,MATCH(C511,Disputes!$A$5:$A$1004,0)),IFERROR(INDEX(Batches!$B$5:$B$64,MATCH(C511,Batches!$A$5:$A$64,0)),"")))</f>
        <v/>
      </c>
      <c r="J511" s="17" t="str">
        <f aca="false">IF(B511="","",DATE(YEAR(B511),MONTH(B511),1))</f>
        <v/>
      </c>
    </row>
    <row r="512" customFormat="false" ht="15" hidden="false" customHeight="false" outlineLevel="0" collapsed="false">
      <c r="A512" s="20"/>
      <c r="B512" s="21"/>
      <c r="C512" s="20"/>
      <c r="D512" s="20"/>
      <c r="E512" s="20"/>
      <c r="F512" s="33"/>
      <c r="G512" s="20"/>
      <c r="H512" s="20"/>
      <c r="I512" s="8" t="str">
        <f aca="false">IF(C512="","",IFERROR(INDEX(Disputes!$C$5:$C$1004,MATCH(C512,Disputes!$A$5:$A$1004,0)),IFERROR(INDEX(Batches!$B$5:$B$64,MATCH(C512,Batches!$A$5:$A$64,0)),"")))</f>
        <v/>
      </c>
      <c r="J512" s="17" t="str">
        <f aca="false">IF(B512="","",DATE(YEAR(B512),MONTH(B512),1))</f>
        <v/>
      </c>
    </row>
    <row r="513" customFormat="false" ht="15" hidden="false" customHeight="false" outlineLevel="0" collapsed="false">
      <c r="A513" s="20"/>
      <c r="B513" s="21"/>
      <c r="C513" s="20"/>
      <c r="D513" s="20"/>
      <c r="E513" s="20"/>
      <c r="F513" s="33"/>
      <c r="G513" s="20"/>
      <c r="H513" s="20"/>
      <c r="I513" s="8" t="str">
        <f aca="false">IF(C513="","",IFERROR(INDEX(Disputes!$C$5:$C$1004,MATCH(C513,Disputes!$A$5:$A$1004,0)),IFERROR(INDEX(Batches!$B$5:$B$64,MATCH(C513,Batches!$A$5:$A$64,0)),"")))</f>
        <v/>
      </c>
      <c r="J513" s="17" t="str">
        <f aca="false">IF(B513="","",DATE(YEAR(B513),MONTH(B513),1))</f>
        <v/>
      </c>
    </row>
    <row r="514" customFormat="false" ht="15" hidden="false" customHeight="false" outlineLevel="0" collapsed="false">
      <c r="A514" s="20"/>
      <c r="B514" s="21"/>
      <c r="C514" s="20"/>
      <c r="D514" s="20"/>
      <c r="E514" s="20"/>
      <c r="F514" s="33"/>
      <c r="G514" s="20"/>
      <c r="H514" s="20"/>
      <c r="I514" s="8" t="str">
        <f aca="false">IF(C514="","",IFERROR(INDEX(Disputes!$C$5:$C$1004,MATCH(C514,Disputes!$A$5:$A$1004,0)),IFERROR(INDEX(Batches!$B$5:$B$64,MATCH(C514,Batches!$A$5:$A$64,0)),"")))</f>
        <v/>
      </c>
      <c r="J514" s="17" t="str">
        <f aca="false">IF(B514="","",DATE(YEAR(B514),MONTH(B514),1))</f>
        <v/>
      </c>
    </row>
    <row r="515" customFormat="false" ht="15" hidden="false" customHeight="false" outlineLevel="0" collapsed="false">
      <c r="A515" s="20"/>
      <c r="B515" s="21"/>
      <c r="C515" s="20"/>
      <c r="D515" s="20"/>
      <c r="E515" s="20"/>
      <c r="F515" s="33"/>
      <c r="G515" s="20"/>
      <c r="H515" s="20"/>
      <c r="I515" s="8" t="str">
        <f aca="false">IF(C515="","",IFERROR(INDEX(Disputes!$C$5:$C$1004,MATCH(C515,Disputes!$A$5:$A$1004,0)),IFERROR(INDEX(Batches!$B$5:$B$64,MATCH(C515,Batches!$A$5:$A$64,0)),"")))</f>
        <v/>
      </c>
      <c r="J515" s="17" t="str">
        <f aca="false">IF(B515="","",DATE(YEAR(B515),MONTH(B515),1))</f>
        <v/>
      </c>
    </row>
    <row r="516" customFormat="false" ht="15" hidden="false" customHeight="false" outlineLevel="0" collapsed="false">
      <c r="A516" s="20"/>
      <c r="B516" s="21"/>
      <c r="C516" s="20"/>
      <c r="D516" s="20"/>
      <c r="E516" s="20"/>
      <c r="F516" s="33"/>
      <c r="G516" s="20"/>
      <c r="H516" s="20"/>
      <c r="I516" s="8" t="str">
        <f aca="false">IF(C516="","",IFERROR(INDEX(Disputes!$C$5:$C$1004,MATCH(C516,Disputes!$A$5:$A$1004,0)),IFERROR(INDEX(Batches!$B$5:$B$64,MATCH(C516,Batches!$A$5:$A$64,0)),"")))</f>
        <v/>
      </c>
      <c r="J516" s="17" t="str">
        <f aca="false">IF(B516="","",DATE(YEAR(B516),MONTH(B516),1))</f>
        <v/>
      </c>
    </row>
    <row r="517" customFormat="false" ht="15" hidden="false" customHeight="false" outlineLevel="0" collapsed="false">
      <c r="A517" s="20"/>
      <c r="B517" s="21"/>
      <c r="C517" s="20"/>
      <c r="D517" s="20"/>
      <c r="E517" s="20"/>
      <c r="F517" s="33"/>
      <c r="G517" s="20"/>
      <c r="H517" s="20"/>
      <c r="I517" s="8" t="str">
        <f aca="false">IF(C517="","",IFERROR(INDEX(Disputes!$C$5:$C$1004,MATCH(C517,Disputes!$A$5:$A$1004,0)),IFERROR(INDEX(Batches!$B$5:$B$64,MATCH(C517,Batches!$A$5:$A$64,0)),"")))</f>
        <v/>
      </c>
      <c r="J517" s="17" t="str">
        <f aca="false">IF(B517="","",DATE(YEAR(B517),MONTH(B517),1))</f>
        <v/>
      </c>
    </row>
    <row r="518" customFormat="false" ht="15" hidden="false" customHeight="false" outlineLevel="0" collapsed="false">
      <c r="A518" s="20"/>
      <c r="B518" s="21"/>
      <c r="C518" s="20"/>
      <c r="D518" s="20"/>
      <c r="E518" s="20"/>
      <c r="F518" s="33"/>
      <c r="G518" s="20"/>
      <c r="H518" s="20"/>
      <c r="I518" s="8" t="str">
        <f aca="false">IF(C518="","",IFERROR(INDEX(Disputes!$C$5:$C$1004,MATCH(C518,Disputes!$A$5:$A$1004,0)),IFERROR(INDEX(Batches!$B$5:$B$64,MATCH(C518,Batches!$A$5:$A$64,0)),"")))</f>
        <v/>
      </c>
      <c r="J518" s="17" t="str">
        <f aca="false">IF(B518="","",DATE(YEAR(B518),MONTH(B518),1))</f>
        <v/>
      </c>
    </row>
    <row r="519" customFormat="false" ht="15" hidden="false" customHeight="false" outlineLevel="0" collapsed="false">
      <c r="A519" s="20"/>
      <c r="B519" s="21"/>
      <c r="C519" s="20"/>
      <c r="D519" s="20"/>
      <c r="E519" s="20"/>
      <c r="F519" s="33"/>
      <c r="G519" s="20"/>
      <c r="H519" s="20"/>
      <c r="I519" s="8" t="str">
        <f aca="false">IF(C519="","",IFERROR(INDEX(Disputes!$C$5:$C$1004,MATCH(C519,Disputes!$A$5:$A$1004,0)),IFERROR(INDEX(Batches!$B$5:$B$64,MATCH(C519,Batches!$A$5:$A$64,0)),"")))</f>
        <v/>
      </c>
      <c r="J519" s="17" t="str">
        <f aca="false">IF(B519="","",DATE(YEAR(B519),MONTH(B519),1))</f>
        <v/>
      </c>
    </row>
    <row r="520" customFormat="false" ht="15" hidden="false" customHeight="false" outlineLevel="0" collapsed="false">
      <c r="A520" s="20"/>
      <c r="B520" s="21"/>
      <c r="C520" s="20"/>
      <c r="D520" s="20"/>
      <c r="E520" s="20"/>
      <c r="F520" s="33"/>
      <c r="G520" s="20"/>
      <c r="H520" s="20"/>
      <c r="I520" s="8" t="str">
        <f aca="false">IF(C520="","",IFERROR(INDEX(Disputes!$C$5:$C$1004,MATCH(C520,Disputes!$A$5:$A$1004,0)),IFERROR(INDEX(Batches!$B$5:$B$64,MATCH(C520,Batches!$A$5:$A$64,0)),"")))</f>
        <v/>
      </c>
      <c r="J520" s="17" t="str">
        <f aca="false">IF(B520="","",DATE(YEAR(B520),MONTH(B520),1))</f>
        <v/>
      </c>
    </row>
    <row r="521" customFormat="false" ht="15" hidden="false" customHeight="false" outlineLevel="0" collapsed="false">
      <c r="A521" s="20"/>
      <c r="B521" s="21"/>
      <c r="C521" s="20"/>
      <c r="D521" s="20"/>
      <c r="E521" s="20"/>
      <c r="F521" s="33"/>
      <c r="G521" s="20"/>
      <c r="H521" s="20"/>
      <c r="I521" s="8" t="str">
        <f aca="false">IF(C521="","",IFERROR(INDEX(Disputes!$C$5:$C$1004,MATCH(C521,Disputes!$A$5:$A$1004,0)),IFERROR(INDEX(Batches!$B$5:$B$64,MATCH(C521,Batches!$A$5:$A$64,0)),"")))</f>
        <v/>
      </c>
      <c r="J521" s="17" t="str">
        <f aca="false">IF(B521="","",DATE(YEAR(B521),MONTH(B521),1))</f>
        <v/>
      </c>
    </row>
    <row r="522" customFormat="false" ht="15" hidden="false" customHeight="false" outlineLevel="0" collapsed="false">
      <c r="A522" s="20"/>
      <c r="B522" s="21"/>
      <c r="C522" s="20"/>
      <c r="D522" s="20"/>
      <c r="E522" s="20"/>
      <c r="F522" s="33"/>
      <c r="G522" s="20"/>
      <c r="H522" s="20"/>
      <c r="I522" s="8" t="str">
        <f aca="false">IF(C522="","",IFERROR(INDEX(Disputes!$C$5:$C$1004,MATCH(C522,Disputes!$A$5:$A$1004,0)),IFERROR(INDEX(Batches!$B$5:$B$64,MATCH(C522,Batches!$A$5:$A$64,0)),"")))</f>
        <v/>
      </c>
      <c r="J522" s="17" t="str">
        <f aca="false">IF(B522="","",DATE(YEAR(B522),MONTH(B522),1))</f>
        <v/>
      </c>
    </row>
    <row r="523" customFormat="false" ht="15" hidden="false" customHeight="false" outlineLevel="0" collapsed="false">
      <c r="A523" s="20"/>
      <c r="B523" s="21"/>
      <c r="C523" s="20"/>
      <c r="D523" s="20"/>
      <c r="E523" s="20"/>
      <c r="F523" s="33"/>
      <c r="G523" s="20"/>
      <c r="H523" s="20"/>
      <c r="I523" s="8" t="str">
        <f aca="false">IF(C523="","",IFERROR(INDEX(Disputes!$C$5:$C$1004,MATCH(C523,Disputes!$A$5:$A$1004,0)),IFERROR(INDEX(Batches!$B$5:$B$64,MATCH(C523,Batches!$A$5:$A$64,0)),"")))</f>
        <v/>
      </c>
      <c r="J523" s="17" t="str">
        <f aca="false">IF(B523="","",DATE(YEAR(B523),MONTH(B523),1))</f>
        <v/>
      </c>
    </row>
    <row r="524" customFormat="false" ht="15" hidden="false" customHeight="false" outlineLevel="0" collapsed="false">
      <c r="A524" s="20"/>
      <c r="B524" s="21"/>
      <c r="C524" s="20"/>
      <c r="D524" s="20"/>
      <c r="E524" s="20"/>
      <c r="F524" s="33"/>
      <c r="G524" s="20"/>
      <c r="H524" s="20"/>
      <c r="I524" s="8" t="str">
        <f aca="false">IF(C524="","",IFERROR(INDEX(Disputes!$C$5:$C$1004,MATCH(C524,Disputes!$A$5:$A$1004,0)),IFERROR(INDEX(Batches!$B$5:$B$64,MATCH(C524,Batches!$A$5:$A$64,0)),"")))</f>
        <v/>
      </c>
      <c r="J524" s="17" t="str">
        <f aca="false">IF(B524="","",DATE(YEAR(B524),MONTH(B524),1))</f>
        <v/>
      </c>
    </row>
    <row r="525" customFormat="false" ht="15" hidden="false" customHeight="false" outlineLevel="0" collapsed="false">
      <c r="A525" s="20"/>
      <c r="B525" s="21"/>
      <c r="C525" s="20"/>
      <c r="D525" s="20"/>
      <c r="E525" s="20"/>
      <c r="F525" s="33"/>
      <c r="G525" s="20"/>
      <c r="H525" s="20"/>
      <c r="I525" s="8" t="str">
        <f aca="false">IF(C525="","",IFERROR(INDEX(Disputes!$C$5:$C$1004,MATCH(C525,Disputes!$A$5:$A$1004,0)),IFERROR(INDEX(Batches!$B$5:$B$64,MATCH(C525,Batches!$A$5:$A$64,0)),"")))</f>
        <v/>
      </c>
      <c r="J525" s="17" t="str">
        <f aca="false">IF(B525="","",DATE(YEAR(B525),MONTH(B525),1))</f>
        <v/>
      </c>
    </row>
    <row r="526" customFormat="false" ht="15" hidden="false" customHeight="false" outlineLevel="0" collapsed="false">
      <c r="A526" s="20"/>
      <c r="B526" s="21"/>
      <c r="C526" s="20"/>
      <c r="D526" s="20"/>
      <c r="E526" s="20"/>
      <c r="F526" s="33"/>
      <c r="G526" s="20"/>
      <c r="H526" s="20"/>
      <c r="I526" s="8" t="str">
        <f aca="false">IF(C526="","",IFERROR(INDEX(Disputes!$C$5:$C$1004,MATCH(C526,Disputes!$A$5:$A$1004,0)),IFERROR(INDEX(Batches!$B$5:$B$64,MATCH(C526,Batches!$A$5:$A$64,0)),"")))</f>
        <v/>
      </c>
      <c r="J526" s="17" t="str">
        <f aca="false">IF(B526="","",DATE(YEAR(B526),MONTH(B526),1))</f>
        <v/>
      </c>
    </row>
    <row r="527" customFormat="false" ht="15" hidden="false" customHeight="false" outlineLevel="0" collapsed="false">
      <c r="A527" s="20"/>
      <c r="B527" s="21"/>
      <c r="C527" s="20"/>
      <c r="D527" s="20"/>
      <c r="E527" s="20"/>
      <c r="F527" s="33"/>
      <c r="G527" s="20"/>
      <c r="H527" s="20"/>
      <c r="I527" s="8" t="str">
        <f aca="false">IF(C527="","",IFERROR(INDEX(Disputes!$C$5:$C$1004,MATCH(C527,Disputes!$A$5:$A$1004,0)),IFERROR(INDEX(Batches!$B$5:$B$64,MATCH(C527,Batches!$A$5:$A$64,0)),"")))</f>
        <v/>
      </c>
      <c r="J527" s="17" t="str">
        <f aca="false">IF(B527="","",DATE(YEAR(B527),MONTH(B527),1))</f>
        <v/>
      </c>
    </row>
    <row r="528" customFormat="false" ht="15" hidden="false" customHeight="false" outlineLevel="0" collapsed="false">
      <c r="A528" s="20"/>
      <c r="B528" s="21"/>
      <c r="C528" s="20"/>
      <c r="D528" s="20"/>
      <c r="E528" s="20"/>
      <c r="F528" s="33"/>
      <c r="G528" s="20"/>
      <c r="H528" s="20"/>
      <c r="I528" s="8" t="str">
        <f aca="false">IF(C528="","",IFERROR(INDEX(Disputes!$C$5:$C$1004,MATCH(C528,Disputes!$A$5:$A$1004,0)),IFERROR(INDEX(Batches!$B$5:$B$64,MATCH(C528,Batches!$A$5:$A$64,0)),"")))</f>
        <v/>
      </c>
      <c r="J528" s="17" t="str">
        <f aca="false">IF(B528="","",DATE(YEAR(B528),MONTH(B528),1))</f>
        <v/>
      </c>
    </row>
    <row r="529" customFormat="false" ht="15" hidden="false" customHeight="false" outlineLevel="0" collapsed="false">
      <c r="A529" s="20"/>
      <c r="B529" s="21"/>
      <c r="C529" s="20"/>
      <c r="D529" s="20"/>
      <c r="E529" s="20"/>
      <c r="F529" s="33"/>
      <c r="G529" s="20"/>
      <c r="H529" s="20"/>
      <c r="I529" s="8" t="str">
        <f aca="false">IF(C529="","",IFERROR(INDEX(Disputes!$C$5:$C$1004,MATCH(C529,Disputes!$A$5:$A$1004,0)),IFERROR(INDEX(Batches!$B$5:$B$64,MATCH(C529,Batches!$A$5:$A$64,0)),"")))</f>
        <v/>
      </c>
      <c r="J529" s="17" t="str">
        <f aca="false">IF(B529="","",DATE(YEAR(B529),MONTH(B529),1))</f>
        <v/>
      </c>
    </row>
    <row r="530" customFormat="false" ht="15" hidden="false" customHeight="false" outlineLevel="0" collapsed="false">
      <c r="A530" s="20"/>
      <c r="B530" s="21"/>
      <c r="C530" s="20"/>
      <c r="D530" s="20"/>
      <c r="E530" s="20"/>
      <c r="F530" s="33"/>
      <c r="G530" s="20"/>
      <c r="H530" s="20"/>
      <c r="I530" s="8" t="str">
        <f aca="false">IF(C530="","",IFERROR(INDEX(Disputes!$C$5:$C$1004,MATCH(C530,Disputes!$A$5:$A$1004,0)),IFERROR(INDEX(Batches!$B$5:$B$64,MATCH(C530,Batches!$A$5:$A$64,0)),"")))</f>
        <v/>
      </c>
      <c r="J530" s="17" t="str">
        <f aca="false">IF(B530="","",DATE(YEAR(B530),MONTH(B530),1))</f>
        <v/>
      </c>
    </row>
    <row r="531" customFormat="false" ht="15" hidden="false" customHeight="false" outlineLevel="0" collapsed="false">
      <c r="A531" s="20"/>
      <c r="B531" s="21"/>
      <c r="C531" s="20"/>
      <c r="D531" s="20"/>
      <c r="E531" s="20"/>
      <c r="F531" s="33"/>
      <c r="G531" s="20"/>
      <c r="H531" s="20"/>
      <c r="I531" s="8" t="str">
        <f aca="false">IF(C531="","",IFERROR(INDEX(Disputes!$C$5:$C$1004,MATCH(C531,Disputes!$A$5:$A$1004,0)),IFERROR(INDEX(Batches!$B$5:$B$64,MATCH(C531,Batches!$A$5:$A$64,0)),"")))</f>
        <v/>
      </c>
      <c r="J531" s="17" t="str">
        <f aca="false">IF(B531="","",DATE(YEAR(B531),MONTH(B531),1))</f>
        <v/>
      </c>
    </row>
    <row r="532" customFormat="false" ht="15" hidden="false" customHeight="false" outlineLevel="0" collapsed="false">
      <c r="A532" s="20"/>
      <c r="B532" s="21"/>
      <c r="C532" s="20"/>
      <c r="D532" s="20"/>
      <c r="E532" s="20"/>
      <c r="F532" s="33"/>
      <c r="G532" s="20"/>
      <c r="H532" s="20"/>
      <c r="I532" s="8" t="str">
        <f aca="false">IF(C532="","",IFERROR(INDEX(Disputes!$C$5:$C$1004,MATCH(C532,Disputes!$A$5:$A$1004,0)),IFERROR(INDEX(Batches!$B$5:$B$64,MATCH(C532,Batches!$A$5:$A$64,0)),"")))</f>
        <v/>
      </c>
      <c r="J532" s="17" t="str">
        <f aca="false">IF(B532="","",DATE(YEAR(B532),MONTH(B532),1))</f>
        <v/>
      </c>
    </row>
    <row r="533" customFormat="false" ht="15" hidden="false" customHeight="false" outlineLevel="0" collapsed="false">
      <c r="A533" s="20"/>
      <c r="B533" s="21"/>
      <c r="C533" s="20"/>
      <c r="D533" s="20"/>
      <c r="E533" s="20"/>
      <c r="F533" s="33"/>
      <c r="G533" s="20"/>
      <c r="H533" s="20"/>
      <c r="I533" s="8" t="str">
        <f aca="false">IF(C533="","",IFERROR(INDEX(Disputes!$C$5:$C$1004,MATCH(C533,Disputes!$A$5:$A$1004,0)),IFERROR(INDEX(Batches!$B$5:$B$64,MATCH(C533,Batches!$A$5:$A$64,0)),"")))</f>
        <v/>
      </c>
      <c r="J533" s="17" t="str">
        <f aca="false">IF(B533="","",DATE(YEAR(B533),MONTH(B533),1))</f>
        <v/>
      </c>
    </row>
    <row r="534" customFormat="false" ht="15" hidden="false" customHeight="false" outlineLevel="0" collapsed="false">
      <c r="A534" s="20"/>
      <c r="B534" s="21"/>
      <c r="C534" s="20"/>
      <c r="D534" s="20"/>
      <c r="E534" s="20"/>
      <c r="F534" s="33"/>
      <c r="G534" s="20"/>
      <c r="H534" s="20"/>
      <c r="I534" s="8" t="str">
        <f aca="false">IF(C534="","",IFERROR(INDEX(Disputes!$C$5:$C$1004,MATCH(C534,Disputes!$A$5:$A$1004,0)),IFERROR(INDEX(Batches!$B$5:$B$64,MATCH(C534,Batches!$A$5:$A$64,0)),"")))</f>
        <v/>
      </c>
      <c r="J534" s="17" t="str">
        <f aca="false">IF(B534="","",DATE(YEAR(B534),MONTH(B534),1))</f>
        <v/>
      </c>
    </row>
    <row r="535" customFormat="false" ht="15" hidden="false" customHeight="false" outlineLevel="0" collapsed="false">
      <c r="A535" s="20"/>
      <c r="B535" s="21"/>
      <c r="C535" s="20"/>
      <c r="D535" s="20"/>
      <c r="E535" s="20"/>
      <c r="F535" s="33"/>
      <c r="G535" s="20"/>
      <c r="H535" s="20"/>
      <c r="I535" s="8" t="str">
        <f aca="false">IF(C535="","",IFERROR(INDEX(Disputes!$C$5:$C$1004,MATCH(C535,Disputes!$A$5:$A$1004,0)),IFERROR(INDEX(Batches!$B$5:$B$64,MATCH(C535,Batches!$A$5:$A$64,0)),"")))</f>
        <v/>
      </c>
      <c r="J535" s="17" t="str">
        <f aca="false">IF(B535="","",DATE(YEAR(B535),MONTH(B535),1))</f>
        <v/>
      </c>
    </row>
    <row r="536" customFormat="false" ht="15" hidden="false" customHeight="false" outlineLevel="0" collapsed="false">
      <c r="A536" s="20"/>
      <c r="B536" s="21"/>
      <c r="C536" s="20"/>
      <c r="D536" s="20"/>
      <c r="E536" s="20"/>
      <c r="F536" s="33"/>
      <c r="G536" s="20"/>
      <c r="H536" s="20"/>
      <c r="I536" s="8" t="str">
        <f aca="false">IF(C536="","",IFERROR(INDEX(Disputes!$C$5:$C$1004,MATCH(C536,Disputes!$A$5:$A$1004,0)),IFERROR(INDEX(Batches!$B$5:$B$64,MATCH(C536,Batches!$A$5:$A$64,0)),"")))</f>
        <v/>
      </c>
      <c r="J536" s="17" t="str">
        <f aca="false">IF(B536="","",DATE(YEAR(B536),MONTH(B536),1))</f>
        <v/>
      </c>
    </row>
    <row r="537" customFormat="false" ht="15" hidden="false" customHeight="false" outlineLevel="0" collapsed="false">
      <c r="A537" s="20"/>
      <c r="B537" s="21"/>
      <c r="C537" s="20"/>
      <c r="D537" s="20"/>
      <c r="E537" s="20"/>
      <c r="F537" s="33"/>
      <c r="G537" s="20"/>
      <c r="H537" s="20"/>
      <c r="I537" s="8" t="str">
        <f aca="false">IF(C537="","",IFERROR(INDEX(Disputes!$C$5:$C$1004,MATCH(C537,Disputes!$A$5:$A$1004,0)),IFERROR(INDEX(Batches!$B$5:$B$64,MATCH(C537,Batches!$A$5:$A$64,0)),"")))</f>
        <v/>
      </c>
      <c r="J537" s="17" t="str">
        <f aca="false">IF(B537="","",DATE(YEAR(B537),MONTH(B537),1))</f>
        <v/>
      </c>
    </row>
    <row r="538" customFormat="false" ht="15" hidden="false" customHeight="false" outlineLevel="0" collapsed="false">
      <c r="A538" s="20"/>
      <c r="B538" s="21"/>
      <c r="C538" s="20"/>
      <c r="D538" s="20"/>
      <c r="E538" s="20"/>
      <c r="F538" s="33"/>
      <c r="G538" s="20"/>
      <c r="H538" s="20"/>
      <c r="I538" s="8" t="str">
        <f aca="false">IF(C538="","",IFERROR(INDEX(Disputes!$C$5:$C$1004,MATCH(C538,Disputes!$A$5:$A$1004,0)),IFERROR(INDEX(Batches!$B$5:$B$64,MATCH(C538,Batches!$A$5:$A$64,0)),"")))</f>
        <v/>
      </c>
      <c r="J538" s="17" t="str">
        <f aca="false">IF(B538="","",DATE(YEAR(B538),MONTH(B538),1))</f>
        <v/>
      </c>
    </row>
    <row r="539" customFormat="false" ht="15" hidden="false" customHeight="false" outlineLevel="0" collapsed="false">
      <c r="A539" s="20"/>
      <c r="B539" s="21"/>
      <c r="C539" s="20"/>
      <c r="D539" s="20"/>
      <c r="E539" s="20"/>
      <c r="F539" s="33"/>
      <c r="G539" s="20"/>
      <c r="H539" s="20"/>
      <c r="I539" s="8" t="str">
        <f aca="false">IF(C539="","",IFERROR(INDEX(Disputes!$C$5:$C$1004,MATCH(C539,Disputes!$A$5:$A$1004,0)),IFERROR(INDEX(Batches!$B$5:$B$64,MATCH(C539,Batches!$A$5:$A$64,0)),"")))</f>
        <v/>
      </c>
      <c r="J539" s="17" t="str">
        <f aca="false">IF(B539="","",DATE(YEAR(B539),MONTH(B539),1))</f>
        <v/>
      </c>
    </row>
    <row r="540" customFormat="false" ht="15" hidden="false" customHeight="false" outlineLevel="0" collapsed="false">
      <c r="A540" s="20"/>
      <c r="B540" s="21"/>
      <c r="C540" s="20"/>
      <c r="D540" s="20"/>
      <c r="E540" s="20"/>
      <c r="F540" s="33"/>
      <c r="G540" s="20"/>
      <c r="H540" s="20"/>
      <c r="I540" s="8" t="str">
        <f aca="false">IF(C540="","",IFERROR(INDEX(Disputes!$C$5:$C$1004,MATCH(C540,Disputes!$A$5:$A$1004,0)),IFERROR(INDEX(Batches!$B$5:$B$64,MATCH(C540,Batches!$A$5:$A$64,0)),"")))</f>
        <v/>
      </c>
      <c r="J540" s="17" t="str">
        <f aca="false">IF(B540="","",DATE(YEAR(B540),MONTH(B540),1))</f>
        <v/>
      </c>
    </row>
    <row r="541" customFormat="false" ht="15" hidden="false" customHeight="false" outlineLevel="0" collapsed="false">
      <c r="A541" s="20"/>
      <c r="B541" s="21"/>
      <c r="C541" s="20"/>
      <c r="D541" s="20"/>
      <c r="E541" s="20"/>
      <c r="F541" s="33"/>
      <c r="G541" s="20"/>
      <c r="H541" s="20"/>
      <c r="I541" s="8" t="str">
        <f aca="false">IF(C541="","",IFERROR(INDEX(Disputes!$C$5:$C$1004,MATCH(C541,Disputes!$A$5:$A$1004,0)),IFERROR(INDEX(Batches!$B$5:$B$64,MATCH(C541,Batches!$A$5:$A$64,0)),"")))</f>
        <v/>
      </c>
      <c r="J541" s="17" t="str">
        <f aca="false">IF(B541="","",DATE(YEAR(B541),MONTH(B541),1))</f>
        <v/>
      </c>
    </row>
    <row r="542" customFormat="false" ht="15" hidden="false" customHeight="false" outlineLevel="0" collapsed="false">
      <c r="A542" s="20"/>
      <c r="B542" s="21"/>
      <c r="C542" s="20"/>
      <c r="D542" s="20"/>
      <c r="E542" s="20"/>
      <c r="F542" s="33"/>
      <c r="G542" s="20"/>
      <c r="H542" s="20"/>
      <c r="I542" s="8" t="str">
        <f aca="false">IF(C542="","",IFERROR(INDEX(Disputes!$C$5:$C$1004,MATCH(C542,Disputes!$A$5:$A$1004,0)),IFERROR(INDEX(Batches!$B$5:$B$64,MATCH(C542,Batches!$A$5:$A$64,0)),"")))</f>
        <v/>
      </c>
      <c r="J542" s="17" t="str">
        <f aca="false">IF(B542="","",DATE(YEAR(B542),MONTH(B542),1))</f>
        <v/>
      </c>
    </row>
    <row r="543" customFormat="false" ht="15" hidden="false" customHeight="false" outlineLevel="0" collapsed="false">
      <c r="A543" s="20"/>
      <c r="B543" s="21"/>
      <c r="C543" s="20"/>
      <c r="D543" s="20"/>
      <c r="E543" s="20"/>
      <c r="F543" s="33"/>
      <c r="G543" s="20"/>
      <c r="H543" s="20"/>
      <c r="I543" s="8" t="str">
        <f aca="false">IF(C543="","",IFERROR(INDEX(Disputes!$C$5:$C$1004,MATCH(C543,Disputes!$A$5:$A$1004,0)),IFERROR(INDEX(Batches!$B$5:$B$64,MATCH(C543,Batches!$A$5:$A$64,0)),"")))</f>
        <v/>
      </c>
      <c r="J543" s="17" t="str">
        <f aca="false">IF(B543="","",DATE(YEAR(B543),MONTH(B543),1))</f>
        <v/>
      </c>
    </row>
    <row r="544" customFormat="false" ht="15" hidden="false" customHeight="false" outlineLevel="0" collapsed="false">
      <c r="A544" s="20"/>
      <c r="B544" s="21"/>
      <c r="C544" s="20"/>
      <c r="D544" s="20"/>
      <c r="E544" s="20"/>
      <c r="F544" s="33"/>
      <c r="G544" s="20"/>
      <c r="H544" s="20"/>
      <c r="I544" s="8" t="str">
        <f aca="false">IF(C544="","",IFERROR(INDEX(Disputes!$C$5:$C$1004,MATCH(C544,Disputes!$A$5:$A$1004,0)),IFERROR(INDEX(Batches!$B$5:$B$64,MATCH(C544,Batches!$A$5:$A$64,0)),"")))</f>
        <v/>
      </c>
      <c r="J544" s="17" t="str">
        <f aca="false">IF(B544="","",DATE(YEAR(B544),MONTH(B544),1))</f>
        <v/>
      </c>
    </row>
    <row r="545" customFormat="false" ht="15" hidden="false" customHeight="false" outlineLevel="0" collapsed="false">
      <c r="A545" s="20"/>
      <c r="B545" s="21"/>
      <c r="C545" s="20"/>
      <c r="D545" s="20"/>
      <c r="E545" s="20"/>
      <c r="F545" s="33"/>
      <c r="G545" s="20"/>
      <c r="H545" s="20"/>
      <c r="I545" s="8" t="str">
        <f aca="false">IF(C545="","",IFERROR(INDEX(Disputes!$C$5:$C$1004,MATCH(C545,Disputes!$A$5:$A$1004,0)),IFERROR(INDEX(Batches!$B$5:$B$64,MATCH(C545,Batches!$A$5:$A$64,0)),"")))</f>
        <v/>
      </c>
      <c r="J545" s="17" t="str">
        <f aca="false">IF(B545="","",DATE(YEAR(B545),MONTH(B545),1))</f>
        <v/>
      </c>
    </row>
    <row r="546" customFormat="false" ht="15" hidden="false" customHeight="false" outlineLevel="0" collapsed="false">
      <c r="A546" s="20"/>
      <c r="B546" s="21"/>
      <c r="C546" s="20"/>
      <c r="D546" s="20"/>
      <c r="E546" s="20"/>
      <c r="F546" s="33"/>
      <c r="G546" s="20"/>
      <c r="H546" s="20"/>
      <c r="I546" s="8" t="str">
        <f aca="false">IF(C546="","",IFERROR(INDEX(Disputes!$C$5:$C$1004,MATCH(C546,Disputes!$A$5:$A$1004,0)),IFERROR(INDEX(Batches!$B$5:$B$64,MATCH(C546,Batches!$A$5:$A$64,0)),"")))</f>
        <v/>
      </c>
      <c r="J546" s="17" t="str">
        <f aca="false">IF(B546="","",DATE(YEAR(B546),MONTH(B546),1))</f>
        <v/>
      </c>
    </row>
    <row r="547" customFormat="false" ht="15" hidden="false" customHeight="false" outlineLevel="0" collapsed="false">
      <c r="A547" s="20"/>
      <c r="B547" s="21"/>
      <c r="C547" s="20"/>
      <c r="D547" s="20"/>
      <c r="E547" s="20"/>
      <c r="F547" s="33"/>
      <c r="G547" s="20"/>
      <c r="H547" s="20"/>
      <c r="I547" s="8" t="str">
        <f aca="false">IF(C547="","",IFERROR(INDEX(Disputes!$C$5:$C$1004,MATCH(C547,Disputes!$A$5:$A$1004,0)),IFERROR(INDEX(Batches!$B$5:$B$64,MATCH(C547,Batches!$A$5:$A$64,0)),"")))</f>
        <v/>
      </c>
      <c r="J547" s="17" t="str">
        <f aca="false">IF(B547="","",DATE(YEAR(B547),MONTH(B547),1))</f>
        <v/>
      </c>
    </row>
    <row r="548" customFormat="false" ht="15" hidden="false" customHeight="false" outlineLevel="0" collapsed="false">
      <c r="A548" s="20"/>
      <c r="B548" s="21"/>
      <c r="C548" s="20"/>
      <c r="D548" s="20"/>
      <c r="E548" s="20"/>
      <c r="F548" s="33"/>
      <c r="G548" s="20"/>
      <c r="H548" s="20"/>
      <c r="I548" s="8" t="str">
        <f aca="false">IF(C548="","",IFERROR(INDEX(Disputes!$C$5:$C$1004,MATCH(C548,Disputes!$A$5:$A$1004,0)),IFERROR(INDEX(Batches!$B$5:$B$64,MATCH(C548,Batches!$A$5:$A$64,0)),"")))</f>
        <v/>
      </c>
      <c r="J548" s="17" t="str">
        <f aca="false">IF(B548="","",DATE(YEAR(B548),MONTH(B548),1))</f>
        <v/>
      </c>
    </row>
    <row r="549" customFormat="false" ht="15" hidden="false" customHeight="false" outlineLevel="0" collapsed="false">
      <c r="A549" s="20"/>
      <c r="B549" s="21"/>
      <c r="C549" s="20"/>
      <c r="D549" s="20"/>
      <c r="E549" s="20"/>
      <c r="F549" s="33"/>
      <c r="G549" s="20"/>
      <c r="H549" s="20"/>
      <c r="I549" s="8" t="str">
        <f aca="false">IF(C549="","",IFERROR(INDEX(Disputes!$C$5:$C$1004,MATCH(C549,Disputes!$A$5:$A$1004,0)),IFERROR(INDEX(Batches!$B$5:$B$64,MATCH(C549,Batches!$A$5:$A$64,0)),"")))</f>
        <v/>
      </c>
      <c r="J549" s="17" t="str">
        <f aca="false">IF(B549="","",DATE(YEAR(B549),MONTH(B549),1))</f>
        <v/>
      </c>
    </row>
    <row r="550" customFormat="false" ht="15" hidden="false" customHeight="false" outlineLevel="0" collapsed="false">
      <c r="A550" s="20"/>
      <c r="B550" s="21"/>
      <c r="C550" s="20"/>
      <c r="D550" s="20"/>
      <c r="E550" s="20"/>
      <c r="F550" s="33"/>
      <c r="G550" s="20"/>
      <c r="H550" s="20"/>
      <c r="I550" s="8" t="str">
        <f aca="false">IF(C550="","",IFERROR(INDEX(Disputes!$C$5:$C$1004,MATCH(C550,Disputes!$A$5:$A$1004,0)),IFERROR(INDEX(Batches!$B$5:$B$64,MATCH(C550,Batches!$A$5:$A$64,0)),"")))</f>
        <v/>
      </c>
      <c r="J550" s="17" t="str">
        <f aca="false">IF(B550="","",DATE(YEAR(B550),MONTH(B550),1))</f>
        <v/>
      </c>
    </row>
    <row r="551" customFormat="false" ht="15" hidden="false" customHeight="false" outlineLevel="0" collapsed="false">
      <c r="A551" s="20"/>
      <c r="B551" s="21"/>
      <c r="C551" s="20"/>
      <c r="D551" s="20"/>
      <c r="E551" s="20"/>
      <c r="F551" s="33"/>
      <c r="G551" s="20"/>
      <c r="H551" s="20"/>
      <c r="I551" s="8" t="str">
        <f aca="false">IF(C551="","",IFERROR(INDEX(Disputes!$C$5:$C$1004,MATCH(C551,Disputes!$A$5:$A$1004,0)),IFERROR(INDEX(Batches!$B$5:$B$64,MATCH(C551,Batches!$A$5:$A$64,0)),"")))</f>
        <v/>
      </c>
      <c r="J551" s="17" t="str">
        <f aca="false">IF(B551="","",DATE(YEAR(B551),MONTH(B551),1))</f>
        <v/>
      </c>
    </row>
    <row r="552" customFormat="false" ht="15" hidden="false" customHeight="false" outlineLevel="0" collapsed="false">
      <c r="A552" s="20"/>
      <c r="B552" s="21"/>
      <c r="C552" s="20"/>
      <c r="D552" s="20"/>
      <c r="E552" s="20"/>
      <c r="F552" s="33"/>
      <c r="G552" s="20"/>
      <c r="H552" s="20"/>
      <c r="I552" s="8" t="str">
        <f aca="false">IF(C552="","",IFERROR(INDEX(Disputes!$C$5:$C$1004,MATCH(C552,Disputes!$A$5:$A$1004,0)),IFERROR(INDEX(Batches!$B$5:$B$64,MATCH(C552,Batches!$A$5:$A$64,0)),"")))</f>
        <v/>
      </c>
      <c r="J552" s="17" t="str">
        <f aca="false">IF(B552="","",DATE(YEAR(B552),MONTH(B552),1))</f>
        <v/>
      </c>
    </row>
    <row r="553" customFormat="false" ht="15" hidden="false" customHeight="false" outlineLevel="0" collapsed="false">
      <c r="A553" s="20"/>
      <c r="B553" s="21"/>
      <c r="C553" s="20"/>
      <c r="D553" s="20"/>
      <c r="E553" s="20"/>
      <c r="F553" s="33"/>
      <c r="G553" s="20"/>
      <c r="H553" s="20"/>
      <c r="I553" s="8" t="str">
        <f aca="false">IF(C553="","",IFERROR(INDEX(Disputes!$C$5:$C$1004,MATCH(C553,Disputes!$A$5:$A$1004,0)),IFERROR(INDEX(Batches!$B$5:$B$64,MATCH(C553,Batches!$A$5:$A$64,0)),"")))</f>
        <v/>
      </c>
      <c r="J553" s="17" t="str">
        <f aca="false">IF(B553="","",DATE(YEAR(B553),MONTH(B553),1))</f>
        <v/>
      </c>
    </row>
    <row r="554" customFormat="false" ht="15" hidden="false" customHeight="false" outlineLevel="0" collapsed="false">
      <c r="A554" s="20"/>
      <c r="B554" s="21"/>
      <c r="C554" s="20"/>
      <c r="D554" s="20"/>
      <c r="E554" s="20"/>
      <c r="F554" s="33"/>
      <c r="G554" s="20"/>
      <c r="H554" s="20"/>
      <c r="I554" s="8" t="str">
        <f aca="false">IF(C554="","",IFERROR(INDEX(Disputes!$C$5:$C$1004,MATCH(C554,Disputes!$A$5:$A$1004,0)),IFERROR(INDEX(Batches!$B$5:$B$64,MATCH(C554,Batches!$A$5:$A$64,0)),"")))</f>
        <v/>
      </c>
      <c r="J554" s="17" t="str">
        <f aca="false">IF(B554="","",DATE(YEAR(B554),MONTH(B554),1))</f>
        <v/>
      </c>
    </row>
    <row r="555" customFormat="false" ht="15" hidden="false" customHeight="false" outlineLevel="0" collapsed="false">
      <c r="A555" s="20"/>
      <c r="B555" s="21"/>
      <c r="C555" s="20"/>
      <c r="D555" s="20"/>
      <c r="E555" s="20"/>
      <c r="F555" s="33"/>
      <c r="G555" s="20"/>
      <c r="H555" s="20"/>
      <c r="I555" s="8" t="str">
        <f aca="false">IF(C555="","",IFERROR(INDEX(Disputes!$C$5:$C$1004,MATCH(C555,Disputes!$A$5:$A$1004,0)),IFERROR(INDEX(Batches!$B$5:$B$64,MATCH(C555,Batches!$A$5:$A$64,0)),"")))</f>
        <v/>
      </c>
      <c r="J555" s="17" t="str">
        <f aca="false">IF(B555="","",DATE(YEAR(B555),MONTH(B555),1))</f>
        <v/>
      </c>
    </row>
    <row r="556" customFormat="false" ht="15" hidden="false" customHeight="false" outlineLevel="0" collapsed="false">
      <c r="A556" s="20"/>
      <c r="B556" s="21"/>
      <c r="C556" s="20"/>
      <c r="D556" s="20"/>
      <c r="E556" s="20"/>
      <c r="F556" s="33"/>
      <c r="G556" s="20"/>
      <c r="H556" s="20"/>
      <c r="I556" s="8" t="str">
        <f aca="false">IF(C556="","",IFERROR(INDEX(Disputes!$C$5:$C$1004,MATCH(C556,Disputes!$A$5:$A$1004,0)),IFERROR(INDEX(Batches!$B$5:$B$64,MATCH(C556,Batches!$A$5:$A$64,0)),"")))</f>
        <v/>
      </c>
      <c r="J556" s="17" t="str">
        <f aca="false">IF(B556="","",DATE(YEAR(B556),MONTH(B556),1))</f>
        <v/>
      </c>
    </row>
    <row r="557" customFormat="false" ht="15" hidden="false" customHeight="false" outlineLevel="0" collapsed="false">
      <c r="A557" s="20"/>
      <c r="B557" s="21"/>
      <c r="C557" s="20"/>
      <c r="D557" s="20"/>
      <c r="E557" s="20"/>
      <c r="F557" s="33"/>
      <c r="G557" s="20"/>
      <c r="H557" s="20"/>
      <c r="I557" s="8" t="str">
        <f aca="false">IF(C557="","",IFERROR(INDEX(Disputes!$C$5:$C$1004,MATCH(C557,Disputes!$A$5:$A$1004,0)),IFERROR(INDEX(Batches!$B$5:$B$64,MATCH(C557,Batches!$A$5:$A$64,0)),"")))</f>
        <v/>
      </c>
      <c r="J557" s="17" t="str">
        <f aca="false">IF(B557="","",DATE(YEAR(B557),MONTH(B557),1))</f>
        <v/>
      </c>
    </row>
    <row r="558" customFormat="false" ht="15" hidden="false" customHeight="false" outlineLevel="0" collapsed="false">
      <c r="A558" s="20"/>
      <c r="B558" s="21"/>
      <c r="C558" s="20"/>
      <c r="D558" s="20"/>
      <c r="E558" s="20"/>
      <c r="F558" s="33"/>
      <c r="G558" s="20"/>
      <c r="H558" s="20"/>
      <c r="I558" s="8" t="str">
        <f aca="false">IF(C558="","",IFERROR(INDEX(Disputes!$C$5:$C$1004,MATCH(C558,Disputes!$A$5:$A$1004,0)),IFERROR(INDEX(Batches!$B$5:$B$64,MATCH(C558,Batches!$A$5:$A$64,0)),"")))</f>
        <v/>
      </c>
      <c r="J558" s="17" t="str">
        <f aca="false">IF(B558="","",DATE(YEAR(B558),MONTH(B558),1))</f>
        <v/>
      </c>
    </row>
    <row r="559" customFormat="false" ht="15" hidden="false" customHeight="false" outlineLevel="0" collapsed="false">
      <c r="A559" s="20"/>
      <c r="B559" s="21"/>
      <c r="C559" s="20"/>
      <c r="D559" s="20"/>
      <c r="E559" s="20"/>
      <c r="F559" s="33"/>
      <c r="G559" s="20"/>
      <c r="H559" s="20"/>
      <c r="I559" s="8" t="str">
        <f aca="false">IF(C559="","",IFERROR(INDEX(Disputes!$C$5:$C$1004,MATCH(C559,Disputes!$A$5:$A$1004,0)),IFERROR(INDEX(Batches!$B$5:$B$64,MATCH(C559,Batches!$A$5:$A$64,0)),"")))</f>
        <v/>
      </c>
      <c r="J559" s="17" t="str">
        <f aca="false">IF(B559="","",DATE(YEAR(B559),MONTH(B559),1))</f>
        <v/>
      </c>
    </row>
    <row r="560" customFormat="false" ht="15" hidden="false" customHeight="false" outlineLevel="0" collapsed="false">
      <c r="A560" s="20"/>
      <c r="B560" s="21"/>
      <c r="C560" s="20"/>
      <c r="D560" s="20"/>
      <c r="E560" s="20"/>
      <c r="F560" s="33"/>
      <c r="G560" s="20"/>
      <c r="H560" s="20"/>
      <c r="I560" s="8" t="str">
        <f aca="false">IF(C560="","",IFERROR(INDEX(Disputes!$C$5:$C$1004,MATCH(C560,Disputes!$A$5:$A$1004,0)),IFERROR(INDEX(Batches!$B$5:$B$64,MATCH(C560,Batches!$A$5:$A$64,0)),"")))</f>
        <v/>
      </c>
      <c r="J560" s="17" t="str">
        <f aca="false">IF(B560="","",DATE(YEAR(B560),MONTH(B560),1))</f>
        <v/>
      </c>
    </row>
    <row r="561" customFormat="false" ht="15" hidden="false" customHeight="false" outlineLevel="0" collapsed="false">
      <c r="A561" s="20"/>
      <c r="B561" s="21"/>
      <c r="C561" s="20"/>
      <c r="D561" s="20"/>
      <c r="E561" s="20"/>
      <c r="F561" s="33"/>
      <c r="G561" s="20"/>
      <c r="H561" s="20"/>
      <c r="I561" s="8" t="str">
        <f aca="false">IF(C561="","",IFERROR(INDEX(Disputes!$C$5:$C$1004,MATCH(C561,Disputes!$A$5:$A$1004,0)),IFERROR(INDEX(Batches!$B$5:$B$64,MATCH(C561,Batches!$A$5:$A$64,0)),"")))</f>
        <v/>
      </c>
      <c r="J561" s="17" t="str">
        <f aca="false">IF(B561="","",DATE(YEAR(B561),MONTH(B561),1))</f>
        <v/>
      </c>
    </row>
    <row r="562" customFormat="false" ht="15" hidden="false" customHeight="false" outlineLevel="0" collapsed="false">
      <c r="A562" s="20"/>
      <c r="B562" s="21"/>
      <c r="C562" s="20"/>
      <c r="D562" s="20"/>
      <c r="E562" s="20"/>
      <c r="F562" s="33"/>
      <c r="G562" s="20"/>
      <c r="H562" s="20"/>
      <c r="I562" s="8" t="str">
        <f aca="false">IF(C562="","",IFERROR(INDEX(Disputes!$C$5:$C$1004,MATCH(C562,Disputes!$A$5:$A$1004,0)),IFERROR(INDEX(Batches!$B$5:$B$64,MATCH(C562,Batches!$A$5:$A$64,0)),"")))</f>
        <v/>
      </c>
      <c r="J562" s="17" t="str">
        <f aca="false">IF(B562="","",DATE(YEAR(B562),MONTH(B562),1))</f>
        <v/>
      </c>
    </row>
    <row r="563" customFormat="false" ht="15" hidden="false" customHeight="false" outlineLevel="0" collapsed="false">
      <c r="A563" s="20"/>
      <c r="B563" s="21"/>
      <c r="C563" s="20"/>
      <c r="D563" s="20"/>
      <c r="E563" s="20"/>
      <c r="F563" s="33"/>
      <c r="G563" s="20"/>
      <c r="H563" s="20"/>
      <c r="I563" s="8" t="str">
        <f aca="false">IF(C563="","",IFERROR(INDEX(Disputes!$C$5:$C$1004,MATCH(C563,Disputes!$A$5:$A$1004,0)),IFERROR(INDEX(Batches!$B$5:$B$64,MATCH(C563,Batches!$A$5:$A$64,0)),"")))</f>
        <v/>
      </c>
      <c r="J563" s="17" t="str">
        <f aca="false">IF(B563="","",DATE(YEAR(B563),MONTH(B563),1))</f>
        <v/>
      </c>
    </row>
    <row r="564" customFormat="false" ht="15" hidden="false" customHeight="false" outlineLevel="0" collapsed="false">
      <c r="A564" s="20"/>
      <c r="B564" s="21"/>
      <c r="C564" s="20"/>
      <c r="D564" s="20"/>
      <c r="E564" s="20"/>
      <c r="F564" s="33"/>
      <c r="G564" s="20"/>
      <c r="H564" s="20"/>
      <c r="I564" s="8" t="str">
        <f aca="false">IF(C564="","",IFERROR(INDEX(Disputes!$C$5:$C$1004,MATCH(C564,Disputes!$A$5:$A$1004,0)),IFERROR(INDEX(Batches!$B$5:$B$64,MATCH(C564,Batches!$A$5:$A$64,0)),"")))</f>
        <v/>
      </c>
      <c r="J564" s="17" t="str">
        <f aca="false">IF(B564="","",DATE(YEAR(B564),MONTH(B564),1))</f>
        <v/>
      </c>
    </row>
    <row r="565" customFormat="false" ht="15" hidden="false" customHeight="false" outlineLevel="0" collapsed="false">
      <c r="A565" s="20"/>
      <c r="B565" s="21"/>
      <c r="C565" s="20"/>
      <c r="D565" s="20"/>
      <c r="E565" s="20"/>
      <c r="F565" s="33"/>
      <c r="G565" s="20"/>
      <c r="H565" s="20"/>
      <c r="I565" s="8" t="str">
        <f aca="false">IF(C565="","",IFERROR(INDEX(Disputes!$C$5:$C$1004,MATCH(C565,Disputes!$A$5:$A$1004,0)),IFERROR(INDEX(Batches!$B$5:$B$64,MATCH(C565,Batches!$A$5:$A$64,0)),"")))</f>
        <v/>
      </c>
      <c r="J565" s="17" t="str">
        <f aca="false">IF(B565="","",DATE(YEAR(B565),MONTH(B565),1))</f>
        <v/>
      </c>
    </row>
    <row r="566" customFormat="false" ht="15" hidden="false" customHeight="false" outlineLevel="0" collapsed="false">
      <c r="A566" s="20"/>
      <c r="B566" s="21"/>
      <c r="C566" s="20"/>
      <c r="D566" s="20"/>
      <c r="E566" s="20"/>
      <c r="F566" s="33"/>
      <c r="G566" s="20"/>
      <c r="H566" s="20"/>
      <c r="I566" s="8" t="str">
        <f aca="false">IF(C566="","",IFERROR(INDEX(Disputes!$C$5:$C$1004,MATCH(C566,Disputes!$A$5:$A$1004,0)),IFERROR(INDEX(Batches!$B$5:$B$64,MATCH(C566,Batches!$A$5:$A$64,0)),"")))</f>
        <v/>
      </c>
      <c r="J566" s="17" t="str">
        <f aca="false">IF(B566="","",DATE(YEAR(B566),MONTH(B566),1))</f>
        <v/>
      </c>
    </row>
    <row r="567" customFormat="false" ht="15" hidden="false" customHeight="false" outlineLevel="0" collapsed="false">
      <c r="A567" s="20"/>
      <c r="B567" s="21"/>
      <c r="C567" s="20"/>
      <c r="D567" s="20"/>
      <c r="E567" s="20"/>
      <c r="F567" s="33"/>
      <c r="G567" s="20"/>
      <c r="H567" s="20"/>
      <c r="I567" s="8" t="str">
        <f aca="false">IF(C567="","",IFERROR(INDEX(Disputes!$C$5:$C$1004,MATCH(C567,Disputes!$A$5:$A$1004,0)),IFERROR(INDEX(Batches!$B$5:$B$64,MATCH(C567,Batches!$A$5:$A$64,0)),"")))</f>
        <v/>
      </c>
      <c r="J567" s="17" t="str">
        <f aca="false">IF(B567="","",DATE(YEAR(B567),MONTH(B567),1))</f>
        <v/>
      </c>
    </row>
    <row r="568" customFormat="false" ht="15" hidden="false" customHeight="false" outlineLevel="0" collapsed="false">
      <c r="A568" s="20"/>
      <c r="B568" s="21"/>
      <c r="C568" s="20"/>
      <c r="D568" s="20"/>
      <c r="E568" s="20"/>
      <c r="F568" s="33"/>
      <c r="G568" s="20"/>
      <c r="H568" s="20"/>
      <c r="I568" s="8" t="str">
        <f aca="false">IF(C568="","",IFERROR(INDEX(Disputes!$C$5:$C$1004,MATCH(C568,Disputes!$A$5:$A$1004,0)),IFERROR(INDEX(Batches!$B$5:$B$64,MATCH(C568,Batches!$A$5:$A$64,0)),"")))</f>
        <v/>
      </c>
      <c r="J568" s="17" t="str">
        <f aca="false">IF(B568="","",DATE(YEAR(B568),MONTH(B568),1))</f>
        <v/>
      </c>
    </row>
    <row r="569" customFormat="false" ht="15" hidden="false" customHeight="false" outlineLevel="0" collapsed="false">
      <c r="A569" s="20"/>
      <c r="B569" s="21"/>
      <c r="C569" s="20"/>
      <c r="D569" s="20"/>
      <c r="E569" s="20"/>
      <c r="F569" s="33"/>
      <c r="G569" s="20"/>
      <c r="H569" s="20"/>
      <c r="I569" s="8" t="str">
        <f aca="false">IF(C569="","",IFERROR(INDEX(Disputes!$C$5:$C$1004,MATCH(C569,Disputes!$A$5:$A$1004,0)),IFERROR(INDEX(Batches!$B$5:$B$64,MATCH(C569,Batches!$A$5:$A$64,0)),"")))</f>
        <v/>
      </c>
      <c r="J569" s="17" t="str">
        <f aca="false">IF(B569="","",DATE(YEAR(B569),MONTH(B569),1))</f>
        <v/>
      </c>
    </row>
    <row r="570" customFormat="false" ht="15" hidden="false" customHeight="false" outlineLevel="0" collapsed="false">
      <c r="A570" s="20"/>
      <c r="B570" s="21"/>
      <c r="C570" s="20"/>
      <c r="D570" s="20"/>
      <c r="E570" s="20"/>
      <c r="F570" s="33"/>
      <c r="G570" s="20"/>
      <c r="H570" s="20"/>
      <c r="I570" s="8" t="str">
        <f aca="false">IF(C570="","",IFERROR(INDEX(Disputes!$C$5:$C$1004,MATCH(C570,Disputes!$A$5:$A$1004,0)),IFERROR(INDEX(Batches!$B$5:$B$64,MATCH(C570,Batches!$A$5:$A$64,0)),"")))</f>
        <v/>
      </c>
      <c r="J570" s="17" t="str">
        <f aca="false">IF(B570="","",DATE(YEAR(B570),MONTH(B570),1))</f>
        <v/>
      </c>
    </row>
    <row r="571" customFormat="false" ht="15" hidden="false" customHeight="false" outlineLevel="0" collapsed="false">
      <c r="A571" s="20"/>
      <c r="B571" s="21"/>
      <c r="C571" s="20"/>
      <c r="D571" s="20"/>
      <c r="E571" s="20"/>
      <c r="F571" s="33"/>
      <c r="G571" s="20"/>
      <c r="H571" s="20"/>
      <c r="I571" s="8" t="str">
        <f aca="false">IF(C571="","",IFERROR(INDEX(Disputes!$C$5:$C$1004,MATCH(C571,Disputes!$A$5:$A$1004,0)),IFERROR(INDEX(Batches!$B$5:$B$64,MATCH(C571,Batches!$A$5:$A$64,0)),"")))</f>
        <v/>
      </c>
      <c r="J571" s="17" t="str">
        <f aca="false">IF(B571="","",DATE(YEAR(B571),MONTH(B571),1))</f>
        <v/>
      </c>
    </row>
    <row r="572" customFormat="false" ht="15" hidden="false" customHeight="false" outlineLevel="0" collapsed="false">
      <c r="A572" s="20"/>
      <c r="B572" s="21"/>
      <c r="C572" s="20"/>
      <c r="D572" s="20"/>
      <c r="E572" s="20"/>
      <c r="F572" s="33"/>
      <c r="G572" s="20"/>
      <c r="H572" s="20"/>
      <c r="I572" s="8" t="str">
        <f aca="false">IF(C572="","",IFERROR(INDEX(Disputes!$C$5:$C$1004,MATCH(C572,Disputes!$A$5:$A$1004,0)),IFERROR(INDEX(Batches!$B$5:$B$64,MATCH(C572,Batches!$A$5:$A$64,0)),"")))</f>
        <v/>
      </c>
      <c r="J572" s="17" t="str">
        <f aca="false">IF(B572="","",DATE(YEAR(B572),MONTH(B572),1))</f>
        <v/>
      </c>
    </row>
    <row r="573" customFormat="false" ht="15" hidden="false" customHeight="false" outlineLevel="0" collapsed="false">
      <c r="A573" s="20"/>
      <c r="B573" s="21"/>
      <c r="C573" s="20"/>
      <c r="D573" s="20"/>
      <c r="E573" s="20"/>
      <c r="F573" s="33"/>
      <c r="G573" s="20"/>
      <c r="H573" s="20"/>
      <c r="I573" s="8" t="str">
        <f aca="false">IF(C573="","",IFERROR(INDEX(Disputes!$C$5:$C$1004,MATCH(C573,Disputes!$A$5:$A$1004,0)),IFERROR(INDEX(Batches!$B$5:$B$64,MATCH(C573,Batches!$A$5:$A$64,0)),"")))</f>
        <v/>
      </c>
      <c r="J573" s="17" t="str">
        <f aca="false">IF(B573="","",DATE(YEAR(B573),MONTH(B573),1))</f>
        <v/>
      </c>
    </row>
    <row r="574" customFormat="false" ht="15" hidden="false" customHeight="false" outlineLevel="0" collapsed="false">
      <c r="A574" s="20"/>
      <c r="B574" s="21"/>
      <c r="C574" s="20"/>
      <c r="D574" s="20"/>
      <c r="E574" s="20"/>
      <c r="F574" s="33"/>
      <c r="G574" s="20"/>
      <c r="H574" s="20"/>
      <c r="I574" s="8" t="str">
        <f aca="false">IF(C574="","",IFERROR(INDEX(Disputes!$C$5:$C$1004,MATCH(C574,Disputes!$A$5:$A$1004,0)),IFERROR(INDEX(Batches!$B$5:$B$64,MATCH(C574,Batches!$A$5:$A$64,0)),"")))</f>
        <v/>
      </c>
      <c r="J574" s="17" t="str">
        <f aca="false">IF(B574="","",DATE(YEAR(B574),MONTH(B574),1))</f>
        <v/>
      </c>
    </row>
    <row r="575" customFormat="false" ht="15" hidden="false" customHeight="false" outlineLevel="0" collapsed="false">
      <c r="A575" s="20"/>
      <c r="B575" s="21"/>
      <c r="C575" s="20"/>
      <c r="D575" s="20"/>
      <c r="E575" s="20"/>
      <c r="F575" s="33"/>
      <c r="G575" s="20"/>
      <c r="H575" s="20"/>
      <c r="I575" s="8" t="str">
        <f aca="false">IF(C575="","",IFERROR(INDEX(Disputes!$C$5:$C$1004,MATCH(C575,Disputes!$A$5:$A$1004,0)),IFERROR(INDEX(Batches!$B$5:$B$64,MATCH(C575,Batches!$A$5:$A$64,0)),"")))</f>
        <v/>
      </c>
      <c r="J575" s="17" t="str">
        <f aca="false">IF(B575="","",DATE(YEAR(B575),MONTH(B575),1))</f>
        <v/>
      </c>
    </row>
    <row r="576" customFormat="false" ht="15" hidden="false" customHeight="false" outlineLevel="0" collapsed="false">
      <c r="A576" s="20"/>
      <c r="B576" s="21"/>
      <c r="C576" s="20"/>
      <c r="D576" s="20"/>
      <c r="E576" s="20"/>
      <c r="F576" s="33"/>
      <c r="G576" s="20"/>
      <c r="H576" s="20"/>
      <c r="I576" s="8" t="str">
        <f aca="false">IF(C576="","",IFERROR(INDEX(Disputes!$C$5:$C$1004,MATCH(C576,Disputes!$A$5:$A$1004,0)),IFERROR(INDEX(Batches!$B$5:$B$64,MATCH(C576,Batches!$A$5:$A$64,0)),"")))</f>
        <v/>
      </c>
      <c r="J576" s="17" t="str">
        <f aca="false">IF(B576="","",DATE(YEAR(B576),MONTH(B576),1))</f>
        <v/>
      </c>
    </row>
    <row r="577" customFormat="false" ht="15" hidden="false" customHeight="false" outlineLevel="0" collapsed="false">
      <c r="A577" s="20"/>
      <c r="B577" s="21"/>
      <c r="C577" s="20"/>
      <c r="D577" s="20"/>
      <c r="E577" s="20"/>
      <c r="F577" s="33"/>
      <c r="G577" s="20"/>
      <c r="H577" s="20"/>
      <c r="I577" s="8" t="str">
        <f aca="false">IF(C577="","",IFERROR(INDEX(Disputes!$C$5:$C$1004,MATCH(C577,Disputes!$A$5:$A$1004,0)),IFERROR(INDEX(Batches!$B$5:$B$64,MATCH(C577,Batches!$A$5:$A$64,0)),"")))</f>
        <v/>
      </c>
      <c r="J577" s="17" t="str">
        <f aca="false">IF(B577="","",DATE(YEAR(B577),MONTH(B577),1))</f>
        <v/>
      </c>
    </row>
    <row r="578" customFormat="false" ht="15" hidden="false" customHeight="false" outlineLevel="0" collapsed="false">
      <c r="A578" s="20"/>
      <c r="B578" s="21"/>
      <c r="C578" s="20"/>
      <c r="D578" s="20"/>
      <c r="E578" s="20"/>
      <c r="F578" s="33"/>
      <c r="G578" s="20"/>
      <c r="H578" s="20"/>
      <c r="I578" s="8" t="str">
        <f aca="false">IF(C578="","",IFERROR(INDEX(Disputes!$C$5:$C$1004,MATCH(C578,Disputes!$A$5:$A$1004,0)),IFERROR(INDEX(Batches!$B$5:$B$64,MATCH(C578,Batches!$A$5:$A$64,0)),"")))</f>
        <v/>
      </c>
      <c r="J578" s="17" t="str">
        <f aca="false">IF(B578="","",DATE(YEAR(B578),MONTH(B578),1))</f>
        <v/>
      </c>
    </row>
    <row r="579" customFormat="false" ht="15" hidden="false" customHeight="false" outlineLevel="0" collapsed="false">
      <c r="A579" s="20"/>
      <c r="B579" s="21"/>
      <c r="C579" s="20"/>
      <c r="D579" s="20"/>
      <c r="E579" s="20"/>
      <c r="F579" s="33"/>
      <c r="G579" s="20"/>
      <c r="H579" s="20"/>
      <c r="I579" s="8" t="str">
        <f aca="false">IF(C579="","",IFERROR(INDEX(Disputes!$C$5:$C$1004,MATCH(C579,Disputes!$A$5:$A$1004,0)),IFERROR(INDEX(Batches!$B$5:$B$64,MATCH(C579,Batches!$A$5:$A$64,0)),"")))</f>
        <v/>
      </c>
      <c r="J579" s="17" t="str">
        <f aca="false">IF(B579="","",DATE(YEAR(B579),MONTH(B579),1))</f>
        <v/>
      </c>
    </row>
    <row r="580" customFormat="false" ht="15" hidden="false" customHeight="false" outlineLevel="0" collapsed="false">
      <c r="A580" s="20"/>
      <c r="B580" s="21"/>
      <c r="C580" s="20"/>
      <c r="D580" s="20"/>
      <c r="E580" s="20"/>
      <c r="F580" s="33"/>
      <c r="G580" s="20"/>
      <c r="H580" s="20"/>
      <c r="I580" s="8" t="str">
        <f aca="false">IF(C580="","",IFERROR(INDEX(Disputes!$C$5:$C$1004,MATCH(C580,Disputes!$A$5:$A$1004,0)),IFERROR(INDEX(Batches!$B$5:$B$64,MATCH(C580,Batches!$A$5:$A$64,0)),"")))</f>
        <v/>
      </c>
      <c r="J580" s="17" t="str">
        <f aca="false">IF(B580="","",DATE(YEAR(B580),MONTH(B580),1))</f>
        <v/>
      </c>
    </row>
    <row r="581" customFormat="false" ht="15" hidden="false" customHeight="false" outlineLevel="0" collapsed="false">
      <c r="A581" s="20"/>
      <c r="B581" s="21"/>
      <c r="C581" s="20"/>
      <c r="D581" s="20"/>
      <c r="E581" s="20"/>
      <c r="F581" s="33"/>
      <c r="G581" s="20"/>
      <c r="H581" s="20"/>
      <c r="I581" s="8" t="str">
        <f aca="false">IF(C581="","",IFERROR(INDEX(Disputes!$C$5:$C$1004,MATCH(C581,Disputes!$A$5:$A$1004,0)),IFERROR(INDEX(Batches!$B$5:$B$64,MATCH(C581,Batches!$A$5:$A$64,0)),"")))</f>
        <v/>
      </c>
      <c r="J581" s="17" t="str">
        <f aca="false">IF(B581="","",DATE(YEAR(B581),MONTH(B581),1))</f>
        <v/>
      </c>
    </row>
    <row r="582" customFormat="false" ht="15" hidden="false" customHeight="false" outlineLevel="0" collapsed="false">
      <c r="A582" s="20"/>
      <c r="B582" s="21"/>
      <c r="C582" s="20"/>
      <c r="D582" s="20"/>
      <c r="E582" s="20"/>
      <c r="F582" s="33"/>
      <c r="G582" s="20"/>
      <c r="H582" s="20"/>
      <c r="I582" s="8" t="str">
        <f aca="false">IF(C582="","",IFERROR(INDEX(Disputes!$C$5:$C$1004,MATCH(C582,Disputes!$A$5:$A$1004,0)),IFERROR(INDEX(Batches!$B$5:$B$64,MATCH(C582,Batches!$A$5:$A$64,0)),"")))</f>
        <v/>
      </c>
      <c r="J582" s="17" t="str">
        <f aca="false">IF(B582="","",DATE(YEAR(B582),MONTH(B582),1))</f>
        <v/>
      </c>
    </row>
    <row r="583" customFormat="false" ht="15" hidden="false" customHeight="false" outlineLevel="0" collapsed="false">
      <c r="A583" s="20"/>
      <c r="B583" s="21"/>
      <c r="C583" s="20"/>
      <c r="D583" s="20"/>
      <c r="E583" s="20"/>
      <c r="F583" s="33"/>
      <c r="G583" s="20"/>
      <c r="H583" s="20"/>
      <c r="I583" s="8" t="str">
        <f aca="false">IF(C583="","",IFERROR(INDEX(Disputes!$C$5:$C$1004,MATCH(C583,Disputes!$A$5:$A$1004,0)),IFERROR(INDEX(Batches!$B$5:$B$64,MATCH(C583,Batches!$A$5:$A$64,0)),"")))</f>
        <v/>
      </c>
      <c r="J583" s="17" t="str">
        <f aca="false">IF(B583="","",DATE(YEAR(B583),MONTH(B583),1))</f>
        <v/>
      </c>
    </row>
    <row r="584" customFormat="false" ht="15" hidden="false" customHeight="false" outlineLevel="0" collapsed="false">
      <c r="A584" s="20"/>
      <c r="B584" s="21"/>
      <c r="C584" s="20"/>
      <c r="D584" s="20"/>
      <c r="E584" s="20"/>
      <c r="F584" s="33"/>
      <c r="G584" s="20"/>
      <c r="H584" s="20"/>
      <c r="I584" s="8" t="str">
        <f aca="false">IF(C584="","",IFERROR(INDEX(Disputes!$C$5:$C$1004,MATCH(C584,Disputes!$A$5:$A$1004,0)),IFERROR(INDEX(Batches!$B$5:$B$64,MATCH(C584,Batches!$A$5:$A$64,0)),"")))</f>
        <v/>
      </c>
      <c r="J584" s="17" t="str">
        <f aca="false">IF(B584="","",DATE(YEAR(B584),MONTH(B584),1))</f>
        <v/>
      </c>
    </row>
    <row r="585" customFormat="false" ht="15" hidden="false" customHeight="false" outlineLevel="0" collapsed="false">
      <c r="A585" s="20"/>
      <c r="B585" s="21"/>
      <c r="C585" s="20"/>
      <c r="D585" s="20"/>
      <c r="E585" s="20"/>
      <c r="F585" s="33"/>
      <c r="G585" s="20"/>
      <c r="H585" s="20"/>
      <c r="I585" s="8" t="str">
        <f aca="false">IF(C585="","",IFERROR(INDEX(Disputes!$C$5:$C$1004,MATCH(C585,Disputes!$A$5:$A$1004,0)),IFERROR(INDEX(Batches!$B$5:$B$64,MATCH(C585,Batches!$A$5:$A$64,0)),"")))</f>
        <v/>
      </c>
      <c r="J585" s="17" t="str">
        <f aca="false">IF(B585="","",DATE(YEAR(B585),MONTH(B585),1))</f>
        <v/>
      </c>
    </row>
    <row r="586" customFormat="false" ht="15" hidden="false" customHeight="false" outlineLevel="0" collapsed="false">
      <c r="A586" s="20"/>
      <c r="B586" s="21"/>
      <c r="C586" s="20"/>
      <c r="D586" s="20"/>
      <c r="E586" s="20"/>
      <c r="F586" s="33"/>
      <c r="G586" s="20"/>
      <c r="H586" s="20"/>
      <c r="I586" s="8" t="str">
        <f aca="false">IF(C586="","",IFERROR(INDEX(Disputes!$C$5:$C$1004,MATCH(C586,Disputes!$A$5:$A$1004,0)),IFERROR(INDEX(Batches!$B$5:$B$64,MATCH(C586,Batches!$A$5:$A$64,0)),"")))</f>
        <v/>
      </c>
      <c r="J586" s="17" t="str">
        <f aca="false">IF(B586="","",DATE(YEAR(B586),MONTH(B586),1))</f>
        <v/>
      </c>
    </row>
    <row r="587" customFormat="false" ht="15" hidden="false" customHeight="false" outlineLevel="0" collapsed="false">
      <c r="A587" s="20"/>
      <c r="B587" s="21"/>
      <c r="C587" s="20"/>
      <c r="D587" s="20"/>
      <c r="E587" s="20"/>
      <c r="F587" s="33"/>
      <c r="G587" s="20"/>
      <c r="H587" s="20"/>
      <c r="I587" s="8" t="str">
        <f aca="false">IF(C587="","",IFERROR(INDEX(Disputes!$C$5:$C$1004,MATCH(C587,Disputes!$A$5:$A$1004,0)),IFERROR(INDEX(Batches!$B$5:$B$64,MATCH(C587,Batches!$A$5:$A$64,0)),"")))</f>
        <v/>
      </c>
      <c r="J587" s="17" t="str">
        <f aca="false">IF(B587="","",DATE(YEAR(B587),MONTH(B587),1))</f>
        <v/>
      </c>
    </row>
    <row r="588" customFormat="false" ht="15" hidden="false" customHeight="false" outlineLevel="0" collapsed="false">
      <c r="A588" s="20"/>
      <c r="B588" s="21"/>
      <c r="C588" s="20"/>
      <c r="D588" s="20"/>
      <c r="E588" s="20"/>
      <c r="F588" s="33"/>
      <c r="G588" s="20"/>
      <c r="H588" s="20"/>
      <c r="I588" s="8" t="str">
        <f aca="false">IF(C588="","",IFERROR(INDEX(Disputes!$C$5:$C$1004,MATCH(C588,Disputes!$A$5:$A$1004,0)),IFERROR(INDEX(Batches!$B$5:$B$64,MATCH(C588,Batches!$A$5:$A$64,0)),"")))</f>
        <v/>
      </c>
      <c r="J588" s="17" t="str">
        <f aca="false">IF(B588="","",DATE(YEAR(B588),MONTH(B588),1))</f>
        <v/>
      </c>
    </row>
    <row r="589" customFormat="false" ht="15" hidden="false" customHeight="false" outlineLevel="0" collapsed="false">
      <c r="A589" s="20"/>
      <c r="B589" s="21"/>
      <c r="C589" s="20"/>
      <c r="D589" s="20"/>
      <c r="E589" s="20"/>
      <c r="F589" s="33"/>
      <c r="G589" s="20"/>
      <c r="H589" s="20"/>
      <c r="I589" s="8" t="str">
        <f aca="false">IF(C589="","",IFERROR(INDEX(Disputes!$C$5:$C$1004,MATCH(C589,Disputes!$A$5:$A$1004,0)),IFERROR(INDEX(Batches!$B$5:$B$64,MATCH(C589,Batches!$A$5:$A$64,0)),"")))</f>
        <v/>
      </c>
      <c r="J589" s="17" t="str">
        <f aca="false">IF(B589="","",DATE(YEAR(B589),MONTH(B589),1))</f>
        <v/>
      </c>
    </row>
    <row r="590" customFormat="false" ht="15" hidden="false" customHeight="false" outlineLevel="0" collapsed="false">
      <c r="A590" s="20"/>
      <c r="B590" s="21"/>
      <c r="C590" s="20"/>
      <c r="D590" s="20"/>
      <c r="E590" s="20"/>
      <c r="F590" s="33"/>
      <c r="G590" s="20"/>
      <c r="H590" s="20"/>
      <c r="I590" s="8" t="str">
        <f aca="false">IF(C590="","",IFERROR(INDEX(Disputes!$C$5:$C$1004,MATCH(C590,Disputes!$A$5:$A$1004,0)),IFERROR(INDEX(Batches!$B$5:$B$64,MATCH(C590,Batches!$A$5:$A$64,0)),"")))</f>
        <v/>
      </c>
      <c r="J590" s="17" t="str">
        <f aca="false">IF(B590="","",DATE(YEAR(B590),MONTH(B590),1))</f>
        <v/>
      </c>
    </row>
    <row r="591" customFormat="false" ht="15" hidden="false" customHeight="false" outlineLevel="0" collapsed="false">
      <c r="A591" s="20"/>
      <c r="B591" s="21"/>
      <c r="C591" s="20"/>
      <c r="D591" s="20"/>
      <c r="E591" s="20"/>
      <c r="F591" s="33"/>
      <c r="G591" s="20"/>
      <c r="H591" s="20"/>
      <c r="I591" s="8" t="str">
        <f aca="false">IF(C591="","",IFERROR(INDEX(Disputes!$C$5:$C$1004,MATCH(C591,Disputes!$A$5:$A$1004,0)),IFERROR(INDEX(Batches!$B$5:$B$64,MATCH(C591,Batches!$A$5:$A$64,0)),"")))</f>
        <v/>
      </c>
      <c r="J591" s="17" t="str">
        <f aca="false">IF(B591="","",DATE(YEAR(B591),MONTH(B591),1))</f>
        <v/>
      </c>
    </row>
    <row r="592" customFormat="false" ht="15" hidden="false" customHeight="false" outlineLevel="0" collapsed="false">
      <c r="A592" s="20"/>
      <c r="B592" s="21"/>
      <c r="C592" s="20"/>
      <c r="D592" s="20"/>
      <c r="E592" s="20"/>
      <c r="F592" s="33"/>
      <c r="G592" s="20"/>
      <c r="H592" s="20"/>
      <c r="I592" s="8" t="str">
        <f aca="false">IF(C592="","",IFERROR(INDEX(Disputes!$C$5:$C$1004,MATCH(C592,Disputes!$A$5:$A$1004,0)),IFERROR(INDEX(Batches!$B$5:$B$64,MATCH(C592,Batches!$A$5:$A$64,0)),"")))</f>
        <v/>
      </c>
      <c r="J592" s="17" t="str">
        <f aca="false">IF(B592="","",DATE(YEAR(B592),MONTH(B592),1))</f>
        <v/>
      </c>
    </row>
    <row r="593" customFormat="false" ht="15" hidden="false" customHeight="false" outlineLevel="0" collapsed="false">
      <c r="A593" s="20"/>
      <c r="B593" s="21"/>
      <c r="C593" s="20"/>
      <c r="D593" s="20"/>
      <c r="E593" s="20"/>
      <c r="F593" s="33"/>
      <c r="G593" s="20"/>
      <c r="H593" s="20"/>
      <c r="I593" s="8" t="str">
        <f aca="false">IF(C593="","",IFERROR(INDEX(Disputes!$C$5:$C$1004,MATCH(C593,Disputes!$A$5:$A$1004,0)),IFERROR(INDEX(Batches!$B$5:$B$64,MATCH(C593,Batches!$A$5:$A$64,0)),"")))</f>
        <v/>
      </c>
      <c r="J593" s="17" t="str">
        <f aca="false">IF(B593="","",DATE(YEAR(B593),MONTH(B593),1))</f>
        <v/>
      </c>
    </row>
    <row r="594" customFormat="false" ht="15" hidden="false" customHeight="false" outlineLevel="0" collapsed="false">
      <c r="A594" s="20"/>
      <c r="B594" s="21"/>
      <c r="C594" s="20"/>
      <c r="D594" s="20"/>
      <c r="E594" s="20"/>
      <c r="F594" s="33"/>
      <c r="G594" s="20"/>
      <c r="H594" s="20"/>
      <c r="I594" s="8" t="str">
        <f aca="false">IF(C594="","",IFERROR(INDEX(Disputes!$C$5:$C$1004,MATCH(C594,Disputes!$A$5:$A$1004,0)),IFERROR(INDEX(Batches!$B$5:$B$64,MATCH(C594,Batches!$A$5:$A$64,0)),"")))</f>
        <v/>
      </c>
      <c r="J594" s="17" t="str">
        <f aca="false">IF(B594="","",DATE(YEAR(B594),MONTH(B594),1))</f>
        <v/>
      </c>
    </row>
    <row r="595" customFormat="false" ht="15" hidden="false" customHeight="false" outlineLevel="0" collapsed="false">
      <c r="A595" s="20"/>
      <c r="B595" s="21"/>
      <c r="C595" s="20"/>
      <c r="D595" s="20"/>
      <c r="E595" s="20"/>
      <c r="F595" s="33"/>
      <c r="G595" s="20"/>
      <c r="H595" s="20"/>
      <c r="I595" s="8" t="str">
        <f aca="false">IF(C595="","",IFERROR(INDEX(Disputes!$C$5:$C$1004,MATCH(C595,Disputes!$A$5:$A$1004,0)),IFERROR(INDEX(Batches!$B$5:$B$64,MATCH(C595,Batches!$A$5:$A$64,0)),"")))</f>
        <v/>
      </c>
      <c r="J595" s="17" t="str">
        <f aca="false">IF(B595="","",DATE(YEAR(B595),MONTH(B595),1))</f>
        <v/>
      </c>
    </row>
    <row r="596" customFormat="false" ht="15" hidden="false" customHeight="false" outlineLevel="0" collapsed="false">
      <c r="A596" s="20"/>
      <c r="B596" s="21"/>
      <c r="C596" s="20"/>
      <c r="D596" s="20"/>
      <c r="E596" s="20"/>
      <c r="F596" s="33"/>
      <c r="G596" s="20"/>
      <c r="H596" s="20"/>
      <c r="I596" s="8" t="str">
        <f aca="false">IF(C596="","",IFERROR(INDEX(Disputes!$C$5:$C$1004,MATCH(C596,Disputes!$A$5:$A$1004,0)),IFERROR(INDEX(Batches!$B$5:$B$64,MATCH(C596,Batches!$A$5:$A$64,0)),"")))</f>
        <v/>
      </c>
      <c r="J596" s="17" t="str">
        <f aca="false">IF(B596="","",DATE(YEAR(B596),MONTH(B596),1))</f>
        <v/>
      </c>
    </row>
    <row r="597" customFormat="false" ht="15" hidden="false" customHeight="false" outlineLevel="0" collapsed="false">
      <c r="A597" s="20"/>
      <c r="B597" s="21"/>
      <c r="C597" s="20"/>
      <c r="D597" s="20"/>
      <c r="E597" s="20"/>
      <c r="F597" s="33"/>
      <c r="G597" s="20"/>
      <c r="H597" s="20"/>
      <c r="I597" s="8" t="str">
        <f aca="false">IF(C597="","",IFERROR(INDEX(Disputes!$C$5:$C$1004,MATCH(C597,Disputes!$A$5:$A$1004,0)),IFERROR(INDEX(Batches!$B$5:$B$64,MATCH(C597,Batches!$A$5:$A$64,0)),"")))</f>
        <v/>
      </c>
      <c r="J597" s="17" t="str">
        <f aca="false">IF(B597="","",DATE(YEAR(B597),MONTH(B597),1))</f>
        <v/>
      </c>
    </row>
    <row r="598" customFormat="false" ht="15" hidden="false" customHeight="false" outlineLevel="0" collapsed="false">
      <c r="A598" s="20"/>
      <c r="B598" s="21"/>
      <c r="C598" s="20"/>
      <c r="D598" s="20"/>
      <c r="E598" s="20"/>
      <c r="F598" s="33"/>
      <c r="G598" s="20"/>
      <c r="H598" s="20"/>
      <c r="I598" s="8" t="str">
        <f aca="false">IF(C598="","",IFERROR(INDEX(Disputes!$C$5:$C$1004,MATCH(C598,Disputes!$A$5:$A$1004,0)),IFERROR(INDEX(Batches!$B$5:$B$64,MATCH(C598,Batches!$A$5:$A$64,0)),"")))</f>
        <v/>
      </c>
      <c r="J598" s="17" t="str">
        <f aca="false">IF(B598="","",DATE(YEAR(B598),MONTH(B598),1))</f>
        <v/>
      </c>
    </row>
    <row r="599" customFormat="false" ht="15" hidden="false" customHeight="false" outlineLevel="0" collapsed="false">
      <c r="A599" s="20"/>
      <c r="B599" s="21"/>
      <c r="C599" s="20"/>
      <c r="D599" s="20"/>
      <c r="E599" s="20"/>
      <c r="F599" s="33"/>
      <c r="G599" s="20"/>
      <c r="H599" s="20"/>
      <c r="I599" s="8" t="str">
        <f aca="false">IF(C599="","",IFERROR(INDEX(Disputes!$C$5:$C$1004,MATCH(C599,Disputes!$A$5:$A$1004,0)),IFERROR(INDEX(Batches!$B$5:$B$64,MATCH(C599,Batches!$A$5:$A$64,0)),"")))</f>
        <v/>
      </c>
      <c r="J599" s="17" t="str">
        <f aca="false">IF(B599="","",DATE(YEAR(B599),MONTH(B599),1))</f>
        <v/>
      </c>
    </row>
    <row r="600" customFormat="false" ht="15" hidden="false" customHeight="false" outlineLevel="0" collapsed="false">
      <c r="A600" s="20"/>
      <c r="B600" s="21"/>
      <c r="C600" s="20"/>
      <c r="D600" s="20"/>
      <c r="E600" s="20"/>
      <c r="F600" s="33"/>
      <c r="G600" s="20"/>
      <c r="H600" s="20"/>
      <c r="I600" s="8" t="str">
        <f aca="false">IF(C600="","",IFERROR(INDEX(Disputes!$C$5:$C$1004,MATCH(C600,Disputes!$A$5:$A$1004,0)),IFERROR(INDEX(Batches!$B$5:$B$64,MATCH(C600,Batches!$A$5:$A$64,0)),"")))</f>
        <v/>
      </c>
      <c r="J600" s="17" t="str">
        <f aca="false">IF(B600="","",DATE(YEAR(B600),MONTH(B600),1))</f>
        <v/>
      </c>
    </row>
    <row r="601" customFormat="false" ht="15" hidden="false" customHeight="false" outlineLevel="0" collapsed="false">
      <c r="A601" s="20"/>
      <c r="B601" s="21"/>
      <c r="C601" s="20"/>
      <c r="D601" s="20"/>
      <c r="E601" s="20"/>
      <c r="F601" s="33"/>
      <c r="G601" s="20"/>
      <c r="H601" s="20"/>
      <c r="I601" s="8" t="str">
        <f aca="false">IF(C601="","",IFERROR(INDEX(Disputes!$C$5:$C$1004,MATCH(C601,Disputes!$A$5:$A$1004,0)),IFERROR(INDEX(Batches!$B$5:$B$64,MATCH(C601,Batches!$A$5:$A$64,0)),"")))</f>
        <v/>
      </c>
      <c r="J601" s="17" t="str">
        <f aca="false">IF(B601="","",DATE(YEAR(B601),MONTH(B601),1))</f>
        <v/>
      </c>
    </row>
    <row r="602" customFormat="false" ht="15" hidden="false" customHeight="false" outlineLevel="0" collapsed="false">
      <c r="A602" s="20"/>
      <c r="B602" s="21"/>
      <c r="C602" s="20"/>
      <c r="D602" s="20"/>
      <c r="E602" s="20"/>
      <c r="F602" s="33"/>
      <c r="G602" s="20"/>
      <c r="H602" s="20"/>
      <c r="I602" s="8" t="str">
        <f aca="false">IF(C602="","",IFERROR(INDEX(Disputes!$C$5:$C$1004,MATCH(C602,Disputes!$A$5:$A$1004,0)),IFERROR(INDEX(Batches!$B$5:$B$64,MATCH(C602,Batches!$A$5:$A$64,0)),"")))</f>
        <v/>
      </c>
      <c r="J602" s="17" t="str">
        <f aca="false">IF(B602="","",DATE(YEAR(B602),MONTH(B602),1))</f>
        <v/>
      </c>
    </row>
    <row r="603" customFormat="false" ht="15" hidden="false" customHeight="false" outlineLevel="0" collapsed="false">
      <c r="A603" s="20"/>
      <c r="B603" s="21"/>
      <c r="C603" s="20"/>
      <c r="D603" s="20"/>
      <c r="E603" s="20"/>
      <c r="F603" s="33"/>
      <c r="G603" s="20"/>
      <c r="H603" s="20"/>
      <c r="I603" s="8" t="str">
        <f aca="false">IF(C603="","",IFERROR(INDEX(Disputes!$C$5:$C$1004,MATCH(C603,Disputes!$A$5:$A$1004,0)),IFERROR(INDEX(Batches!$B$5:$B$64,MATCH(C603,Batches!$A$5:$A$64,0)),"")))</f>
        <v/>
      </c>
      <c r="J603" s="17" t="str">
        <f aca="false">IF(B603="","",DATE(YEAR(B603),MONTH(B603),1))</f>
        <v/>
      </c>
    </row>
    <row r="604" customFormat="false" ht="15" hidden="false" customHeight="false" outlineLevel="0" collapsed="false">
      <c r="A604" s="20"/>
      <c r="B604" s="21"/>
      <c r="C604" s="20"/>
      <c r="D604" s="20"/>
      <c r="E604" s="20"/>
      <c r="F604" s="33"/>
      <c r="G604" s="20"/>
      <c r="H604" s="20"/>
      <c r="I604" s="8" t="str">
        <f aca="false">IF(C604="","",IFERROR(INDEX(Disputes!$C$5:$C$1004,MATCH(C604,Disputes!$A$5:$A$1004,0)),IFERROR(INDEX(Batches!$B$5:$B$64,MATCH(C604,Batches!$A$5:$A$64,0)),"")))</f>
        <v/>
      </c>
      <c r="J604" s="17" t="str">
        <f aca="false">IF(B604="","",DATE(YEAR(B604),MONTH(B604),1))</f>
        <v/>
      </c>
    </row>
    <row r="605" customFormat="false" ht="15" hidden="false" customHeight="false" outlineLevel="0" collapsed="false">
      <c r="A605" s="20"/>
      <c r="B605" s="21"/>
      <c r="C605" s="20"/>
      <c r="D605" s="20"/>
      <c r="E605" s="20"/>
      <c r="F605" s="33"/>
      <c r="G605" s="20"/>
      <c r="H605" s="20"/>
      <c r="I605" s="8" t="str">
        <f aca="false">IF(C605="","",IFERROR(INDEX(Disputes!$C$5:$C$1004,MATCH(C605,Disputes!$A$5:$A$1004,0)),IFERROR(INDEX(Batches!$B$5:$B$64,MATCH(C605,Batches!$A$5:$A$64,0)),"")))</f>
        <v/>
      </c>
      <c r="J605" s="17" t="str">
        <f aca="false">IF(B605="","",DATE(YEAR(B605),MONTH(B605),1))</f>
        <v/>
      </c>
    </row>
    <row r="606" customFormat="false" ht="15" hidden="false" customHeight="false" outlineLevel="0" collapsed="false">
      <c r="A606" s="20"/>
      <c r="B606" s="21"/>
      <c r="C606" s="20"/>
      <c r="D606" s="20"/>
      <c r="E606" s="20"/>
      <c r="F606" s="33"/>
      <c r="G606" s="20"/>
      <c r="H606" s="20"/>
      <c r="I606" s="8" t="str">
        <f aca="false">IF(C606="","",IFERROR(INDEX(Disputes!$C$5:$C$1004,MATCH(C606,Disputes!$A$5:$A$1004,0)),IFERROR(INDEX(Batches!$B$5:$B$64,MATCH(C606,Batches!$A$5:$A$64,0)),"")))</f>
        <v/>
      </c>
      <c r="J606" s="17" t="str">
        <f aca="false">IF(B606="","",DATE(YEAR(B606),MONTH(B606),1))</f>
        <v/>
      </c>
    </row>
    <row r="607" customFormat="false" ht="15" hidden="false" customHeight="false" outlineLevel="0" collapsed="false">
      <c r="A607" s="20"/>
      <c r="B607" s="21"/>
      <c r="C607" s="20"/>
      <c r="D607" s="20"/>
      <c r="E607" s="20"/>
      <c r="F607" s="33"/>
      <c r="G607" s="20"/>
      <c r="H607" s="20"/>
      <c r="I607" s="8" t="str">
        <f aca="false">IF(C607="","",IFERROR(INDEX(Disputes!$C$5:$C$1004,MATCH(C607,Disputes!$A$5:$A$1004,0)),IFERROR(INDEX(Batches!$B$5:$B$64,MATCH(C607,Batches!$A$5:$A$64,0)),"")))</f>
        <v/>
      </c>
      <c r="J607" s="17" t="str">
        <f aca="false">IF(B607="","",DATE(YEAR(B607),MONTH(B607),1))</f>
        <v/>
      </c>
    </row>
    <row r="608" customFormat="false" ht="15" hidden="false" customHeight="false" outlineLevel="0" collapsed="false">
      <c r="A608" s="20"/>
      <c r="B608" s="21"/>
      <c r="C608" s="20"/>
      <c r="D608" s="20"/>
      <c r="E608" s="20"/>
      <c r="F608" s="33"/>
      <c r="G608" s="20"/>
      <c r="H608" s="20"/>
      <c r="I608" s="8" t="str">
        <f aca="false">IF(C608="","",IFERROR(INDEX(Disputes!$C$5:$C$1004,MATCH(C608,Disputes!$A$5:$A$1004,0)),IFERROR(INDEX(Batches!$B$5:$B$64,MATCH(C608,Batches!$A$5:$A$64,0)),"")))</f>
        <v/>
      </c>
      <c r="J608" s="17" t="str">
        <f aca="false">IF(B608="","",DATE(YEAR(B608),MONTH(B608),1))</f>
        <v/>
      </c>
    </row>
    <row r="609" customFormat="false" ht="15" hidden="false" customHeight="false" outlineLevel="0" collapsed="false">
      <c r="A609" s="20"/>
      <c r="B609" s="21"/>
      <c r="C609" s="20"/>
      <c r="D609" s="20"/>
      <c r="E609" s="20"/>
      <c r="F609" s="33"/>
      <c r="G609" s="20"/>
      <c r="H609" s="20"/>
      <c r="I609" s="8" t="str">
        <f aca="false">IF(C609="","",IFERROR(INDEX(Disputes!$C$5:$C$1004,MATCH(C609,Disputes!$A$5:$A$1004,0)),IFERROR(INDEX(Batches!$B$5:$B$64,MATCH(C609,Batches!$A$5:$A$64,0)),"")))</f>
        <v/>
      </c>
      <c r="J609" s="17" t="str">
        <f aca="false">IF(B609="","",DATE(YEAR(B609),MONTH(B609),1))</f>
        <v/>
      </c>
    </row>
    <row r="610" customFormat="false" ht="15" hidden="false" customHeight="false" outlineLevel="0" collapsed="false">
      <c r="A610" s="20"/>
      <c r="B610" s="21"/>
      <c r="C610" s="20"/>
      <c r="D610" s="20"/>
      <c r="E610" s="20"/>
      <c r="F610" s="33"/>
      <c r="G610" s="20"/>
      <c r="H610" s="20"/>
      <c r="I610" s="8" t="str">
        <f aca="false">IF(C610="","",IFERROR(INDEX(Disputes!$C$5:$C$1004,MATCH(C610,Disputes!$A$5:$A$1004,0)),IFERROR(INDEX(Batches!$B$5:$B$64,MATCH(C610,Batches!$A$5:$A$64,0)),"")))</f>
        <v/>
      </c>
      <c r="J610" s="17" t="str">
        <f aca="false">IF(B610="","",DATE(YEAR(B610),MONTH(B610),1))</f>
        <v/>
      </c>
    </row>
    <row r="611" customFormat="false" ht="15" hidden="false" customHeight="false" outlineLevel="0" collapsed="false">
      <c r="A611" s="20"/>
      <c r="B611" s="21"/>
      <c r="C611" s="20"/>
      <c r="D611" s="20"/>
      <c r="E611" s="20"/>
      <c r="F611" s="33"/>
      <c r="G611" s="20"/>
      <c r="H611" s="20"/>
      <c r="I611" s="8" t="str">
        <f aca="false">IF(C611="","",IFERROR(INDEX(Disputes!$C$5:$C$1004,MATCH(C611,Disputes!$A$5:$A$1004,0)),IFERROR(INDEX(Batches!$B$5:$B$64,MATCH(C611,Batches!$A$5:$A$64,0)),"")))</f>
        <v/>
      </c>
      <c r="J611" s="17" t="str">
        <f aca="false">IF(B611="","",DATE(YEAR(B611),MONTH(B611),1))</f>
        <v/>
      </c>
    </row>
    <row r="612" customFormat="false" ht="15" hidden="false" customHeight="false" outlineLevel="0" collapsed="false">
      <c r="A612" s="20"/>
      <c r="B612" s="21"/>
      <c r="C612" s="20"/>
      <c r="D612" s="20"/>
      <c r="E612" s="20"/>
      <c r="F612" s="33"/>
      <c r="G612" s="20"/>
      <c r="H612" s="20"/>
      <c r="I612" s="8" t="str">
        <f aca="false">IF(C612="","",IFERROR(INDEX(Disputes!$C$5:$C$1004,MATCH(C612,Disputes!$A$5:$A$1004,0)),IFERROR(INDEX(Batches!$B$5:$B$64,MATCH(C612,Batches!$A$5:$A$64,0)),"")))</f>
        <v/>
      </c>
      <c r="J612" s="17" t="str">
        <f aca="false">IF(B612="","",DATE(YEAR(B612),MONTH(B612),1))</f>
        <v/>
      </c>
    </row>
    <row r="613" customFormat="false" ht="15" hidden="false" customHeight="false" outlineLevel="0" collapsed="false">
      <c r="A613" s="20"/>
      <c r="B613" s="21"/>
      <c r="C613" s="20"/>
      <c r="D613" s="20"/>
      <c r="E613" s="20"/>
      <c r="F613" s="33"/>
      <c r="G613" s="20"/>
      <c r="H613" s="20"/>
      <c r="I613" s="8" t="str">
        <f aca="false">IF(C613="","",IFERROR(INDEX(Disputes!$C$5:$C$1004,MATCH(C613,Disputes!$A$5:$A$1004,0)),IFERROR(INDEX(Batches!$B$5:$B$64,MATCH(C613,Batches!$A$5:$A$64,0)),"")))</f>
        <v/>
      </c>
      <c r="J613" s="17" t="str">
        <f aca="false">IF(B613="","",DATE(YEAR(B613),MONTH(B613),1))</f>
        <v/>
      </c>
    </row>
    <row r="614" customFormat="false" ht="15" hidden="false" customHeight="false" outlineLevel="0" collapsed="false">
      <c r="A614" s="20"/>
      <c r="B614" s="21"/>
      <c r="C614" s="20"/>
      <c r="D614" s="20"/>
      <c r="E614" s="20"/>
      <c r="F614" s="33"/>
      <c r="G614" s="20"/>
      <c r="H614" s="20"/>
      <c r="I614" s="8" t="str">
        <f aca="false">IF(C614="","",IFERROR(INDEX(Disputes!$C$5:$C$1004,MATCH(C614,Disputes!$A$5:$A$1004,0)),IFERROR(INDEX(Batches!$B$5:$B$64,MATCH(C614,Batches!$A$5:$A$64,0)),"")))</f>
        <v/>
      </c>
      <c r="J614" s="17" t="str">
        <f aca="false">IF(B614="","",DATE(YEAR(B614),MONTH(B614),1))</f>
        <v/>
      </c>
    </row>
    <row r="615" customFormat="false" ht="15" hidden="false" customHeight="false" outlineLevel="0" collapsed="false">
      <c r="A615" s="20"/>
      <c r="B615" s="21"/>
      <c r="C615" s="20"/>
      <c r="D615" s="20"/>
      <c r="E615" s="20"/>
      <c r="F615" s="33"/>
      <c r="G615" s="20"/>
      <c r="H615" s="20"/>
      <c r="I615" s="8" t="str">
        <f aca="false">IF(C615="","",IFERROR(INDEX(Disputes!$C$5:$C$1004,MATCH(C615,Disputes!$A$5:$A$1004,0)),IFERROR(INDEX(Batches!$B$5:$B$64,MATCH(C615,Batches!$A$5:$A$64,0)),"")))</f>
        <v/>
      </c>
      <c r="J615" s="17" t="str">
        <f aca="false">IF(B615="","",DATE(YEAR(B615),MONTH(B615),1))</f>
        <v/>
      </c>
    </row>
    <row r="616" customFormat="false" ht="15" hidden="false" customHeight="false" outlineLevel="0" collapsed="false">
      <c r="A616" s="20"/>
      <c r="B616" s="21"/>
      <c r="C616" s="20"/>
      <c r="D616" s="20"/>
      <c r="E616" s="20"/>
      <c r="F616" s="33"/>
      <c r="G616" s="20"/>
      <c r="H616" s="20"/>
      <c r="I616" s="8" t="str">
        <f aca="false">IF(C616="","",IFERROR(INDEX(Disputes!$C$5:$C$1004,MATCH(C616,Disputes!$A$5:$A$1004,0)),IFERROR(INDEX(Batches!$B$5:$B$64,MATCH(C616,Batches!$A$5:$A$64,0)),"")))</f>
        <v/>
      </c>
      <c r="J616" s="17" t="str">
        <f aca="false">IF(B616="","",DATE(YEAR(B616),MONTH(B616),1))</f>
        <v/>
      </c>
    </row>
    <row r="617" customFormat="false" ht="15" hidden="false" customHeight="false" outlineLevel="0" collapsed="false">
      <c r="A617" s="20"/>
      <c r="B617" s="21"/>
      <c r="C617" s="20"/>
      <c r="D617" s="20"/>
      <c r="E617" s="20"/>
      <c r="F617" s="33"/>
      <c r="G617" s="20"/>
      <c r="H617" s="20"/>
      <c r="I617" s="8" t="str">
        <f aca="false">IF(C617="","",IFERROR(INDEX(Disputes!$C$5:$C$1004,MATCH(C617,Disputes!$A$5:$A$1004,0)),IFERROR(INDEX(Batches!$B$5:$B$64,MATCH(C617,Batches!$A$5:$A$64,0)),"")))</f>
        <v/>
      </c>
      <c r="J617" s="17" t="str">
        <f aca="false">IF(B617="","",DATE(YEAR(B617),MONTH(B617),1))</f>
        <v/>
      </c>
    </row>
    <row r="618" customFormat="false" ht="15" hidden="false" customHeight="false" outlineLevel="0" collapsed="false">
      <c r="A618" s="20"/>
      <c r="B618" s="21"/>
      <c r="C618" s="20"/>
      <c r="D618" s="20"/>
      <c r="E618" s="20"/>
      <c r="F618" s="33"/>
      <c r="G618" s="20"/>
      <c r="H618" s="20"/>
      <c r="I618" s="8" t="str">
        <f aca="false">IF(C618="","",IFERROR(INDEX(Disputes!$C$5:$C$1004,MATCH(C618,Disputes!$A$5:$A$1004,0)),IFERROR(INDEX(Batches!$B$5:$B$64,MATCH(C618,Batches!$A$5:$A$64,0)),"")))</f>
        <v/>
      </c>
      <c r="J618" s="17" t="str">
        <f aca="false">IF(B618="","",DATE(YEAR(B618),MONTH(B618),1))</f>
        <v/>
      </c>
    </row>
    <row r="619" customFormat="false" ht="15" hidden="false" customHeight="false" outlineLevel="0" collapsed="false">
      <c r="A619" s="20"/>
      <c r="B619" s="21"/>
      <c r="C619" s="20"/>
      <c r="D619" s="20"/>
      <c r="E619" s="20"/>
      <c r="F619" s="33"/>
      <c r="G619" s="20"/>
      <c r="H619" s="20"/>
      <c r="I619" s="8" t="str">
        <f aca="false">IF(C619="","",IFERROR(INDEX(Disputes!$C$5:$C$1004,MATCH(C619,Disputes!$A$5:$A$1004,0)),IFERROR(INDEX(Batches!$B$5:$B$64,MATCH(C619,Batches!$A$5:$A$64,0)),"")))</f>
        <v/>
      </c>
      <c r="J619" s="17" t="str">
        <f aca="false">IF(B619="","",DATE(YEAR(B619),MONTH(B619),1))</f>
        <v/>
      </c>
    </row>
    <row r="620" customFormat="false" ht="15" hidden="false" customHeight="false" outlineLevel="0" collapsed="false">
      <c r="A620" s="20"/>
      <c r="B620" s="21"/>
      <c r="C620" s="20"/>
      <c r="D620" s="20"/>
      <c r="E620" s="20"/>
      <c r="F620" s="33"/>
      <c r="G620" s="20"/>
      <c r="H620" s="20"/>
      <c r="I620" s="8" t="str">
        <f aca="false">IF(C620="","",IFERROR(INDEX(Disputes!$C$5:$C$1004,MATCH(C620,Disputes!$A$5:$A$1004,0)),IFERROR(INDEX(Batches!$B$5:$B$64,MATCH(C620,Batches!$A$5:$A$64,0)),"")))</f>
        <v/>
      </c>
      <c r="J620" s="17" t="str">
        <f aca="false">IF(B620="","",DATE(YEAR(B620),MONTH(B620),1))</f>
        <v/>
      </c>
    </row>
    <row r="621" customFormat="false" ht="15" hidden="false" customHeight="false" outlineLevel="0" collapsed="false">
      <c r="A621" s="20"/>
      <c r="B621" s="21"/>
      <c r="C621" s="20"/>
      <c r="D621" s="20"/>
      <c r="E621" s="20"/>
      <c r="F621" s="33"/>
      <c r="G621" s="20"/>
      <c r="H621" s="20"/>
      <c r="I621" s="8" t="str">
        <f aca="false">IF(C621="","",IFERROR(INDEX(Disputes!$C$5:$C$1004,MATCH(C621,Disputes!$A$5:$A$1004,0)),IFERROR(INDEX(Batches!$B$5:$B$64,MATCH(C621,Batches!$A$5:$A$64,0)),"")))</f>
        <v/>
      </c>
      <c r="J621" s="17" t="str">
        <f aca="false">IF(B621="","",DATE(YEAR(B621),MONTH(B621),1))</f>
        <v/>
      </c>
    </row>
    <row r="622" customFormat="false" ht="15" hidden="false" customHeight="false" outlineLevel="0" collapsed="false">
      <c r="A622" s="20"/>
      <c r="B622" s="21"/>
      <c r="C622" s="20"/>
      <c r="D622" s="20"/>
      <c r="E622" s="20"/>
      <c r="F622" s="33"/>
      <c r="G622" s="20"/>
      <c r="H622" s="20"/>
      <c r="I622" s="8" t="str">
        <f aca="false">IF(C622="","",IFERROR(INDEX(Disputes!$C$5:$C$1004,MATCH(C622,Disputes!$A$5:$A$1004,0)),IFERROR(INDEX(Batches!$B$5:$B$64,MATCH(C622,Batches!$A$5:$A$64,0)),"")))</f>
        <v/>
      </c>
      <c r="J622" s="17" t="str">
        <f aca="false">IF(B622="","",DATE(YEAR(B622),MONTH(B622),1))</f>
        <v/>
      </c>
    </row>
    <row r="623" customFormat="false" ht="15" hidden="false" customHeight="false" outlineLevel="0" collapsed="false">
      <c r="A623" s="20"/>
      <c r="B623" s="21"/>
      <c r="C623" s="20"/>
      <c r="D623" s="20"/>
      <c r="E623" s="20"/>
      <c r="F623" s="33"/>
      <c r="G623" s="20"/>
      <c r="H623" s="20"/>
      <c r="I623" s="8" t="str">
        <f aca="false">IF(C623="","",IFERROR(INDEX(Disputes!$C$5:$C$1004,MATCH(C623,Disputes!$A$5:$A$1004,0)),IFERROR(INDEX(Batches!$B$5:$B$64,MATCH(C623,Batches!$A$5:$A$64,0)),"")))</f>
        <v/>
      </c>
      <c r="J623" s="17" t="str">
        <f aca="false">IF(B623="","",DATE(YEAR(B623),MONTH(B623),1))</f>
        <v/>
      </c>
    </row>
    <row r="624" customFormat="false" ht="15" hidden="false" customHeight="false" outlineLevel="0" collapsed="false">
      <c r="A624" s="20"/>
      <c r="B624" s="21"/>
      <c r="C624" s="20"/>
      <c r="D624" s="20"/>
      <c r="E624" s="20"/>
      <c r="F624" s="33"/>
      <c r="G624" s="20"/>
      <c r="H624" s="20"/>
      <c r="I624" s="8" t="str">
        <f aca="false">IF(C624="","",IFERROR(INDEX(Disputes!$C$5:$C$1004,MATCH(C624,Disputes!$A$5:$A$1004,0)),IFERROR(INDEX(Batches!$B$5:$B$64,MATCH(C624,Batches!$A$5:$A$64,0)),"")))</f>
        <v/>
      </c>
      <c r="J624" s="17" t="str">
        <f aca="false">IF(B624="","",DATE(YEAR(B624),MONTH(B624),1))</f>
        <v/>
      </c>
    </row>
    <row r="625" customFormat="false" ht="15" hidden="false" customHeight="false" outlineLevel="0" collapsed="false">
      <c r="A625" s="20"/>
      <c r="B625" s="21"/>
      <c r="C625" s="20"/>
      <c r="D625" s="20"/>
      <c r="E625" s="20"/>
      <c r="F625" s="33"/>
      <c r="G625" s="20"/>
      <c r="H625" s="20"/>
      <c r="I625" s="8" t="str">
        <f aca="false">IF(C625="","",IFERROR(INDEX(Disputes!$C$5:$C$1004,MATCH(C625,Disputes!$A$5:$A$1004,0)),IFERROR(INDEX(Batches!$B$5:$B$64,MATCH(C625,Batches!$A$5:$A$64,0)),"")))</f>
        <v/>
      </c>
      <c r="J625" s="17" t="str">
        <f aca="false">IF(B625="","",DATE(YEAR(B625),MONTH(B625),1))</f>
        <v/>
      </c>
    </row>
    <row r="626" customFormat="false" ht="15" hidden="false" customHeight="false" outlineLevel="0" collapsed="false">
      <c r="A626" s="20"/>
      <c r="B626" s="21"/>
      <c r="C626" s="20"/>
      <c r="D626" s="20"/>
      <c r="E626" s="20"/>
      <c r="F626" s="33"/>
      <c r="G626" s="20"/>
      <c r="H626" s="20"/>
      <c r="I626" s="8" t="str">
        <f aca="false">IF(C626="","",IFERROR(INDEX(Disputes!$C$5:$C$1004,MATCH(C626,Disputes!$A$5:$A$1004,0)),IFERROR(INDEX(Batches!$B$5:$B$64,MATCH(C626,Batches!$A$5:$A$64,0)),"")))</f>
        <v/>
      </c>
      <c r="J626" s="17" t="str">
        <f aca="false">IF(B626="","",DATE(YEAR(B626),MONTH(B626),1))</f>
        <v/>
      </c>
    </row>
    <row r="627" customFormat="false" ht="15" hidden="false" customHeight="false" outlineLevel="0" collapsed="false">
      <c r="A627" s="20"/>
      <c r="B627" s="21"/>
      <c r="C627" s="20"/>
      <c r="D627" s="20"/>
      <c r="E627" s="20"/>
      <c r="F627" s="33"/>
      <c r="G627" s="20"/>
      <c r="H627" s="20"/>
      <c r="I627" s="8" t="str">
        <f aca="false">IF(C627="","",IFERROR(INDEX(Disputes!$C$5:$C$1004,MATCH(C627,Disputes!$A$5:$A$1004,0)),IFERROR(INDEX(Batches!$B$5:$B$64,MATCH(C627,Batches!$A$5:$A$64,0)),"")))</f>
        <v/>
      </c>
      <c r="J627" s="17" t="str">
        <f aca="false">IF(B627="","",DATE(YEAR(B627),MONTH(B627),1))</f>
        <v/>
      </c>
    </row>
    <row r="628" customFormat="false" ht="15" hidden="false" customHeight="false" outlineLevel="0" collapsed="false">
      <c r="A628" s="20"/>
      <c r="B628" s="21"/>
      <c r="C628" s="20"/>
      <c r="D628" s="20"/>
      <c r="E628" s="20"/>
      <c r="F628" s="33"/>
      <c r="G628" s="20"/>
      <c r="H628" s="20"/>
      <c r="I628" s="8" t="str">
        <f aca="false">IF(C628="","",IFERROR(INDEX(Disputes!$C$5:$C$1004,MATCH(C628,Disputes!$A$5:$A$1004,0)),IFERROR(INDEX(Batches!$B$5:$B$64,MATCH(C628,Batches!$A$5:$A$64,0)),"")))</f>
        <v/>
      </c>
      <c r="J628" s="17" t="str">
        <f aca="false">IF(B628="","",DATE(YEAR(B628),MONTH(B628),1))</f>
        <v/>
      </c>
    </row>
    <row r="629" customFormat="false" ht="15" hidden="false" customHeight="false" outlineLevel="0" collapsed="false">
      <c r="A629" s="20"/>
      <c r="B629" s="21"/>
      <c r="C629" s="20"/>
      <c r="D629" s="20"/>
      <c r="E629" s="20"/>
      <c r="F629" s="33"/>
      <c r="G629" s="20"/>
      <c r="H629" s="20"/>
      <c r="I629" s="8" t="str">
        <f aca="false">IF(C629="","",IFERROR(INDEX(Disputes!$C$5:$C$1004,MATCH(C629,Disputes!$A$5:$A$1004,0)),IFERROR(INDEX(Batches!$B$5:$B$64,MATCH(C629,Batches!$A$5:$A$64,0)),"")))</f>
        <v/>
      </c>
      <c r="J629" s="17" t="str">
        <f aca="false">IF(B629="","",DATE(YEAR(B629),MONTH(B629),1))</f>
        <v/>
      </c>
    </row>
    <row r="630" customFormat="false" ht="15" hidden="false" customHeight="false" outlineLevel="0" collapsed="false">
      <c r="A630" s="20"/>
      <c r="B630" s="21"/>
      <c r="C630" s="20"/>
      <c r="D630" s="20"/>
      <c r="E630" s="20"/>
      <c r="F630" s="33"/>
      <c r="G630" s="20"/>
      <c r="H630" s="20"/>
      <c r="I630" s="8" t="str">
        <f aca="false">IF(C630="","",IFERROR(INDEX(Disputes!$C$5:$C$1004,MATCH(C630,Disputes!$A$5:$A$1004,0)),IFERROR(INDEX(Batches!$B$5:$B$64,MATCH(C630,Batches!$A$5:$A$64,0)),"")))</f>
        <v/>
      </c>
      <c r="J630" s="17" t="str">
        <f aca="false">IF(B630="","",DATE(YEAR(B630),MONTH(B630),1))</f>
        <v/>
      </c>
    </row>
    <row r="631" customFormat="false" ht="15" hidden="false" customHeight="false" outlineLevel="0" collapsed="false">
      <c r="A631" s="20"/>
      <c r="B631" s="21"/>
      <c r="C631" s="20"/>
      <c r="D631" s="20"/>
      <c r="E631" s="20"/>
      <c r="F631" s="33"/>
      <c r="G631" s="20"/>
      <c r="H631" s="20"/>
      <c r="I631" s="8" t="str">
        <f aca="false">IF(C631="","",IFERROR(INDEX(Disputes!$C$5:$C$1004,MATCH(C631,Disputes!$A$5:$A$1004,0)),IFERROR(INDEX(Batches!$B$5:$B$64,MATCH(C631,Batches!$A$5:$A$64,0)),"")))</f>
        <v/>
      </c>
      <c r="J631" s="17" t="str">
        <f aca="false">IF(B631="","",DATE(YEAR(B631),MONTH(B631),1))</f>
        <v/>
      </c>
    </row>
    <row r="632" customFormat="false" ht="15" hidden="false" customHeight="false" outlineLevel="0" collapsed="false">
      <c r="A632" s="20"/>
      <c r="B632" s="21"/>
      <c r="C632" s="20"/>
      <c r="D632" s="20"/>
      <c r="E632" s="20"/>
      <c r="F632" s="33"/>
      <c r="G632" s="20"/>
      <c r="H632" s="20"/>
      <c r="I632" s="8" t="str">
        <f aca="false">IF(C632="","",IFERROR(INDEX(Disputes!$C$5:$C$1004,MATCH(C632,Disputes!$A$5:$A$1004,0)),IFERROR(INDEX(Batches!$B$5:$B$64,MATCH(C632,Batches!$A$5:$A$64,0)),"")))</f>
        <v/>
      </c>
      <c r="J632" s="17" t="str">
        <f aca="false">IF(B632="","",DATE(YEAR(B632),MONTH(B632),1))</f>
        <v/>
      </c>
    </row>
    <row r="633" customFormat="false" ht="15" hidden="false" customHeight="false" outlineLevel="0" collapsed="false">
      <c r="A633" s="20"/>
      <c r="B633" s="21"/>
      <c r="C633" s="20"/>
      <c r="D633" s="20"/>
      <c r="E633" s="20"/>
      <c r="F633" s="33"/>
      <c r="G633" s="20"/>
      <c r="H633" s="20"/>
      <c r="I633" s="8" t="str">
        <f aca="false">IF(C633="","",IFERROR(INDEX(Disputes!$C$5:$C$1004,MATCH(C633,Disputes!$A$5:$A$1004,0)),IFERROR(INDEX(Batches!$B$5:$B$64,MATCH(C633,Batches!$A$5:$A$64,0)),"")))</f>
        <v/>
      </c>
      <c r="J633" s="17" t="str">
        <f aca="false">IF(B633="","",DATE(YEAR(B633),MONTH(B633),1))</f>
        <v/>
      </c>
    </row>
    <row r="634" customFormat="false" ht="15" hidden="false" customHeight="false" outlineLevel="0" collapsed="false">
      <c r="A634" s="20"/>
      <c r="B634" s="21"/>
      <c r="C634" s="20"/>
      <c r="D634" s="20"/>
      <c r="E634" s="20"/>
      <c r="F634" s="33"/>
      <c r="G634" s="20"/>
      <c r="H634" s="20"/>
      <c r="I634" s="8" t="str">
        <f aca="false">IF(C634="","",IFERROR(INDEX(Disputes!$C$5:$C$1004,MATCH(C634,Disputes!$A$5:$A$1004,0)),IFERROR(INDEX(Batches!$B$5:$B$64,MATCH(C634,Batches!$A$5:$A$64,0)),"")))</f>
        <v/>
      </c>
      <c r="J634" s="17" t="str">
        <f aca="false">IF(B634="","",DATE(YEAR(B634),MONTH(B634),1))</f>
        <v/>
      </c>
    </row>
    <row r="635" customFormat="false" ht="15" hidden="false" customHeight="false" outlineLevel="0" collapsed="false">
      <c r="A635" s="20"/>
      <c r="B635" s="21"/>
      <c r="C635" s="20"/>
      <c r="D635" s="20"/>
      <c r="E635" s="20"/>
      <c r="F635" s="33"/>
      <c r="G635" s="20"/>
      <c r="H635" s="20"/>
      <c r="I635" s="8" t="str">
        <f aca="false">IF(C635="","",IFERROR(INDEX(Disputes!$C$5:$C$1004,MATCH(C635,Disputes!$A$5:$A$1004,0)),IFERROR(INDEX(Batches!$B$5:$B$64,MATCH(C635,Batches!$A$5:$A$64,0)),"")))</f>
        <v/>
      </c>
      <c r="J635" s="17" t="str">
        <f aca="false">IF(B635="","",DATE(YEAR(B635),MONTH(B635),1))</f>
        <v/>
      </c>
    </row>
    <row r="636" customFormat="false" ht="15" hidden="false" customHeight="false" outlineLevel="0" collapsed="false">
      <c r="A636" s="20"/>
      <c r="B636" s="21"/>
      <c r="C636" s="20"/>
      <c r="D636" s="20"/>
      <c r="E636" s="20"/>
      <c r="F636" s="33"/>
      <c r="G636" s="20"/>
      <c r="H636" s="20"/>
      <c r="I636" s="8" t="str">
        <f aca="false">IF(C636="","",IFERROR(INDEX(Disputes!$C$5:$C$1004,MATCH(C636,Disputes!$A$5:$A$1004,0)),IFERROR(INDEX(Batches!$B$5:$B$64,MATCH(C636,Batches!$A$5:$A$64,0)),"")))</f>
        <v/>
      </c>
      <c r="J636" s="17" t="str">
        <f aca="false">IF(B636="","",DATE(YEAR(B636),MONTH(B636),1))</f>
        <v/>
      </c>
    </row>
    <row r="637" customFormat="false" ht="15" hidden="false" customHeight="false" outlineLevel="0" collapsed="false">
      <c r="A637" s="20"/>
      <c r="B637" s="21"/>
      <c r="C637" s="20"/>
      <c r="D637" s="20"/>
      <c r="E637" s="20"/>
      <c r="F637" s="33"/>
      <c r="G637" s="20"/>
      <c r="H637" s="20"/>
      <c r="I637" s="8" t="str">
        <f aca="false">IF(C637="","",IFERROR(INDEX(Disputes!$C$5:$C$1004,MATCH(C637,Disputes!$A$5:$A$1004,0)),IFERROR(INDEX(Batches!$B$5:$B$64,MATCH(C637,Batches!$A$5:$A$64,0)),"")))</f>
        <v/>
      </c>
      <c r="J637" s="17" t="str">
        <f aca="false">IF(B637="","",DATE(YEAR(B637),MONTH(B637),1))</f>
        <v/>
      </c>
    </row>
    <row r="638" customFormat="false" ht="15" hidden="false" customHeight="false" outlineLevel="0" collapsed="false">
      <c r="A638" s="20"/>
      <c r="B638" s="21"/>
      <c r="C638" s="20"/>
      <c r="D638" s="20"/>
      <c r="E638" s="20"/>
      <c r="F638" s="33"/>
      <c r="G638" s="20"/>
      <c r="H638" s="20"/>
      <c r="I638" s="8" t="str">
        <f aca="false">IF(C638="","",IFERROR(INDEX(Disputes!$C$5:$C$1004,MATCH(C638,Disputes!$A$5:$A$1004,0)),IFERROR(INDEX(Batches!$B$5:$B$64,MATCH(C638,Batches!$A$5:$A$64,0)),"")))</f>
        <v/>
      </c>
      <c r="J638" s="17" t="str">
        <f aca="false">IF(B638="","",DATE(YEAR(B638),MONTH(B638),1))</f>
        <v/>
      </c>
    </row>
    <row r="639" customFormat="false" ht="15" hidden="false" customHeight="false" outlineLevel="0" collapsed="false">
      <c r="A639" s="20"/>
      <c r="B639" s="21"/>
      <c r="C639" s="20"/>
      <c r="D639" s="20"/>
      <c r="E639" s="20"/>
      <c r="F639" s="33"/>
      <c r="G639" s="20"/>
      <c r="H639" s="20"/>
      <c r="I639" s="8" t="str">
        <f aca="false">IF(C639="","",IFERROR(INDEX(Disputes!$C$5:$C$1004,MATCH(C639,Disputes!$A$5:$A$1004,0)),IFERROR(INDEX(Batches!$B$5:$B$64,MATCH(C639,Batches!$A$5:$A$64,0)),"")))</f>
        <v/>
      </c>
      <c r="J639" s="17" t="str">
        <f aca="false">IF(B639="","",DATE(YEAR(B639),MONTH(B639),1))</f>
        <v/>
      </c>
    </row>
    <row r="640" customFormat="false" ht="15" hidden="false" customHeight="false" outlineLevel="0" collapsed="false">
      <c r="A640" s="20"/>
      <c r="B640" s="21"/>
      <c r="C640" s="20"/>
      <c r="D640" s="20"/>
      <c r="E640" s="20"/>
      <c r="F640" s="33"/>
      <c r="G640" s="20"/>
      <c r="H640" s="20"/>
      <c r="I640" s="8" t="str">
        <f aca="false">IF(C640="","",IFERROR(INDEX(Disputes!$C$5:$C$1004,MATCH(C640,Disputes!$A$5:$A$1004,0)),IFERROR(INDEX(Batches!$B$5:$B$64,MATCH(C640,Batches!$A$5:$A$64,0)),"")))</f>
        <v/>
      </c>
      <c r="J640" s="17" t="str">
        <f aca="false">IF(B640="","",DATE(YEAR(B640),MONTH(B640),1))</f>
        <v/>
      </c>
    </row>
    <row r="641" customFormat="false" ht="15" hidden="false" customHeight="false" outlineLevel="0" collapsed="false">
      <c r="A641" s="20"/>
      <c r="B641" s="21"/>
      <c r="C641" s="20"/>
      <c r="D641" s="20"/>
      <c r="E641" s="20"/>
      <c r="F641" s="33"/>
      <c r="G641" s="20"/>
      <c r="H641" s="20"/>
      <c r="I641" s="8" t="str">
        <f aca="false">IF(C641="","",IFERROR(INDEX(Disputes!$C$5:$C$1004,MATCH(C641,Disputes!$A$5:$A$1004,0)),IFERROR(INDEX(Batches!$B$5:$B$64,MATCH(C641,Batches!$A$5:$A$64,0)),"")))</f>
        <v/>
      </c>
      <c r="J641" s="17" t="str">
        <f aca="false">IF(B641="","",DATE(YEAR(B641),MONTH(B641),1))</f>
        <v/>
      </c>
    </row>
    <row r="642" customFormat="false" ht="15" hidden="false" customHeight="false" outlineLevel="0" collapsed="false">
      <c r="A642" s="20"/>
      <c r="B642" s="21"/>
      <c r="C642" s="20"/>
      <c r="D642" s="20"/>
      <c r="E642" s="20"/>
      <c r="F642" s="33"/>
      <c r="G642" s="20"/>
      <c r="H642" s="20"/>
      <c r="I642" s="8" t="str">
        <f aca="false">IF(C642="","",IFERROR(INDEX(Disputes!$C$5:$C$1004,MATCH(C642,Disputes!$A$5:$A$1004,0)),IFERROR(INDEX(Batches!$B$5:$B$64,MATCH(C642,Batches!$A$5:$A$64,0)),"")))</f>
        <v/>
      </c>
      <c r="J642" s="17" t="str">
        <f aca="false">IF(B642="","",DATE(YEAR(B642),MONTH(B642),1))</f>
        <v/>
      </c>
    </row>
    <row r="643" customFormat="false" ht="15" hidden="false" customHeight="false" outlineLevel="0" collapsed="false">
      <c r="A643" s="20"/>
      <c r="B643" s="21"/>
      <c r="C643" s="20"/>
      <c r="D643" s="20"/>
      <c r="E643" s="20"/>
      <c r="F643" s="33"/>
      <c r="G643" s="20"/>
      <c r="H643" s="20"/>
      <c r="I643" s="8" t="str">
        <f aca="false">IF(C643="","",IFERROR(INDEX(Disputes!$C$5:$C$1004,MATCH(C643,Disputes!$A$5:$A$1004,0)),IFERROR(INDEX(Batches!$B$5:$B$64,MATCH(C643,Batches!$A$5:$A$64,0)),"")))</f>
        <v/>
      </c>
      <c r="J643" s="17" t="str">
        <f aca="false">IF(B643="","",DATE(YEAR(B643),MONTH(B643),1))</f>
        <v/>
      </c>
    </row>
    <row r="644" customFormat="false" ht="15" hidden="false" customHeight="false" outlineLevel="0" collapsed="false">
      <c r="A644" s="20"/>
      <c r="B644" s="21"/>
      <c r="C644" s="20"/>
      <c r="D644" s="20"/>
      <c r="E644" s="20"/>
      <c r="F644" s="33"/>
      <c r="G644" s="20"/>
      <c r="H644" s="20"/>
      <c r="I644" s="8" t="str">
        <f aca="false">IF(C644="","",IFERROR(INDEX(Disputes!$C$5:$C$1004,MATCH(C644,Disputes!$A$5:$A$1004,0)),IFERROR(INDEX(Batches!$B$5:$B$64,MATCH(C644,Batches!$A$5:$A$64,0)),"")))</f>
        <v/>
      </c>
      <c r="J644" s="17" t="str">
        <f aca="false">IF(B644="","",DATE(YEAR(B644),MONTH(B644),1))</f>
        <v/>
      </c>
    </row>
    <row r="645" customFormat="false" ht="15" hidden="false" customHeight="false" outlineLevel="0" collapsed="false">
      <c r="A645" s="20"/>
      <c r="B645" s="21"/>
      <c r="C645" s="20"/>
      <c r="D645" s="20"/>
      <c r="E645" s="20"/>
      <c r="F645" s="33"/>
      <c r="G645" s="20"/>
      <c r="H645" s="20"/>
      <c r="I645" s="8" t="str">
        <f aca="false">IF(C645="","",IFERROR(INDEX(Disputes!$C$5:$C$1004,MATCH(C645,Disputes!$A$5:$A$1004,0)),IFERROR(INDEX(Batches!$B$5:$B$64,MATCH(C645,Batches!$A$5:$A$64,0)),"")))</f>
        <v/>
      </c>
      <c r="J645" s="17" t="str">
        <f aca="false">IF(B645="","",DATE(YEAR(B645),MONTH(B645),1))</f>
        <v/>
      </c>
    </row>
    <row r="646" customFormat="false" ht="15" hidden="false" customHeight="false" outlineLevel="0" collapsed="false">
      <c r="A646" s="20"/>
      <c r="B646" s="21"/>
      <c r="C646" s="20"/>
      <c r="D646" s="20"/>
      <c r="E646" s="20"/>
      <c r="F646" s="33"/>
      <c r="G646" s="20"/>
      <c r="H646" s="20"/>
      <c r="I646" s="8" t="str">
        <f aca="false">IF(C646="","",IFERROR(INDEX(Disputes!$C$5:$C$1004,MATCH(C646,Disputes!$A$5:$A$1004,0)),IFERROR(INDEX(Batches!$B$5:$B$64,MATCH(C646,Batches!$A$5:$A$64,0)),"")))</f>
        <v/>
      </c>
      <c r="J646" s="17" t="str">
        <f aca="false">IF(B646="","",DATE(YEAR(B646),MONTH(B646),1))</f>
        <v/>
      </c>
    </row>
    <row r="647" customFormat="false" ht="15" hidden="false" customHeight="false" outlineLevel="0" collapsed="false">
      <c r="A647" s="20"/>
      <c r="B647" s="21"/>
      <c r="C647" s="20"/>
      <c r="D647" s="20"/>
      <c r="E647" s="20"/>
      <c r="F647" s="33"/>
      <c r="G647" s="20"/>
      <c r="H647" s="20"/>
      <c r="I647" s="8" t="str">
        <f aca="false">IF(C647="","",IFERROR(INDEX(Disputes!$C$5:$C$1004,MATCH(C647,Disputes!$A$5:$A$1004,0)),IFERROR(INDEX(Batches!$B$5:$B$64,MATCH(C647,Batches!$A$5:$A$64,0)),"")))</f>
        <v/>
      </c>
      <c r="J647" s="17" t="str">
        <f aca="false">IF(B647="","",DATE(YEAR(B647),MONTH(B647),1))</f>
        <v/>
      </c>
    </row>
    <row r="648" customFormat="false" ht="15" hidden="false" customHeight="false" outlineLevel="0" collapsed="false">
      <c r="A648" s="20"/>
      <c r="B648" s="21"/>
      <c r="C648" s="20"/>
      <c r="D648" s="20"/>
      <c r="E648" s="20"/>
      <c r="F648" s="33"/>
      <c r="G648" s="20"/>
      <c r="H648" s="20"/>
      <c r="I648" s="8" t="str">
        <f aca="false">IF(C648="","",IFERROR(INDEX(Disputes!$C$5:$C$1004,MATCH(C648,Disputes!$A$5:$A$1004,0)),IFERROR(INDEX(Batches!$B$5:$B$64,MATCH(C648,Batches!$A$5:$A$64,0)),"")))</f>
        <v/>
      </c>
      <c r="J648" s="17" t="str">
        <f aca="false">IF(B648="","",DATE(YEAR(B648),MONTH(B648),1))</f>
        <v/>
      </c>
    </row>
    <row r="649" customFormat="false" ht="15" hidden="false" customHeight="false" outlineLevel="0" collapsed="false">
      <c r="A649" s="20"/>
      <c r="B649" s="21"/>
      <c r="C649" s="20"/>
      <c r="D649" s="20"/>
      <c r="E649" s="20"/>
      <c r="F649" s="33"/>
      <c r="G649" s="20"/>
      <c r="H649" s="20"/>
      <c r="I649" s="8" t="str">
        <f aca="false">IF(C649="","",IFERROR(INDEX(Disputes!$C$5:$C$1004,MATCH(C649,Disputes!$A$5:$A$1004,0)),IFERROR(INDEX(Batches!$B$5:$B$64,MATCH(C649,Batches!$A$5:$A$64,0)),"")))</f>
        <v/>
      </c>
      <c r="J649" s="17" t="str">
        <f aca="false">IF(B649="","",DATE(YEAR(B649),MONTH(B649),1))</f>
        <v/>
      </c>
    </row>
    <row r="650" customFormat="false" ht="15" hidden="false" customHeight="false" outlineLevel="0" collapsed="false">
      <c r="A650" s="20"/>
      <c r="B650" s="21"/>
      <c r="C650" s="20"/>
      <c r="D650" s="20"/>
      <c r="E650" s="20"/>
      <c r="F650" s="33"/>
      <c r="G650" s="20"/>
      <c r="H650" s="20"/>
      <c r="I650" s="8" t="str">
        <f aca="false">IF(C650="","",IFERROR(INDEX(Disputes!$C$5:$C$1004,MATCH(C650,Disputes!$A$5:$A$1004,0)),IFERROR(INDEX(Batches!$B$5:$B$64,MATCH(C650,Batches!$A$5:$A$64,0)),"")))</f>
        <v/>
      </c>
      <c r="J650" s="17" t="str">
        <f aca="false">IF(B650="","",DATE(YEAR(B650),MONTH(B650),1))</f>
        <v/>
      </c>
    </row>
    <row r="651" customFormat="false" ht="15" hidden="false" customHeight="false" outlineLevel="0" collapsed="false">
      <c r="A651" s="20"/>
      <c r="B651" s="21"/>
      <c r="C651" s="20"/>
      <c r="D651" s="20"/>
      <c r="E651" s="20"/>
      <c r="F651" s="33"/>
      <c r="G651" s="20"/>
      <c r="H651" s="20"/>
      <c r="I651" s="8" t="str">
        <f aca="false">IF(C651="","",IFERROR(INDEX(Disputes!$C$5:$C$1004,MATCH(C651,Disputes!$A$5:$A$1004,0)),IFERROR(INDEX(Batches!$B$5:$B$64,MATCH(C651,Batches!$A$5:$A$64,0)),"")))</f>
        <v/>
      </c>
      <c r="J651" s="17" t="str">
        <f aca="false">IF(B651="","",DATE(YEAR(B651),MONTH(B651),1))</f>
        <v/>
      </c>
    </row>
    <row r="652" customFormat="false" ht="15" hidden="false" customHeight="false" outlineLevel="0" collapsed="false">
      <c r="A652" s="20"/>
      <c r="B652" s="21"/>
      <c r="C652" s="20"/>
      <c r="D652" s="20"/>
      <c r="E652" s="20"/>
      <c r="F652" s="33"/>
      <c r="G652" s="20"/>
      <c r="H652" s="20"/>
      <c r="I652" s="8" t="str">
        <f aca="false">IF(C652="","",IFERROR(INDEX(Disputes!$C$5:$C$1004,MATCH(C652,Disputes!$A$5:$A$1004,0)),IFERROR(INDEX(Batches!$B$5:$B$64,MATCH(C652,Batches!$A$5:$A$64,0)),"")))</f>
        <v/>
      </c>
      <c r="J652" s="17" t="str">
        <f aca="false">IF(B652="","",DATE(YEAR(B652),MONTH(B652),1))</f>
        <v/>
      </c>
    </row>
    <row r="653" customFormat="false" ht="15" hidden="false" customHeight="false" outlineLevel="0" collapsed="false">
      <c r="A653" s="20"/>
      <c r="B653" s="21"/>
      <c r="C653" s="20"/>
      <c r="D653" s="20"/>
      <c r="E653" s="20"/>
      <c r="F653" s="33"/>
      <c r="G653" s="20"/>
      <c r="H653" s="20"/>
      <c r="I653" s="8" t="str">
        <f aca="false">IF(C653="","",IFERROR(INDEX(Disputes!$C$5:$C$1004,MATCH(C653,Disputes!$A$5:$A$1004,0)),IFERROR(INDEX(Batches!$B$5:$B$64,MATCH(C653,Batches!$A$5:$A$64,0)),"")))</f>
        <v/>
      </c>
      <c r="J653" s="17" t="str">
        <f aca="false">IF(B653="","",DATE(YEAR(B653),MONTH(B653),1))</f>
        <v/>
      </c>
    </row>
    <row r="654" customFormat="false" ht="15" hidden="false" customHeight="false" outlineLevel="0" collapsed="false">
      <c r="A654" s="20"/>
      <c r="B654" s="21"/>
      <c r="C654" s="20"/>
      <c r="D654" s="20"/>
      <c r="E654" s="20"/>
      <c r="F654" s="33"/>
      <c r="G654" s="20"/>
      <c r="H654" s="20"/>
      <c r="I654" s="8" t="str">
        <f aca="false">IF(C654="","",IFERROR(INDEX(Disputes!$C$5:$C$1004,MATCH(C654,Disputes!$A$5:$A$1004,0)),IFERROR(INDEX(Batches!$B$5:$B$64,MATCH(C654,Batches!$A$5:$A$64,0)),"")))</f>
        <v/>
      </c>
      <c r="J654" s="17" t="str">
        <f aca="false">IF(B654="","",DATE(YEAR(B654),MONTH(B654),1))</f>
        <v/>
      </c>
    </row>
    <row r="655" customFormat="false" ht="15" hidden="false" customHeight="false" outlineLevel="0" collapsed="false">
      <c r="A655" s="20"/>
      <c r="B655" s="21"/>
      <c r="C655" s="20"/>
      <c r="D655" s="20"/>
      <c r="E655" s="20"/>
      <c r="F655" s="33"/>
      <c r="G655" s="20"/>
      <c r="H655" s="20"/>
      <c r="I655" s="8" t="str">
        <f aca="false">IF(C655="","",IFERROR(INDEX(Disputes!$C$5:$C$1004,MATCH(C655,Disputes!$A$5:$A$1004,0)),IFERROR(INDEX(Batches!$B$5:$B$64,MATCH(C655,Batches!$A$5:$A$64,0)),"")))</f>
        <v/>
      </c>
      <c r="J655" s="17" t="str">
        <f aca="false">IF(B655="","",DATE(YEAR(B655),MONTH(B655),1))</f>
        <v/>
      </c>
    </row>
    <row r="656" customFormat="false" ht="15" hidden="false" customHeight="false" outlineLevel="0" collapsed="false">
      <c r="A656" s="20"/>
      <c r="B656" s="21"/>
      <c r="C656" s="20"/>
      <c r="D656" s="20"/>
      <c r="E656" s="20"/>
      <c r="F656" s="33"/>
      <c r="G656" s="20"/>
      <c r="H656" s="20"/>
      <c r="I656" s="8" t="str">
        <f aca="false">IF(C656="","",IFERROR(INDEX(Disputes!$C$5:$C$1004,MATCH(C656,Disputes!$A$5:$A$1004,0)),IFERROR(INDEX(Batches!$B$5:$B$64,MATCH(C656,Batches!$A$5:$A$64,0)),"")))</f>
        <v/>
      </c>
      <c r="J656" s="17" t="str">
        <f aca="false">IF(B656="","",DATE(YEAR(B656),MONTH(B656),1))</f>
        <v/>
      </c>
    </row>
    <row r="657" customFormat="false" ht="15" hidden="false" customHeight="false" outlineLevel="0" collapsed="false">
      <c r="A657" s="20"/>
      <c r="B657" s="21"/>
      <c r="C657" s="20"/>
      <c r="D657" s="20"/>
      <c r="E657" s="20"/>
      <c r="F657" s="33"/>
      <c r="G657" s="20"/>
      <c r="H657" s="20"/>
      <c r="I657" s="8" t="str">
        <f aca="false">IF(C657="","",IFERROR(INDEX(Disputes!$C$5:$C$1004,MATCH(C657,Disputes!$A$5:$A$1004,0)),IFERROR(INDEX(Batches!$B$5:$B$64,MATCH(C657,Batches!$A$5:$A$64,0)),"")))</f>
        <v/>
      </c>
      <c r="J657" s="17" t="str">
        <f aca="false">IF(B657="","",DATE(YEAR(B657),MONTH(B657),1))</f>
        <v/>
      </c>
    </row>
    <row r="658" customFormat="false" ht="15" hidden="false" customHeight="false" outlineLevel="0" collapsed="false">
      <c r="A658" s="20"/>
      <c r="B658" s="21"/>
      <c r="C658" s="20"/>
      <c r="D658" s="20"/>
      <c r="E658" s="20"/>
      <c r="F658" s="33"/>
      <c r="G658" s="20"/>
      <c r="H658" s="20"/>
      <c r="I658" s="8" t="str">
        <f aca="false">IF(C658="","",IFERROR(INDEX(Disputes!$C$5:$C$1004,MATCH(C658,Disputes!$A$5:$A$1004,0)),IFERROR(INDEX(Batches!$B$5:$B$64,MATCH(C658,Batches!$A$5:$A$64,0)),"")))</f>
        <v/>
      </c>
      <c r="J658" s="17" t="str">
        <f aca="false">IF(B658="","",DATE(YEAR(B658),MONTH(B658),1))</f>
        <v/>
      </c>
    </row>
    <row r="659" customFormat="false" ht="15" hidden="false" customHeight="false" outlineLevel="0" collapsed="false">
      <c r="A659" s="20"/>
      <c r="B659" s="21"/>
      <c r="C659" s="20"/>
      <c r="D659" s="20"/>
      <c r="E659" s="20"/>
      <c r="F659" s="33"/>
      <c r="G659" s="20"/>
      <c r="H659" s="20"/>
      <c r="I659" s="8" t="str">
        <f aca="false">IF(C659="","",IFERROR(INDEX(Disputes!$C$5:$C$1004,MATCH(C659,Disputes!$A$5:$A$1004,0)),IFERROR(INDEX(Batches!$B$5:$B$64,MATCH(C659,Batches!$A$5:$A$64,0)),"")))</f>
        <v/>
      </c>
      <c r="J659" s="17" t="str">
        <f aca="false">IF(B659="","",DATE(YEAR(B659),MONTH(B659),1))</f>
        <v/>
      </c>
    </row>
    <row r="660" customFormat="false" ht="15" hidden="false" customHeight="false" outlineLevel="0" collapsed="false">
      <c r="A660" s="20"/>
      <c r="B660" s="21"/>
      <c r="C660" s="20"/>
      <c r="D660" s="20"/>
      <c r="E660" s="20"/>
      <c r="F660" s="33"/>
      <c r="G660" s="20"/>
      <c r="H660" s="20"/>
      <c r="I660" s="8" t="str">
        <f aca="false">IF(C660="","",IFERROR(INDEX(Disputes!$C$5:$C$1004,MATCH(C660,Disputes!$A$5:$A$1004,0)),IFERROR(INDEX(Batches!$B$5:$B$64,MATCH(C660,Batches!$A$5:$A$64,0)),"")))</f>
        <v/>
      </c>
      <c r="J660" s="17" t="str">
        <f aca="false">IF(B660="","",DATE(YEAR(B660),MONTH(B660),1))</f>
        <v/>
      </c>
    </row>
    <row r="661" customFormat="false" ht="15" hidden="false" customHeight="false" outlineLevel="0" collapsed="false">
      <c r="A661" s="20"/>
      <c r="B661" s="21"/>
      <c r="C661" s="20"/>
      <c r="D661" s="20"/>
      <c r="E661" s="20"/>
      <c r="F661" s="33"/>
      <c r="G661" s="20"/>
      <c r="H661" s="20"/>
      <c r="I661" s="8" t="str">
        <f aca="false">IF(C661="","",IFERROR(INDEX(Disputes!$C$5:$C$1004,MATCH(C661,Disputes!$A$5:$A$1004,0)),IFERROR(INDEX(Batches!$B$5:$B$64,MATCH(C661,Batches!$A$5:$A$64,0)),"")))</f>
        <v/>
      </c>
      <c r="J661" s="17" t="str">
        <f aca="false">IF(B661="","",DATE(YEAR(B661),MONTH(B661),1))</f>
        <v/>
      </c>
    </row>
    <row r="662" customFormat="false" ht="15" hidden="false" customHeight="false" outlineLevel="0" collapsed="false">
      <c r="A662" s="20"/>
      <c r="B662" s="21"/>
      <c r="C662" s="20"/>
      <c r="D662" s="20"/>
      <c r="E662" s="20"/>
      <c r="F662" s="33"/>
      <c r="G662" s="20"/>
      <c r="H662" s="20"/>
      <c r="I662" s="8" t="str">
        <f aca="false">IF(C662="","",IFERROR(INDEX(Disputes!$C$5:$C$1004,MATCH(C662,Disputes!$A$5:$A$1004,0)),IFERROR(INDEX(Batches!$B$5:$B$64,MATCH(C662,Batches!$A$5:$A$64,0)),"")))</f>
        <v/>
      </c>
      <c r="J662" s="17" t="str">
        <f aca="false">IF(B662="","",DATE(YEAR(B662),MONTH(B662),1))</f>
        <v/>
      </c>
    </row>
    <row r="663" customFormat="false" ht="15" hidden="false" customHeight="false" outlineLevel="0" collapsed="false">
      <c r="A663" s="20"/>
      <c r="B663" s="21"/>
      <c r="C663" s="20"/>
      <c r="D663" s="20"/>
      <c r="E663" s="20"/>
      <c r="F663" s="33"/>
      <c r="G663" s="20"/>
      <c r="H663" s="20"/>
      <c r="I663" s="8" t="str">
        <f aca="false">IF(C663="","",IFERROR(INDEX(Disputes!$C$5:$C$1004,MATCH(C663,Disputes!$A$5:$A$1004,0)),IFERROR(INDEX(Batches!$B$5:$B$64,MATCH(C663,Batches!$A$5:$A$64,0)),"")))</f>
        <v/>
      </c>
      <c r="J663" s="17" t="str">
        <f aca="false">IF(B663="","",DATE(YEAR(B663),MONTH(B663),1))</f>
        <v/>
      </c>
    </row>
    <row r="664" customFormat="false" ht="15" hidden="false" customHeight="false" outlineLevel="0" collapsed="false">
      <c r="A664" s="20"/>
      <c r="B664" s="21"/>
      <c r="C664" s="20"/>
      <c r="D664" s="20"/>
      <c r="E664" s="20"/>
      <c r="F664" s="33"/>
      <c r="G664" s="20"/>
      <c r="H664" s="20"/>
      <c r="I664" s="8" t="str">
        <f aca="false">IF(C664="","",IFERROR(INDEX(Disputes!$C$5:$C$1004,MATCH(C664,Disputes!$A$5:$A$1004,0)),IFERROR(INDEX(Batches!$B$5:$B$64,MATCH(C664,Batches!$A$5:$A$64,0)),"")))</f>
        <v/>
      </c>
      <c r="J664" s="17" t="str">
        <f aca="false">IF(B664="","",DATE(YEAR(B664),MONTH(B664),1))</f>
        <v/>
      </c>
    </row>
    <row r="665" customFormat="false" ht="15" hidden="false" customHeight="false" outlineLevel="0" collapsed="false">
      <c r="A665" s="20"/>
      <c r="B665" s="21"/>
      <c r="C665" s="20"/>
      <c r="D665" s="20"/>
      <c r="E665" s="20"/>
      <c r="F665" s="33"/>
      <c r="G665" s="20"/>
      <c r="H665" s="20"/>
      <c r="I665" s="8" t="str">
        <f aca="false">IF(C665="","",IFERROR(INDEX(Disputes!$C$5:$C$1004,MATCH(C665,Disputes!$A$5:$A$1004,0)),IFERROR(INDEX(Batches!$B$5:$B$64,MATCH(C665,Batches!$A$5:$A$64,0)),"")))</f>
        <v/>
      </c>
      <c r="J665" s="17" t="str">
        <f aca="false">IF(B665="","",DATE(YEAR(B665),MONTH(B665),1))</f>
        <v/>
      </c>
    </row>
    <row r="666" customFormat="false" ht="15" hidden="false" customHeight="false" outlineLevel="0" collapsed="false">
      <c r="A666" s="20"/>
      <c r="B666" s="21"/>
      <c r="C666" s="20"/>
      <c r="D666" s="20"/>
      <c r="E666" s="20"/>
      <c r="F666" s="33"/>
      <c r="G666" s="20"/>
      <c r="H666" s="20"/>
      <c r="I666" s="8" t="str">
        <f aca="false">IF(C666="","",IFERROR(INDEX(Disputes!$C$5:$C$1004,MATCH(C666,Disputes!$A$5:$A$1004,0)),IFERROR(INDEX(Batches!$B$5:$B$64,MATCH(C666,Batches!$A$5:$A$64,0)),"")))</f>
        <v/>
      </c>
      <c r="J666" s="17" t="str">
        <f aca="false">IF(B666="","",DATE(YEAR(B666),MONTH(B666),1))</f>
        <v/>
      </c>
    </row>
    <row r="667" customFormat="false" ht="15" hidden="false" customHeight="false" outlineLevel="0" collapsed="false">
      <c r="A667" s="20"/>
      <c r="B667" s="21"/>
      <c r="C667" s="20"/>
      <c r="D667" s="20"/>
      <c r="E667" s="20"/>
      <c r="F667" s="33"/>
      <c r="G667" s="20"/>
      <c r="H667" s="20"/>
      <c r="I667" s="8" t="str">
        <f aca="false">IF(C667="","",IFERROR(INDEX(Disputes!$C$5:$C$1004,MATCH(C667,Disputes!$A$5:$A$1004,0)),IFERROR(INDEX(Batches!$B$5:$B$64,MATCH(C667,Batches!$A$5:$A$64,0)),"")))</f>
        <v/>
      </c>
      <c r="J667" s="17" t="str">
        <f aca="false">IF(B667="","",DATE(YEAR(B667),MONTH(B667),1))</f>
        <v/>
      </c>
    </row>
    <row r="668" customFormat="false" ht="15" hidden="false" customHeight="false" outlineLevel="0" collapsed="false">
      <c r="A668" s="20"/>
      <c r="B668" s="21"/>
      <c r="C668" s="20"/>
      <c r="D668" s="20"/>
      <c r="E668" s="20"/>
      <c r="F668" s="33"/>
      <c r="G668" s="20"/>
      <c r="H668" s="20"/>
      <c r="I668" s="8" t="str">
        <f aca="false">IF(C668="","",IFERROR(INDEX(Disputes!$C$5:$C$1004,MATCH(C668,Disputes!$A$5:$A$1004,0)),IFERROR(INDEX(Batches!$B$5:$B$64,MATCH(C668,Batches!$A$5:$A$64,0)),"")))</f>
        <v/>
      </c>
      <c r="J668" s="17" t="str">
        <f aca="false">IF(B668="","",DATE(YEAR(B668),MONTH(B668),1))</f>
        <v/>
      </c>
    </row>
    <row r="669" customFormat="false" ht="15" hidden="false" customHeight="false" outlineLevel="0" collapsed="false">
      <c r="A669" s="20"/>
      <c r="B669" s="21"/>
      <c r="C669" s="20"/>
      <c r="D669" s="20"/>
      <c r="E669" s="20"/>
      <c r="F669" s="33"/>
      <c r="G669" s="20"/>
      <c r="H669" s="20"/>
      <c r="I669" s="8" t="str">
        <f aca="false">IF(C669="","",IFERROR(INDEX(Disputes!$C$5:$C$1004,MATCH(C669,Disputes!$A$5:$A$1004,0)),IFERROR(INDEX(Batches!$B$5:$B$64,MATCH(C669,Batches!$A$5:$A$64,0)),"")))</f>
        <v/>
      </c>
      <c r="J669" s="17" t="str">
        <f aca="false">IF(B669="","",DATE(YEAR(B669),MONTH(B669),1))</f>
        <v/>
      </c>
    </row>
    <row r="670" customFormat="false" ht="15" hidden="false" customHeight="false" outlineLevel="0" collapsed="false">
      <c r="A670" s="20"/>
      <c r="B670" s="21"/>
      <c r="C670" s="20"/>
      <c r="D670" s="20"/>
      <c r="E670" s="20"/>
      <c r="F670" s="33"/>
      <c r="G670" s="20"/>
      <c r="H670" s="20"/>
      <c r="I670" s="8" t="str">
        <f aca="false">IF(C670="","",IFERROR(INDEX(Disputes!$C$5:$C$1004,MATCH(C670,Disputes!$A$5:$A$1004,0)),IFERROR(INDEX(Batches!$B$5:$B$64,MATCH(C670,Batches!$A$5:$A$64,0)),"")))</f>
        <v/>
      </c>
      <c r="J670" s="17" t="str">
        <f aca="false">IF(B670="","",DATE(YEAR(B670),MONTH(B670),1))</f>
        <v/>
      </c>
    </row>
    <row r="671" customFormat="false" ht="15" hidden="false" customHeight="false" outlineLevel="0" collapsed="false">
      <c r="A671" s="20"/>
      <c r="B671" s="21"/>
      <c r="C671" s="20"/>
      <c r="D671" s="20"/>
      <c r="E671" s="20"/>
      <c r="F671" s="33"/>
      <c r="G671" s="20"/>
      <c r="H671" s="20"/>
      <c r="I671" s="8" t="str">
        <f aca="false">IF(C671="","",IFERROR(INDEX(Disputes!$C$5:$C$1004,MATCH(C671,Disputes!$A$5:$A$1004,0)),IFERROR(INDEX(Batches!$B$5:$B$64,MATCH(C671,Batches!$A$5:$A$64,0)),"")))</f>
        <v/>
      </c>
      <c r="J671" s="17" t="str">
        <f aca="false">IF(B671="","",DATE(YEAR(B671),MONTH(B671),1))</f>
        <v/>
      </c>
    </row>
    <row r="672" customFormat="false" ht="15" hidden="false" customHeight="false" outlineLevel="0" collapsed="false">
      <c r="A672" s="20"/>
      <c r="B672" s="21"/>
      <c r="C672" s="20"/>
      <c r="D672" s="20"/>
      <c r="E672" s="20"/>
      <c r="F672" s="33"/>
      <c r="G672" s="20"/>
      <c r="H672" s="20"/>
      <c r="I672" s="8" t="str">
        <f aca="false">IF(C672="","",IFERROR(INDEX(Disputes!$C$5:$C$1004,MATCH(C672,Disputes!$A$5:$A$1004,0)),IFERROR(INDEX(Batches!$B$5:$B$64,MATCH(C672,Batches!$A$5:$A$64,0)),"")))</f>
        <v/>
      </c>
      <c r="J672" s="17" t="str">
        <f aca="false">IF(B672="","",DATE(YEAR(B672),MONTH(B672),1))</f>
        <v/>
      </c>
    </row>
    <row r="673" customFormat="false" ht="15" hidden="false" customHeight="false" outlineLevel="0" collapsed="false">
      <c r="A673" s="20"/>
      <c r="B673" s="21"/>
      <c r="C673" s="20"/>
      <c r="D673" s="20"/>
      <c r="E673" s="20"/>
      <c r="F673" s="33"/>
      <c r="G673" s="20"/>
      <c r="H673" s="20"/>
      <c r="I673" s="8" t="str">
        <f aca="false">IF(C673="","",IFERROR(INDEX(Disputes!$C$5:$C$1004,MATCH(C673,Disputes!$A$5:$A$1004,0)),IFERROR(INDEX(Batches!$B$5:$B$64,MATCH(C673,Batches!$A$5:$A$64,0)),"")))</f>
        <v/>
      </c>
      <c r="J673" s="17" t="str">
        <f aca="false">IF(B673="","",DATE(YEAR(B673),MONTH(B673),1))</f>
        <v/>
      </c>
    </row>
    <row r="674" customFormat="false" ht="15" hidden="false" customHeight="false" outlineLevel="0" collapsed="false">
      <c r="A674" s="20"/>
      <c r="B674" s="21"/>
      <c r="C674" s="20"/>
      <c r="D674" s="20"/>
      <c r="E674" s="20"/>
      <c r="F674" s="33"/>
      <c r="G674" s="20"/>
      <c r="H674" s="20"/>
      <c r="I674" s="8" t="str">
        <f aca="false">IF(C674="","",IFERROR(INDEX(Disputes!$C$5:$C$1004,MATCH(C674,Disputes!$A$5:$A$1004,0)),IFERROR(INDEX(Batches!$B$5:$B$64,MATCH(C674,Batches!$A$5:$A$64,0)),"")))</f>
        <v/>
      </c>
      <c r="J674" s="17" t="str">
        <f aca="false">IF(B674="","",DATE(YEAR(B674),MONTH(B674),1))</f>
        <v/>
      </c>
    </row>
    <row r="675" customFormat="false" ht="15" hidden="false" customHeight="false" outlineLevel="0" collapsed="false">
      <c r="A675" s="20"/>
      <c r="B675" s="21"/>
      <c r="C675" s="20"/>
      <c r="D675" s="20"/>
      <c r="E675" s="20"/>
      <c r="F675" s="33"/>
      <c r="G675" s="20"/>
      <c r="H675" s="20"/>
      <c r="I675" s="8" t="str">
        <f aca="false">IF(C675="","",IFERROR(INDEX(Disputes!$C$5:$C$1004,MATCH(C675,Disputes!$A$5:$A$1004,0)),IFERROR(INDEX(Batches!$B$5:$B$64,MATCH(C675,Batches!$A$5:$A$64,0)),"")))</f>
        <v/>
      </c>
      <c r="J675" s="17" t="str">
        <f aca="false">IF(B675="","",DATE(YEAR(B675),MONTH(B675),1))</f>
        <v/>
      </c>
    </row>
    <row r="676" customFormat="false" ht="15" hidden="false" customHeight="false" outlineLevel="0" collapsed="false">
      <c r="A676" s="20"/>
      <c r="B676" s="21"/>
      <c r="C676" s="20"/>
      <c r="D676" s="20"/>
      <c r="E676" s="20"/>
      <c r="F676" s="33"/>
      <c r="G676" s="20"/>
      <c r="H676" s="20"/>
      <c r="I676" s="8" t="str">
        <f aca="false">IF(C676="","",IFERROR(INDEX(Disputes!$C$5:$C$1004,MATCH(C676,Disputes!$A$5:$A$1004,0)),IFERROR(INDEX(Batches!$B$5:$B$64,MATCH(C676,Batches!$A$5:$A$64,0)),"")))</f>
        <v/>
      </c>
      <c r="J676" s="17" t="str">
        <f aca="false">IF(B676="","",DATE(YEAR(B676),MONTH(B676),1))</f>
        <v/>
      </c>
    </row>
    <row r="677" customFormat="false" ht="15" hidden="false" customHeight="false" outlineLevel="0" collapsed="false">
      <c r="A677" s="20"/>
      <c r="B677" s="21"/>
      <c r="C677" s="20"/>
      <c r="D677" s="20"/>
      <c r="E677" s="20"/>
      <c r="F677" s="33"/>
      <c r="G677" s="20"/>
      <c r="H677" s="20"/>
      <c r="I677" s="8" t="str">
        <f aca="false">IF(C677="","",IFERROR(INDEX(Disputes!$C$5:$C$1004,MATCH(C677,Disputes!$A$5:$A$1004,0)),IFERROR(INDEX(Batches!$B$5:$B$64,MATCH(C677,Batches!$A$5:$A$64,0)),"")))</f>
        <v/>
      </c>
      <c r="J677" s="17" t="str">
        <f aca="false">IF(B677="","",DATE(YEAR(B677),MONTH(B677),1))</f>
        <v/>
      </c>
    </row>
    <row r="678" customFormat="false" ht="15" hidden="false" customHeight="false" outlineLevel="0" collapsed="false">
      <c r="A678" s="20"/>
      <c r="B678" s="21"/>
      <c r="C678" s="20"/>
      <c r="D678" s="20"/>
      <c r="E678" s="20"/>
      <c r="F678" s="33"/>
      <c r="G678" s="20"/>
      <c r="H678" s="20"/>
      <c r="I678" s="8" t="str">
        <f aca="false">IF(C678="","",IFERROR(INDEX(Disputes!$C$5:$C$1004,MATCH(C678,Disputes!$A$5:$A$1004,0)),IFERROR(INDEX(Batches!$B$5:$B$64,MATCH(C678,Batches!$A$5:$A$64,0)),"")))</f>
        <v/>
      </c>
      <c r="J678" s="17" t="str">
        <f aca="false">IF(B678="","",DATE(YEAR(B678),MONTH(B678),1))</f>
        <v/>
      </c>
    </row>
    <row r="679" customFormat="false" ht="15" hidden="false" customHeight="false" outlineLevel="0" collapsed="false">
      <c r="A679" s="20"/>
      <c r="B679" s="21"/>
      <c r="C679" s="20"/>
      <c r="D679" s="20"/>
      <c r="E679" s="20"/>
      <c r="F679" s="33"/>
      <c r="G679" s="20"/>
      <c r="H679" s="20"/>
      <c r="I679" s="8" t="str">
        <f aca="false">IF(C679="","",IFERROR(INDEX(Disputes!$C$5:$C$1004,MATCH(C679,Disputes!$A$5:$A$1004,0)),IFERROR(INDEX(Batches!$B$5:$B$64,MATCH(C679,Batches!$A$5:$A$64,0)),"")))</f>
        <v/>
      </c>
      <c r="J679" s="17" t="str">
        <f aca="false">IF(B679="","",DATE(YEAR(B679),MONTH(B679),1))</f>
        <v/>
      </c>
    </row>
    <row r="680" customFormat="false" ht="15" hidden="false" customHeight="false" outlineLevel="0" collapsed="false">
      <c r="A680" s="20"/>
      <c r="B680" s="21"/>
      <c r="C680" s="20"/>
      <c r="D680" s="20"/>
      <c r="E680" s="20"/>
      <c r="F680" s="33"/>
      <c r="G680" s="20"/>
      <c r="H680" s="20"/>
      <c r="I680" s="8" t="str">
        <f aca="false">IF(C680="","",IFERROR(INDEX(Disputes!$C$5:$C$1004,MATCH(C680,Disputes!$A$5:$A$1004,0)),IFERROR(INDEX(Batches!$B$5:$B$64,MATCH(C680,Batches!$A$5:$A$64,0)),"")))</f>
        <v/>
      </c>
      <c r="J680" s="17" t="str">
        <f aca="false">IF(B680="","",DATE(YEAR(B680),MONTH(B680),1))</f>
        <v/>
      </c>
    </row>
    <row r="681" customFormat="false" ht="15" hidden="false" customHeight="false" outlineLevel="0" collapsed="false">
      <c r="A681" s="20"/>
      <c r="B681" s="21"/>
      <c r="C681" s="20"/>
      <c r="D681" s="20"/>
      <c r="E681" s="20"/>
      <c r="F681" s="33"/>
      <c r="G681" s="20"/>
      <c r="H681" s="20"/>
      <c r="I681" s="8" t="str">
        <f aca="false">IF(C681="","",IFERROR(INDEX(Disputes!$C$5:$C$1004,MATCH(C681,Disputes!$A$5:$A$1004,0)),IFERROR(INDEX(Batches!$B$5:$B$64,MATCH(C681,Batches!$A$5:$A$64,0)),"")))</f>
        <v/>
      </c>
      <c r="J681" s="17" t="str">
        <f aca="false">IF(B681="","",DATE(YEAR(B681),MONTH(B681),1))</f>
        <v/>
      </c>
    </row>
    <row r="682" customFormat="false" ht="15" hidden="false" customHeight="false" outlineLevel="0" collapsed="false">
      <c r="A682" s="20"/>
      <c r="B682" s="21"/>
      <c r="C682" s="20"/>
      <c r="D682" s="20"/>
      <c r="E682" s="20"/>
      <c r="F682" s="33"/>
      <c r="G682" s="20"/>
      <c r="H682" s="20"/>
      <c r="I682" s="8" t="str">
        <f aca="false">IF(C682="","",IFERROR(INDEX(Disputes!$C$5:$C$1004,MATCH(C682,Disputes!$A$5:$A$1004,0)),IFERROR(INDEX(Batches!$B$5:$B$64,MATCH(C682,Batches!$A$5:$A$64,0)),"")))</f>
        <v/>
      </c>
      <c r="J682" s="17" t="str">
        <f aca="false">IF(B682="","",DATE(YEAR(B682),MONTH(B682),1))</f>
        <v/>
      </c>
    </row>
    <row r="683" customFormat="false" ht="15" hidden="false" customHeight="false" outlineLevel="0" collapsed="false">
      <c r="A683" s="20"/>
      <c r="B683" s="21"/>
      <c r="C683" s="20"/>
      <c r="D683" s="20"/>
      <c r="E683" s="20"/>
      <c r="F683" s="33"/>
      <c r="G683" s="20"/>
      <c r="H683" s="20"/>
      <c r="I683" s="8" t="str">
        <f aca="false">IF(C683="","",IFERROR(INDEX(Disputes!$C$5:$C$1004,MATCH(C683,Disputes!$A$5:$A$1004,0)),IFERROR(INDEX(Batches!$B$5:$B$64,MATCH(C683,Batches!$A$5:$A$64,0)),"")))</f>
        <v/>
      </c>
      <c r="J683" s="17" t="str">
        <f aca="false">IF(B683="","",DATE(YEAR(B683),MONTH(B683),1))</f>
        <v/>
      </c>
    </row>
    <row r="684" customFormat="false" ht="15" hidden="false" customHeight="false" outlineLevel="0" collapsed="false">
      <c r="A684" s="20"/>
      <c r="B684" s="21"/>
      <c r="C684" s="20"/>
      <c r="D684" s="20"/>
      <c r="E684" s="20"/>
      <c r="F684" s="33"/>
      <c r="G684" s="20"/>
      <c r="H684" s="20"/>
      <c r="I684" s="8" t="str">
        <f aca="false">IF(C684="","",IFERROR(INDEX(Disputes!$C$5:$C$1004,MATCH(C684,Disputes!$A$5:$A$1004,0)),IFERROR(INDEX(Batches!$B$5:$B$64,MATCH(C684,Batches!$A$5:$A$64,0)),"")))</f>
        <v/>
      </c>
      <c r="J684" s="17" t="str">
        <f aca="false">IF(B684="","",DATE(YEAR(B684),MONTH(B684),1))</f>
        <v/>
      </c>
    </row>
    <row r="685" customFormat="false" ht="15" hidden="false" customHeight="false" outlineLevel="0" collapsed="false">
      <c r="A685" s="20"/>
      <c r="B685" s="21"/>
      <c r="C685" s="20"/>
      <c r="D685" s="20"/>
      <c r="E685" s="20"/>
      <c r="F685" s="33"/>
      <c r="G685" s="20"/>
      <c r="H685" s="20"/>
      <c r="I685" s="8" t="str">
        <f aca="false">IF(C685="","",IFERROR(INDEX(Disputes!$C$5:$C$1004,MATCH(C685,Disputes!$A$5:$A$1004,0)),IFERROR(INDEX(Batches!$B$5:$B$64,MATCH(C685,Batches!$A$5:$A$64,0)),"")))</f>
        <v/>
      </c>
      <c r="J685" s="17" t="str">
        <f aca="false">IF(B685="","",DATE(YEAR(B685),MONTH(B685),1))</f>
        <v/>
      </c>
    </row>
    <row r="686" customFormat="false" ht="15" hidden="false" customHeight="false" outlineLevel="0" collapsed="false">
      <c r="A686" s="20"/>
      <c r="B686" s="21"/>
      <c r="C686" s="20"/>
      <c r="D686" s="20"/>
      <c r="E686" s="20"/>
      <c r="F686" s="33"/>
      <c r="G686" s="20"/>
      <c r="H686" s="20"/>
      <c r="I686" s="8" t="str">
        <f aca="false">IF(C686="","",IFERROR(INDEX(Disputes!$C$5:$C$1004,MATCH(C686,Disputes!$A$5:$A$1004,0)),IFERROR(INDEX(Batches!$B$5:$B$64,MATCH(C686,Batches!$A$5:$A$64,0)),"")))</f>
        <v/>
      </c>
      <c r="J686" s="17" t="str">
        <f aca="false">IF(B686="","",DATE(YEAR(B686),MONTH(B686),1))</f>
        <v/>
      </c>
    </row>
    <row r="687" customFormat="false" ht="15" hidden="false" customHeight="false" outlineLevel="0" collapsed="false">
      <c r="A687" s="20"/>
      <c r="B687" s="21"/>
      <c r="C687" s="20"/>
      <c r="D687" s="20"/>
      <c r="E687" s="20"/>
      <c r="F687" s="33"/>
      <c r="G687" s="20"/>
      <c r="H687" s="20"/>
      <c r="I687" s="8" t="str">
        <f aca="false">IF(C687="","",IFERROR(INDEX(Disputes!$C$5:$C$1004,MATCH(C687,Disputes!$A$5:$A$1004,0)),IFERROR(INDEX(Batches!$B$5:$B$64,MATCH(C687,Batches!$A$5:$A$64,0)),"")))</f>
        <v/>
      </c>
      <c r="J687" s="17" t="str">
        <f aca="false">IF(B687="","",DATE(YEAR(B687),MONTH(B687),1))</f>
        <v/>
      </c>
    </row>
    <row r="688" customFormat="false" ht="15" hidden="false" customHeight="false" outlineLevel="0" collapsed="false">
      <c r="A688" s="20"/>
      <c r="B688" s="21"/>
      <c r="C688" s="20"/>
      <c r="D688" s="20"/>
      <c r="E688" s="20"/>
      <c r="F688" s="33"/>
      <c r="G688" s="20"/>
      <c r="H688" s="20"/>
      <c r="I688" s="8" t="str">
        <f aca="false">IF(C688="","",IFERROR(INDEX(Disputes!$C$5:$C$1004,MATCH(C688,Disputes!$A$5:$A$1004,0)),IFERROR(INDEX(Batches!$B$5:$B$64,MATCH(C688,Batches!$A$5:$A$64,0)),"")))</f>
        <v/>
      </c>
      <c r="J688" s="17" t="str">
        <f aca="false">IF(B688="","",DATE(YEAR(B688),MONTH(B688),1))</f>
        <v/>
      </c>
    </row>
    <row r="689" customFormat="false" ht="15" hidden="false" customHeight="false" outlineLevel="0" collapsed="false">
      <c r="A689" s="20"/>
      <c r="B689" s="21"/>
      <c r="C689" s="20"/>
      <c r="D689" s="20"/>
      <c r="E689" s="20"/>
      <c r="F689" s="33"/>
      <c r="G689" s="20"/>
      <c r="H689" s="20"/>
      <c r="I689" s="8" t="str">
        <f aca="false">IF(C689="","",IFERROR(INDEX(Disputes!$C$5:$C$1004,MATCH(C689,Disputes!$A$5:$A$1004,0)),IFERROR(INDEX(Batches!$B$5:$B$64,MATCH(C689,Batches!$A$5:$A$64,0)),"")))</f>
        <v/>
      </c>
      <c r="J689" s="17" t="str">
        <f aca="false">IF(B689="","",DATE(YEAR(B689),MONTH(B689),1))</f>
        <v/>
      </c>
    </row>
    <row r="690" customFormat="false" ht="15" hidden="false" customHeight="false" outlineLevel="0" collapsed="false">
      <c r="A690" s="20"/>
      <c r="B690" s="21"/>
      <c r="C690" s="20"/>
      <c r="D690" s="20"/>
      <c r="E690" s="20"/>
      <c r="F690" s="33"/>
      <c r="G690" s="20"/>
      <c r="H690" s="20"/>
      <c r="I690" s="8" t="str">
        <f aca="false">IF(C690="","",IFERROR(INDEX(Disputes!$C$5:$C$1004,MATCH(C690,Disputes!$A$5:$A$1004,0)),IFERROR(INDEX(Batches!$B$5:$B$64,MATCH(C690,Batches!$A$5:$A$64,0)),"")))</f>
        <v/>
      </c>
      <c r="J690" s="17" t="str">
        <f aca="false">IF(B690="","",DATE(YEAR(B690),MONTH(B690),1))</f>
        <v/>
      </c>
    </row>
    <row r="691" customFormat="false" ht="15" hidden="false" customHeight="false" outlineLevel="0" collapsed="false">
      <c r="A691" s="20"/>
      <c r="B691" s="21"/>
      <c r="C691" s="20"/>
      <c r="D691" s="20"/>
      <c r="E691" s="20"/>
      <c r="F691" s="33"/>
      <c r="G691" s="20"/>
      <c r="H691" s="20"/>
      <c r="I691" s="8" t="str">
        <f aca="false">IF(C691="","",IFERROR(INDEX(Disputes!$C$5:$C$1004,MATCH(C691,Disputes!$A$5:$A$1004,0)),IFERROR(INDEX(Batches!$B$5:$B$64,MATCH(C691,Batches!$A$5:$A$64,0)),"")))</f>
        <v/>
      </c>
      <c r="J691" s="17" t="str">
        <f aca="false">IF(B691="","",DATE(YEAR(B691),MONTH(B691),1))</f>
        <v/>
      </c>
    </row>
    <row r="692" customFormat="false" ht="15" hidden="false" customHeight="false" outlineLevel="0" collapsed="false">
      <c r="A692" s="20"/>
      <c r="B692" s="21"/>
      <c r="C692" s="20"/>
      <c r="D692" s="20"/>
      <c r="E692" s="20"/>
      <c r="F692" s="33"/>
      <c r="G692" s="20"/>
      <c r="H692" s="20"/>
      <c r="I692" s="8" t="str">
        <f aca="false">IF(C692="","",IFERROR(INDEX(Disputes!$C$5:$C$1004,MATCH(C692,Disputes!$A$5:$A$1004,0)),IFERROR(INDEX(Batches!$B$5:$B$64,MATCH(C692,Batches!$A$5:$A$64,0)),"")))</f>
        <v/>
      </c>
      <c r="J692" s="17" t="str">
        <f aca="false">IF(B692="","",DATE(YEAR(B692),MONTH(B692),1))</f>
        <v/>
      </c>
    </row>
    <row r="693" customFormat="false" ht="15" hidden="false" customHeight="false" outlineLevel="0" collapsed="false">
      <c r="A693" s="20"/>
      <c r="B693" s="21"/>
      <c r="C693" s="20"/>
      <c r="D693" s="20"/>
      <c r="E693" s="20"/>
      <c r="F693" s="33"/>
      <c r="G693" s="20"/>
      <c r="H693" s="20"/>
      <c r="I693" s="8" t="str">
        <f aca="false">IF(C693="","",IFERROR(INDEX(Disputes!$C$5:$C$1004,MATCH(C693,Disputes!$A$5:$A$1004,0)),IFERROR(INDEX(Batches!$B$5:$B$64,MATCH(C693,Batches!$A$5:$A$64,0)),"")))</f>
        <v/>
      </c>
      <c r="J693" s="17" t="str">
        <f aca="false">IF(B693="","",DATE(YEAR(B693),MONTH(B693),1))</f>
        <v/>
      </c>
    </row>
    <row r="694" customFormat="false" ht="15" hidden="false" customHeight="false" outlineLevel="0" collapsed="false">
      <c r="A694" s="20"/>
      <c r="B694" s="21"/>
      <c r="C694" s="20"/>
      <c r="D694" s="20"/>
      <c r="E694" s="20"/>
      <c r="F694" s="33"/>
      <c r="G694" s="20"/>
      <c r="H694" s="20"/>
      <c r="I694" s="8" t="str">
        <f aca="false">IF(C694="","",IFERROR(INDEX(Disputes!$C$5:$C$1004,MATCH(C694,Disputes!$A$5:$A$1004,0)),IFERROR(INDEX(Batches!$B$5:$B$64,MATCH(C694,Batches!$A$5:$A$64,0)),"")))</f>
        <v/>
      </c>
      <c r="J694" s="17" t="str">
        <f aca="false">IF(B694="","",DATE(YEAR(B694),MONTH(B694),1))</f>
        <v/>
      </c>
    </row>
    <row r="695" customFormat="false" ht="15" hidden="false" customHeight="false" outlineLevel="0" collapsed="false">
      <c r="A695" s="20"/>
      <c r="B695" s="21"/>
      <c r="C695" s="20"/>
      <c r="D695" s="20"/>
      <c r="E695" s="20"/>
      <c r="F695" s="33"/>
      <c r="G695" s="20"/>
      <c r="H695" s="20"/>
      <c r="I695" s="8" t="str">
        <f aca="false">IF(C695="","",IFERROR(INDEX(Disputes!$C$5:$C$1004,MATCH(C695,Disputes!$A$5:$A$1004,0)),IFERROR(INDEX(Batches!$B$5:$B$64,MATCH(C695,Batches!$A$5:$A$64,0)),"")))</f>
        <v/>
      </c>
      <c r="J695" s="17" t="str">
        <f aca="false">IF(B695="","",DATE(YEAR(B695),MONTH(B695),1))</f>
        <v/>
      </c>
    </row>
    <row r="696" customFormat="false" ht="15" hidden="false" customHeight="false" outlineLevel="0" collapsed="false">
      <c r="A696" s="20"/>
      <c r="B696" s="21"/>
      <c r="C696" s="20"/>
      <c r="D696" s="20"/>
      <c r="E696" s="20"/>
      <c r="F696" s="33"/>
      <c r="G696" s="20"/>
      <c r="H696" s="20"/>
      <c r="I696" s="8" t="str">
        <f aca="false">IF(C696="","",IFERROR(INDEX(Disputes!$C$5:$C$1004,MATCH(C696,Disputes!$A$5:$A$1004,0)),IFERROR(INDEX(Batches!$B$5:$B$64,MATCH(C696,Batches!$A$5:$A$64,0)),"")))</f>
        <v/>
      </c>
      <c r="J696" s="17" t="str">
        <f aca="false">IF(B696="","",DATE(YEAR(B696),MONTH(B696),1))</f>
        <v/>
      </c>
    </row>
    <row r="697" customFormat="false" ht="15" hidden="false" customHeight="false" outlineLevel="0" collapsed="false">
      <c r="A697" s="20"/>
      <c r="B697" s="21"/>
      <c r="C697" s="20"/>
      <c r="D697" s="20"/>
      <c r="E697" s="20"/>
      <c r="F697" s="33"/>
      <c r="G697" s="20"/>
      <c r="H697" s="20"/>
      <c r="I697" s="8" t="str">
        <f aca="false">IF(C697="","",IFERROR(INDEX(Disputes!$C$5:$C$1004,MATCH(C697,Disputes!$A$5:$A$1004,0)),IFERROR(INDEX(Batches!$B$5:$B$64,MATCH(C697,Batches!$A$5:$A$64,0)),"")))</f>
        <v/>
      </c>
      <c r="J697" s="17" t="str">
        <f aca="false">IF(B697="","",DATE(YEAR(B697),MONTH(B697),1))</f>
        <v/>
      </c>
    </row>
    <row r="698" customFormat="false" ht="15" hidden="false" customHeight="false" outlineLevel="0" collapsed="false">
      <c r="A698" s="20"/>
      <c r="B698" s="21"/>
      <c r="C698" s="20"/>
      <c r="D698" s="20"/>
      <c r="E698" s="20"/>
      <c r="F698" s="33"/>
      <c r="G698" s="20"/>
      <c r="H698" s="20"/>
      <c r="I698" s="8" t="str">
        <f aca="false">IF(C698="","",IFERROR(INDEX(Disputes!$C$5:$C$1004,MATCH(C698,Disputes!$A$5:$A$1004,0)),IFERROR(INDEX(Batches!$B$5:$B$64,MATCH(C698,Batches!$A$5:$A$64,0)),"")))</f>
        <v/>
      </c>
      <c r="J698" s="17" t="str">
        <f aca="false">IF(B698="","",DATE(YEAR(B698),MONTH(B698),1))</f>
        <v/>
      </c>
    </row>
    <row r="699" customFormat="false" ht="15" hidden="false" customHeight="false" outlineLevel="0" collapsed="false">
      <c r="A699" s="20"/>
      <c r="B699" s="21"/>
      <c r="C699" s="20"/>
      <c r="D699" s="20"/>
      <c r="E699" s="20"/>
      <c r="F699" s="33"/>
      <c r="G699" s="20"/>
      <c r="H699" s="20"/>
      <c r="I699" s="8" t="str">
        <f aca="false">IF(C699="","",IFERROR(INDEX(Disputes!$C$5:$C$1004,MATCH(C699,Disputes!$A$5:$A$1004,0)),IFERROR(INDEX(Batches!$B$5:$B$64,MATCH(C699,Batches!$A$5:$A$64,0)),"")))</f>
        <v/>
      </c>
      <c r="J699" s="17" t="str">
        <f aca="false">IF(B699="","",DATE(YEAR(B699),MONTH(B699),1))</f>
        <v/>
      </c>
    </row>
    <row r="700" customFormat="false" ht="15" hidden="false" customHeight="false" outlineLevel="0" collapsed="false">
      <c r="A700" s="20"/>
      <c r="B700" s="21"/>
      <c r="C700" s="20"/>
      <c r="D700" s="20"/>
      <c r="E700" s="20"/>
      <c r="F700" s="33"/>
      <c r="G700" s="20"/>
      <c r="H700" s="20"/>
      <c r="I700" s="8" t="str">
        <f aca="false">IF(C700="","",IFERROR(INDEX(Disputes!$C$5:$C$1004,MATCH(C700,Disputes!$A$5:$A$1004,0)),IFERROR(INDEX(Batches!$B$5:$B$64,MATCH(C700,Batches!$A$5:$A$64,0)),"")))</f>
        <v/>
      </c>
      <c r="J700" s="17" t="str">
        <f aca="false">IF(B700="","",DATE(YEAR(B700),MONTH(B700),1))</f>
        <v/>
      </c>
    </row>
    <row r="701" customFormat="false" ht="15" hidden="false" customHeight="false" outlineLevel="0" collapsed="false">
      <c r="A701" s="20"/>
      <c r="B701" s="21"/>
      <c r="C701" s="20"/>
      <c r="D701" s="20"/>
      <c r="E701" s="20"/>
      <c r="F701" s="33"/>
      <c r="G701" s="20"/>
      <c r="H701" s="20"/>
      <c r="I701" s="8" t="str">
        <f aca="false">IF(C701="","",IFERROR(INDEX(Disputes!$C$5:$C$1004,MATCH(C701,Disputes!$A$5:$A$1004,0)),IFERROR(INDEX(Batches!$B$5:$B$64,MATCH(C701,Batches!$A$5:$A$64,0)),"")))</f>
        <v/>
      </c>
      <c r="J701" s="17" t="str">
        <f aca="false">IF(B701="","",DATE(YEAR(B701),MONTH(B701),1))</f>
        <v/>
      </c>
    </row>
    <row r="702" customFormat="false" ht="15" hidden="false" customHeight="false" outlineLevel="0" collapsed="false">
      <c r="A702" s="20"/>
      <c r="B702" s="21"/>
      <c r="C702" s="20"/>
      <c r="D702" s="20"/>
      <c r="E702" s="20"/>
      <c r="F702" s="33"/>
      <c r="G702" s="20"/>
      <c r="H702" s="20"/>
      <c r="I702" s="8" t="str">
        <f aca="false">IF(C702="","",IFERROR(INDEX(Disputes!$C$5:$C$1004,MATCH(C702,Disputes!$A$5:$A$1004,0)),IFERROR(INDEX(Batches!$B$5:$B$64,MATCH(C702,Batches!$A$5:$A$64,0)),"")))</f>
        <v/>
      </c>
      <c r="J702" s="17" t="str">
        <f aca="false">IF(B702="","",DATE(YEAR(B702),MONTH(B702),1))</f>
        <v/>
      </c>
    </row>
    <row r="703" customFormat="false" ht="15" hidden="false" customHeight="false" outlineLevel="0" collapsed="false">
      <c r="A703" s="20"/>
      <c r="B703" s="21"/>
      <c r="C703" s="20"/>
      <c r="D703" s="20"/>
      <c r="E703" s="20"/>
      <c r="F703" s="33"/>
      <c r="G703" s="20"/>
      <c r="H703" s="20"/>
      <c r="I703" s="8" t="str">
        <f aca="false">IF(C703="","",IFERROR(INDEX(Disputes!$C$5:$C$1004,MATCH(C703,Disputes!$A$5:$A$1004,0)),IFERROR(INDEX(Batches!$B$5:$B$64,MATCH(C703,Batches!$A$5:$A$64,0)),"")))</f>
        <v/>
      </c>
      <c r="J703" s="17" t="str">
        <f aca="false">IF(B703="","",DATE(YEAR(B703),MONTH(B703),1))</f>
        <v/>
      </c>
    </row>
    <row r="704" customFormat="false" ht="15" hidden="false" customHeight="false" outlineLevel="0" collapsed="false">
      <c r="A704" s="20"/>
      <c r="B704" s="21"/>
      <c r="C704" s="20"/>
      <c r="D704" s="20"/>
      <c r="E704" s="20"/>
      <c r="F704" s="33"/>
      <c r="G704" s="20"/>
      <c r="H704" s="20"/>
      <c r="I704" s="8" t="str">
        <f aca="false">IF(C704="","",IFERROR(INDEX(Disputes!$C$5:$C$1004,MATCH(C704,Disputes!$A$5:$A$1004,0)),IFERROR(INDEX(Batches!$B$5:$B$64,MATCH(C704,Batches!$A$5:$A$64,0)),"")))</f>
        <v/>
      </c>
      <c r="J704" s="17" t="str">
        <f aca="false">IF(B704="","",DATE(YEAR(B704),MONTH(B704),1))</f>
        <v/>
      </c>
    </row>
    <row r="705" customFormat="false" ht="15" hidden="false" customHeight="false" outlineLevel="0" collapsed="false">
      <c r="A705" s="20"/>
      <c r="B705" s="21"/>
      <c r="C705" s="20"/>
      <c r="D705" s="20"/>
      <c r="E705" s="20"/>
      <c r="F705" s="33"/>
      <c r="G705" s="20"/>
      <c r="H705" s="20"/>
      <c r="I705" s="8" t="str">
        <f aca="false">IF(C705="","",IFERROR(INDEX(Disputes!$C$5:$C$1004,MATCH(C705,Disputes!$A$5:$A$1004,0)),IFERROR(INDEX(Batches!$B$5:$B$64,MATCH(C705,Batches!$A$5:$A$64,0)),"")))</f>
        <v/>
      </c>
      <c r="J705" s="17" t="str">
        <f aca="false">IF(B705="","",DATE(YEAR(B705),MONTH(B705),1))</f>
        <v/>
      </c>
    </row>
    <row r="706" customFormat="false" ht="15" hidden="false" customHeight="false" outlineLevel="0" collapsed="false">
      <c r="A706" s="20"/>
      <c r="B706" s="21"/>
      <c r="C706" s="20"/>
      <c r="D706" s="20"/>
      <c r="E706" s="20"/>
      <c r="F706" s="33"/>
      <c r="G706" s="20"/>
      <c r="H706" s="20"/>
      <c r="I706" s="8" t="str">
        <f aca="false">IF(C706="","",IFERROR(INDEX(Disputes!$C$5:$C$1004,MATCH(C706,Disputes!$A$5:$A$1004,0)),IFERROR(INDEX(Batches!$B$5:$B$64,MATCH(C706,Batches!$A$5:$A$64,0)),"")))</f>
        <v/>
      </c>
      <c r="J706" s="17" t="str">
        <f aca="false">IF(B706="","",DATE(YEAR(B706),MONTH(B706),1))</f>
        <v/>
      </c>
    </row>
    <row r="707" customFormat="false" ht="15" hidden="false" customHeight="false" outlineLevel="0" collapsed="false">
      <c r="A707" s="20"/>
      <c r="B707" s="21"/>
      <c r="C707" s="20"/>
      <c r="D707" s="20"/>
      <c r="E707" s="20"/>
      <c r="F707" s="33"/>
      <c r="G707" s="20"/>
      <c r="H707" s="20"/>
      <c r="I707" s="8" t="str">
        <f aca="false">IF(C707="","",IFERROR(INDEX(Disputes!$C$5:$C$1004,MATCH(C707,Disputes!$A$5:$A$1004,0)),IFERROR(INDEX(Batches!$B$5:$B$64,MATCH(C707,Batches!$A$5:$A$64,0)),"")))</f>
        <v/>
      </c>
      <c r="J707" s="17" t="str">
        <f aca="false">IF(B707="","",DATE(YEAR(B707),MONTH(B707),1))</f>
        <v/>
      </c>
    </row>
    <row r="708" customFormat="false" ht="15" hidden="false" customHeight="false" outlineLevel="0" collapsed="false">
      <c r="A708" s="20"/>
      <c r="B708" s="21"/>
      <c r="C708" s="20"/>
      <c r="D708" s="20"/>
      <c r="E708" s="20"/>
      <c r="F708" s="33"/>
      <c r="G708" s="20"/>
      <c r="H708" s="20"/>
      <c r="I708" s="8" t="str">
        <f aca="false">IF(C708="","",IFERROR(INDEX(Disputes!$C$5:$C$1004,MATCH(C708,Disputes!$A$5:$A$1004,0)),IFERROR(INDEX(Batches!$B$5:$B$64,MATCH(C708,Batches!$A$5:$A$64,0)),"")))</f>
        <v/>
      </c>
      <c r="J708" s="17" t="str">
        <f aca="false">IF(B708="","",DATE(YEAR(B708),MONTH(B708),1))</f>
        <v/>
      </c>
    </row>
    <row r="709" customFormat="false" ht="15" hidden="false" customHeight="false" outlineLevel="0" collapsed="false">
      <c r="A709" s="20"/>
      <c r="B709" s="21"/>
      <c r="C709" s="20"/>
      <c r="D709" s="20"/>
      <c r="E709" s="20"/>
      <c r="F709" s="33"/>
      <c r="G709" s="20"/>
      <c r="H709" s="20"/>
      <c r="I709" s="8" t="str">
        <f aca="false">IF(C709="","",IFERROR(INDEX(Disputes!$C$5:$C$1004,MATCH(C709,Disputes!$A$5:$A$1004,0)),IFERROR(INDEX(Batches!$B$5:$B$64,MATCH(C709,Batches!$A$5:$A$64,0)),"")))</f>
        <v/>
      </c>
      <c r="J709" s="17" t="str">
        <f aca="false">IF(B709="","",DATE(YEAR(B709),MONTH(B709),1))</f>
        <v/>
      </c>
    </row>
    <row r="710" customFormat="false" ht="15" hidden="false" customHeight="false" outlineLevel="0" collapsed="false">
      <c r="A710" s="20"/>
      <c r="B710" s="21"/>
      <c r="C710" s="20"/>
      <c r="D710" s="20"/>
      <c r="E710" s="20"/>
      <c r="F710" s="33"/>
      <c r="G710" s="20"/>
      <c r="H710" s="20"/>
      <c r="I710" s="8" t="str">
        <f aca="false">IF(C710="","",IFERROR(INDEX(Disputes!$C$5:$C$1004,MATCH(C710,Disputes!$A$5:$A$1004,0)),IFERROR(INDEX(Batches!$B$5:$B$64,MATCH(C710,Batches!$A$5:$A$64,0)),"")))</f>
        <v/>
      </c>
      <c r="J710" s="17" t="str">
        <f aca="false">IF(B710="","",DATE(YEAR(B710),MONTH(B710),1))</f>
        <v/>
      </c>
    </row>
    <row r="711" customFormat="false" ht="15" hidden="false" customHeight="false" outlineLevel="0" collapsed="false">
      <c r="A711" s="20"/>
      <c r="B711" s="21"/>
      <c r="C711" s="20"/>
      <c r="D711" s="20"/>
      <c r="E711" s="20"/>
      <c r="F711" s="33"/>
      <c r="G711" s="20"/>
      <c r="H711" s="20"/>
      <c r="I711" s="8" t="str">
        <f aca="false">IF(C711="","",IFERROR(INDEX(Disputes!$C$5:$C$1004,MATCH(C711,Disputes!$A$5:$A$1004,0)),IFERROR(INDEX(Batches!$B$5:$B$64,MATCH(C711,Batches!$A$5:$A$64,0)),"")))</f>
        <v/>
      </c>
      <c r="J711" s="17" t="str">
        <f aca="false">IF(B711="","",DATE(YEAR(B711),MONTH(B711),1))</f>
        <v/>
      </c>
    </row>
    <row r="712" customFormat="false" ht="15" hidden="false" customHeight="false" outlineLevel="0" collapsed="false">
      <c r="A712" s="20"/>
      <c r="B712" s="21"/>
      <c r="C712" s="20"/>
      <c r="D712" s="20"/>
      <c r="E712" s="20"/>
      <c r="F712" s="33"/>
      <c r="G712" s="20"/>
      <c r="H712" s="20"/>
      <c r="I712" s="8" t="str">
        <f aca="false">IF(C712="","",IFERROR(INDEX(Disputes!$C$5:$C$1004,MATCH(C712,Disputes!$A$5:$A$1004,0)),IFERROR(INDEX(Batches!$B$5:$B$64,MATCH(C712,Batches!$A$5:$A$64,0)),"")))</f>
        <v/>
      </c>
      <c r="J712" s="17" t="str">
        <f aca="false">IF(B712="","",DATE(YEAR(B712),MONTH(B712),1))</f>
        <v/>
      </c>
    </row>
    <row r="713" customFormat="false" ht="15" hidden="false" customHeight="false" outlineLevel="0" collapsed="false">
      <c r="A713" s="20"/>
      <c r="B713" s="21"/>
      <c r="C713" s="20"/>
      <c r="D713" s="20"/>
      <c r="E713" s="20"/>
      <c r="F713" s="33"/>
      <c r="G713" s="20"/>
      <c r="H713" s="20"/>
      <c r="I713" s="8" t="str">
        <f aca="false">IF(C713="","",IFERROR(INDEX(Disputes!$C$5:$C$1004,MATCH(C713,Disputes!$A$5:$A$1004,0)),IFERROR(INDEX(Batches!$B$5:$B$64,MATCH(C713,Batches!$A$5:$A$64,0)),"")))</f>
        <v/>
      </c>
      <c r="J713" s="17" t="str">
        <f aca="false">IF(B713="","",DATE(YEAR(B713),MONTH(B713),1))</f>
        <v/>
      </c>
    </row>
    <row r="714" customFormat="false" ht="15" hidden="false" customHeight="false" outlineLevel="0" collapsed="false">
      <c r="A714" s="20"/>
      <c r="B714" s="21"/>
      <c r="C714" s="20"/>
      <c r="D714" s="20"/>
      <c r="E714" s="20"/>
      <c r="F714" s="33"/>
      <c r="G714" s="20"/>
      <c r="H714" s="20"/>
      <c r="I714" s="8" t="str">
        <f aca="false">IF(C714="","",IFERROR(INDEX(Disputes!$C$5:$C$1004,MATCH(C714,Disputes!$A$5:$A$1004,0)),IFERROR(INDEX(Batches!$B$5:$B$64,MATCH(C714,Batches!$A$5:$A$64,0)),"")))</f>
        <v/>
      </c>
      <c r="J714" s="17" t="str">
        <f aca="false">IF(B714="","",DATE(YEAR(B714),MONTH(B714),1))</f>
        <v/>
      </c>
    </row>
    <row r="715" customFormat="false" ht="15" hidden="false" customHeight="false" outlineLevel="0" collapsed="false">
      <c r="A715" s="20"/>
      <c r="B715" s="21"/>
      <c r="C715" s="20"/>
      <c r="D715" s="20"/>
      <c r="E715" s="20"/>
      <c r="F715" s="33"/>
      <c r="G715" s="20"/>
      <c r="H715" s="20"/>
      <c r="I715" s="8" t="str">
        <f aca="false">IF(C715="","",IFERROR(INDEX(Disputes!$C$5:$C$1004,MATCH(C715,Disputes!$A$5:$A$1004,0)),IFERROR(INDEX(Batches!$B$5:$B$64,MATCH(C715,Batches!$A$5:$A$64,0)),"")))</f>
        <v/>
      </c>
      <c r="J715" s="17" t="str">
        <f aca="false">IF(B715="","",DATE(YEAR(B715),MONTH(B715),1))</f>
        <v/>
      </c>
    </row>
    <row r="716" customFormat="false" ht="15" hidden="false" customHeight="false" outlineLevel="0" collapsed="false">
      <c r="A716" s="20"/>
      <c r="B716" s="21"/>
      <c r="C716" s="20"/>
      <c r="D716" s="20"/>
      <c r="E716" s="20"/>
      <c r="F716" s="33"/>
      <c r="G716" s="20"/>
      <c r="H716" s="20"/>
      <c r="I716" s="8" t="str">
        <f aca="false">IF(C716="","",IFERROR(INDEX(Disputes!$C$5:$C$1004,MATCH(C716,Disputes!$A$5:$A$1004,0)),IFERROR(INDEX(Batches!$B$5:$B$64,MATCH(C716,Batches!$A$5:$A$64,0)),"")))</f>
        <v/>
      </c>
      <c r="J716" s="17" t="str">
        <f aca="false">IF(B716="","",DATE(YEAR(B716),MONTH(B716),1))</f>
        <v/>
      </c>
    </row>
    <row r="717" customFormat="false" ht="15" hidden="false" customHeight="false" outlineLevel="0" collapsed="false">
      <c r="A717" s="20"/>
      <c r="B717" s="21"/>
      <c r="C717" s="20"/>
      <c r="D717" s="20"/>
      <c r="E717" s="20"/>
      <c r="F717" s="33"/>
      <c r="G717" s="20"/>
      <c r="H717" s="20"/>
      <c r="I717" s="8" t="str">
        <f aca="false">IF(C717="","",IFERROR(INDEX(Disputes!$C$5:$C$1004,MATCH(C717,Disputes!$A$5:$A$1004,0)),IFERROR(INDEX(Batches!$B$5:$B$64,MATCH(C717,Batches!$A$5:$A$64,0)),"")))</f>
        <v/>
      </c>
      <c r="J717" s="17" t="str">
        <f aca="false">IF(B717="","",DATE(YEAR(B717),MONTH(B717),1))</f>
        <v/>
      </c>
    </row>
    <row r="718" customFormat="false" ht="15" hidden="false" customHeight="false" outlineLevel="0" collapsed="false">
      <c r="A718" s="20"/>
      <c r="B718" s="21"/>
      <c r="C718" s="20"/>
      <c r="D718" s="20"/>
      <c r="E718" s="20"/>
      <c r="F718" s="33"/>
      <c r="G718" s="20"/>
      <c r="H718" s="20"/>
      <c r="I718" s="8" t="str">
        <f aca="false">IF(C718="","",IFERROR(INDEX(Disputes!$C$5:$C$1004,MATCH(C718,Disputes!$A$5:$A$1004,0)),IFERROR(INDEX(Batches!$B$5:$B$64,MATCH(C718,Batches!$A$5:$A$64,0)),"")))</f>
        <v/>
      </c>
      <c r="J718" s="17" t="str">
        <f aca="false">IF(B718="","",DATE(YEAR(B718),MONTH(B718),1))</f>
        <v/>
      </c>
    </row>
    <row r="719" customFormat="false" ht="15" hidden="false" customHeight="false" outlineLevel="0" collapsed="false">
      <c r="A719" s="20"/>
      <c r="B719" s="21"/>
      <c r="C719" s="20"/>
      <c r="D719" s="20"/>
      <c r="E719" s="20"/>
      <c r="F719" s="33"/>
      <c r="G719" s="20"/>
      <c r="H719" s="20"/>
      <c r="I719" s="8" t="str">
        <f aca="false">IF(C719="","",IFERROR(INDEX(Disputes!$C$5:$C$1004,MATCH(C719,Disputes!$A$5:$A$1004,0)),IFERROR(INDEX(Batches!$B$5:$B$64,MATCH(C719,Batches!$A$5:$A$64,0)),"")))</f>
        <v/>
      </c>
      <c r="J719" s="17" t="str">
        <f aca="false">IF(B719="","",DATE(YEAR(B719),MONTH(B719),1))</f>
        <v/>
      </c>
    </row>
    <row r="720" customFormat="false" ht="15" hidden="false" customHeight="false" outlineLevel="0" collapsed="false">
      <c r="A720" s="20"/>
      <c r="B720" s="21"/>
      <c r="C720" s="20"/>
      <c r="D720" s="20"/>
      <c r="E720" s="20"/>
      <c r="F720" s="33"/>
      <c r="G720" s="20"/>
      <c r="H720" s="20"/>
      <c r="I720" s="8" t="str">
        <f aca="false">IF(C720="","",IFERROR(INDEX(Disputes!$C$5:$C$1004,MATCH(C720,Disputes!$A$5:$A$1004,0)),IFERROR(INDEX(Batches!$B$5:$B$64,MATCH(C720,Batches!$A$5:$A$64,0)),"")))</f>
        <v/>
      </c>
      <c r="J720" s="17" t="str">
        <f aca="false">IF(B720="","",DATE(YEAR(B720),MONTH(B720),1))</f>
        <v/>
      </c>
    </row>
    <row r="721" customFormat="false" ht="15" hidden="false" customHeight="false" outlineLevel="0" collapsed="false">
      <c r="A721" s="20"/>
      <c r="B721" s="21"/>
      <c r="C721" s="20"/>
      <c r="D721" s="20"/>
      <c r="E721" s="20"/>
      <c r="F721" s="33"/>
      <c r="G721" s="20"/>
      <c r="H721" s="20"/>
      <c r="I721" s="8" t="str">
        <f aca="false">IF(C721="","",IFERROR(INDEX(Disputes!$C$5:$C$1004,MATCH(C721,Disputes!$A$5:$A$1004,0)),IFERROR(INDEX(Batches!$B$5:$B$64,MATCH(C721,Batches!$A$5:$A$64,0)),"")))</f>
        <v/>
      </c>
      <c r="J721" s="17" t="str">
        <f aca="false">IF(B721="","",DATE(YEAR(B721),MONTH(B721),1))</f>
        <v/>
      </c>
    </row>
    <row r="722" customFormat="false" ht="15" hidden="false" customHeight="false" outlineLevel="0" collapsed="false">
      <c r="A722" s="20"/>
      <c r="B722" s="21"/>
      <c r="C722" s="20"/>
      <c r="D722" s="20"/>
      <c r="E722" s="20"/>
      <c r="F722" s="33"/>
      <c r="G722" s="20"/>
      <c r="H722" s="20"/>
      <c r="I722" s="8" t="str">
        <f aca="false">IF(C722="","",IFERROR(INDEX(Disputes!$C$5:$C$1004,MATCH(C722,Disputes!$A$5:$A$1004,0)),IFERROR(INDEX(Batches!$B$5:$B$64,MATCH(C722,Batches!$A$5:$A$64,0)),"")))</f>
        <v/>
      </c>
      <c r="J722" s="17" t="str">
        <f aca="false">IF(B722="","",DATE(YEAR(B722),MONTH(B722),1))</f>
        <v/>
      </c>
    </row>
    <row r="723" customFormat="false" ht="15" hidden="false" customHeight="false" outlineLevel="0" collapsed="false">
      <c r="A723" s="20"/>
      <c r="B723" s="21"/>
      <c r="C723" s="20"/>
      <c r="D723" s="20"/>
      <c r="E723" s="20"/>
      <c r="F723" s="33"/>
      <c r="G723" s="20"/>
      <c r="H723" s="20"/>
      <c r="I723" s="8" t="str">
        <f aca="false">IF(C723="","",IFERROR(INDEX(Disputes!$C$5:$C$1004,MATCH(C723,Disputes!$A$5:$A$1004,0)),IFERROR(INDEX(Batches!$B$5:$B$64,MATCH(C723,Batches!$A$5:$A$64,0)),"")))</f>
        <v/>
      </c>
      <c r="J723" s="17" t="str">
        <f aca="false">IF(B723="","",DATE(YEAR(B723),MONTH(B723),1))</f>
        <v/>
      </c>
    </row>
    <row r="724" customFormat="false" ht="15" hidden="false" customHeight="false" outlineLevel="0" collapsed="false">
      <c r="A724" s="20"/>
      <c r="B724" s="21"/>
      <c r="C724" s="20"/>
      <c r="D724" s="20"/>
      <c r="E724" s="20"/>
      <c r="F724" s="33"/>
      <c r="G724" s="20"/>
      <c r="H724" s="20"/>
      <c r="I724" s="8" t="str">
        <f aca="false">IF(C724="","",IFERROR(INDEX(Disputes!$C$5:$C$1004,MATCH(C724,Disputes!$A$5:$A$1004,0)),IFERROR(INDEX(Batches!$B$5:$B$64,MATCH(C724,Batches!$A$5:$A$64,0)),"")))</f>
        <v/>
      </c>
      <c r="J724" s="17" t="str">
        <f aca="false">IF(B724="","",DATE(YEAR(B724),MONTH(B724),1))</f>
        <v/>
      </c>
    </row>
    <row r="725" customFormat="false" ht="15" hidden="false" customHeight="false" outlineLevel="0" collapsed="false">
      <c r="A725" s="20"/>
      <c r="B725" s="21"/>
      <c r="C725" s="20"/>
      <c r="D725" s="20"/>
      <c r="E725" s="20"/>
      <c r="F725" s="33"/>
      <c r="G725" s="20"/>
      <c r="H725" s="20"/>
      <c r="I725" s="8" t="str">
        <f aca="false">IF(C725="","",IFERROR(INDEX(Disputes!$C$5:$C$1004,MATCH(C725,Disputes!$A$5:$A$1004,0)),IFERROR(INDEX(Batches!$B$5:$B$64,MATCH(C725,Batches!$A$5:$A$64,0)),"")))</f>
        <v/>
      </c>
      <c r="J725" s="17" t="str">
        <f aca="false">IF(B725="","",DATE(YEAR(B725),MONTH(B725),1))</f>
        <v/>
      </c>
    </row>
    <row r="726" customFormat="false" ht="15" hidden="false" customHeight="false" outlineLevel="0" collapsed="false">
      <c r="A726" s="20"/>
      <c r="B726" s="21"/>
      <c r="C726" s="20"/>
      <c r="D726" s="20"/>
      <c r="E726" s="20"/>
      <c r="F726" s="33"/>
      <c r="G726" s="20"/>
      <c r="H726" s="20"/>
      <c r="I726" s="8" t="str">
        <f aca="false">IF(C726="","",IFERROR(INDEX(Disputes!$C$5:$C$1004,MATCH(C726,Disputes!$A$5:$A$1004,0)),IFERROR(INDEX(Batches!$B$5:$B$64,MATCH(C726,Batches!$A$5:$A$64,0)),"")))</f>
        <v/>
      </c>
      <c r="J726" s="17" t="str">
        <f aca="false">IF(B726="","",DATE(YEAR(B726),MONTH(B726),1))</f>
        <v/>
      </c>
    </row>
    <row r="727" customFormat="false" ht="15" hidden="false" customHeight="false" outlineLevel="0" collapsed="false">
      <c r="A727" s="20"/>
      <c r="B727" s="21"/>
      <c r="C727" s="20"/>
      <c r="D727" s="20"/>
      <c r="E727" s="20"/>
      <c r="F727" s="33"/>
      <c r="G727" s="20"/>
      <c r="H727" s="20"/>
      <c r="I727" s="8" t="str">
        <f aca="false">IF(C727="","",IFERROR(INDEX(Disputes!$C$5:$C$1004,MATCH(C727,Disputes!$A$5:$A$1004,0)),IFERROR(INDEX(Batches!$B$5:$B$64,MATCH(C727,Batches!$A$5:$A$64,0)),"")))</f>
        <v/>
      </c>
      <c r="J727" s="17" t="str">
        <f aca="false">IF(B727="","",DATE(YEAR(B727),MONTH(B727),1))</f>
        <v/>
      </c>
    </row>
    <row r="728" customFormat="false" ht="15" hidden="false" customHeight="false" outlineLevel="0" collapsed="false">
      <c r="A728" s="20"/>
      <c r="B728" s="21"/>
      <c r="C728" s="20"/>
      <c r="D728" s="20"/>
      <c r="E728" s="20"/>
      <c r="F728" s="33"/>
      <c r="G728" s="20"/>
      <c r="H728" s="20"/>
      <c r="I728" s="8" t="str">
        <f aca="false">IF(C728="","",IFERROR(INDEX(Disputes!$C$5:$C$1004,MATCH(C728,Disputes!$A$5:$A$1004,0)),IFERROR(INDEX(Batches!$B$5:$B$64,MATCH(C728,Batches!$A$5:$A$64,0)),"")))</f>
        <v/>
      </c>
      <c r="J728" s="17" t="str">
        <f aca="false">IF(B728="","",DATE(YEAR(B728),MONTH(B728),1))</f>
        <v/>
      </c>
    </row>
    <row r="729" customFormat="false" ht="15" hidden="false" customHeight="false" outlineLevel="0" collapsed="false">
      <c r="A729" s="20"/>
      <c r="B729" s="21"/>
      <c r="C729" s="20"/>
      <c r="D729" s="20"/>
      <c r="E729" s="20"/>
      <c r="F729" s="33"/>
      <c r="G729" s="20"/>
      <c r="H729" s="20"/>
      <c r="I729" s="8" t="str">
        <f aca="false">IF(C729="","",IFERROR(INDEX(Disputes!$C$5:$C$1004,MATCH(C729,Disputes!$A$5:$A$1004,0)),IFERROR(INDEX(Batches!$B$5:$B$64,MATCH(C729,Batches!$A$5:$A$64,0)),"")))</f>
        <v/>
      </c>
      <c r="J729" s="17" t="str">
        <f aca="false">IF(B729="","",DATE(YEAR(B729),MONTH(B729),1))</f>
        <v/>
      </c>
    </row>
    <row r="730" customFormat="false" ht="15" hidden="false" customHeight="false" outlineLevel="0" collapsed="false">
      <c r="A730" s="20"/>
      <c r="B730" s="21"/>
      <c r="C730" s="20"/>
      <c r="D730" s="20"/>
      <c r="E730" s="20"/>
      <c r="F730" s="33"/>
      <c r="G730" s="20"/>
      <c r="H730" s="20"/>
      <c r="I730" s="8" t="str">
        <f aca="false">IF(C730="","",IFERROR(INDEX(Disputes!$C$5:$C$1004,MATCH(C730,Disputes!$A$5:$A$1004,0)),IFERROR(INDEX(Batches!$B$5:$B$64,MATCH(C730,Batches!$A$5:$A$64,0)),"")))</f>
        <v/>
      </c>
      <c r="J730" s="17" t="str">
        <f aca="false">IF(B730="","",DATE(YEAR(B730),MONTH(B730),1))</f>
        <v/>
      </c>
    </row>
    <row r="731" customFormat="false" ht="15" hidden="false" customHeight="false" outlineLevel="0" collapsed="false">
      <c r="A731" s="20"/>
      <c r="B731" s="21"/>
      <c r="C731" s="20"/>
      <c r="D731" s="20"/>
      <c r="E731" s="20"/>
      <c r="F731" s="33"/>
      <c r="G731" s="20"/>
      <c r="H731" s="20"/>
      <c r="I731" s="8" t="str">
        <f aca="false">IF(C731="","",IFERROR(INDEX(Disputes!$C$5:$C$1004,MATCH(C731,Disputes!$A$5:$A$1004,0)),IFERROR(INDEX(Batches!$B$5:$B$64,MATCH(C731,Batches!$A$5:$A$64,0)),"")))</f>
        <v/>
      </c>
      <c r="J731" s="17" t="str">
        <f aca="false">IF(B731="","",DATE(YEAR(B731),MONTH(B731),1))</f>
        <v/>
      </c>
    </row>
    <row r="732" customFormat="false" ht="15" hidden="false" customHeight="false" outlineLevel="0" collapsed="false">
      <c r="A732" s="20"/>
      <c r="B732" s="21"/>
      <c r="C732" s="20"/>
      <c r="D732" s="20"/>
      <c r="E732" s="20"/>
      <c r="F732" s="33"/>
      <c r="G732" s="20"/>
      <c r="H732" s="20"/>
      <c r="I732" s="8" t="str">
        <f aca="false">IF(C732="","",IFERROR(INDEX(Disputes!$C$5:$C$1004,MATCH(C732,Disputes!$A$5:$A$1004,0)),IFERROR(INDEX(Batches!$B$5:$B$64,MATCH(C732,Batches!$A$5:$A$64,0)),"")))</f>
        <v/>
      </c>
      <c r="J732" s="17" t="str">
        <f aca="false">IF(B732="","",DATE(YEAR(B732),MONTH(B732),1))</f>
        <v/>
      </c>
    </row>
    <row r="733" customFormat="false" ht="15" hidden="false" customHeight="false" outlineLevel="0" collapsed="false">
      <c r="A733" s="20"/>
      <c r="B733" s="21"/>
      <c r="C733" s="20"/>
      <c r="D733" s="20"/>
      <c r="E733" s="20"/>
      <c r="F733" s="33"/>
      <c r="G733" s="20"/>
      <c r="H733" s="20"/>
      <c r="I733" s="8" t="str">
        <f aca="false">IF(C733="","",IFERROR(INDEX(Disputes!$C$5:$C$1004,MATCH(C733,Disputes!$A$5:$A$1004,0)),IFERROR(INDEX(Batches!$B$5:$B$64,MATCH(C733,Batches!$A$5:$A$64,0)),"")))</f>
        <v/>
      </c>
      <c r="J733" s="17" t="str">
        <f aca="false">IF(B733="","",DATE(YEAR(B733),MONTH(B733),1))</f>
        <v/>
      </c>
    </row>
    <row r="734" customFormat="false" ht="15" hidden="false" customHeight="false" outlineLevel="0" collapsed="false">
      <c r="A734" s="20"/>
      <c r="B734" s="21"/>
      <c r="C734" s="20"/>
      <c r="D734" s="20"/>
      <c r="E734" s="20"/>
      <c r="F734" s="33"/>
      <c r="G734" s="20"/>
      <c r="H734" s="20"/>
      <c r="I734" s="8" t="str">
        <f aca="false">IF(C734="","",IFERROR(INDEX(Disputes!$C$5:$C$1004,MATCH(C734,Disputes!$A$5:$A$1004,0)),IFERROR(INDEX(Batches!$B$5:$B$64,MATCH(C734,Batches!$A$5:$A$64,0)),"")))</f>
        <v/>
      </c>
      <c r="J734" s="17" t="str">
        <f aca="false">IF(B734="","",DATE(YEAR(B734),MONTH(B734),1))</f>
        <v/>
      </c>
    </row>
    <row r="735" customFormat="false" ht="15" hidden="false" customHeight="false" outlineLevel="0" collapsed="false">
      <c r="A735" s="20"/>
      <c r="B735" s="21"/>
      <c r="C735" s="20"/>
      <c r="D735" s="20"/>
      <c r="E735" s="20"/>
      <c r="F735" s="33"/>
      <c r="G735" s="20"/>
      <c r="H735" s="20"/>
      <c r="I735" s="8" t="str">
        <f aca="false">IF(C735="","",IFERROR(INDEX(Disputes!$C$5:$C$1004,MATCH(C735,Disputes!$A$5:$A$1004,0)),IFERROR(INDEX(Batches!$B$5:$B$64,MATCH(C735,Batches!$A$5:$A$64,0)),"")))</f>
        <v/>
      </c>
      <c r="J735" s="17" t="str">
        <f aca="false">IF(B735="","",DATE(YEAR(B735),MONTH(B735),1))</f>
        <v/>
      </c>
    </row>
    <row r="736" customFormat="false" ht="15" hidden="false" customHeight="false" outlineLevel="0" collapsed="false">
      <c r="A736" s="20"/>
      <c r="B736" s="21"/>
      <c r="C736" s="20"/>
      <c r="D736" s="20"/>
      <c r="E736" s="20"/>
      <c r="F736" s="33"/>
      <c r="G736" s="20"/>
      <c r="H736" s="20"/>
      <c r="I736" s="8" t="str">
        <f aca="false">IF(C736="","",IFERROR(INDEX(Disputes!$C$5:$C$1004,MATCH(C736,Disputes!$A$5:$A$1004,0)),IFERROR(INDEX(Batches!$B$5:$B$64,MATCH(C736,Batches!$A$5:$A$64,0)),"")))</f>
        <v/>
      </c>
      <c r="J736" s="17" t="str">
        <f aca="false">IF(B736="","",DATE(YEAR(B736),MONTH(B736),1))</f>
        <v/>
      </c>
    </row>
    <row r="737" customFormat="false" ht="15" hidden="false" customHeight="false" outlineLevel="0" collapsed="false">
      <c r="A737" s="20"/>
      <c r="B737" s="21"/>
      <c r="C737" s="20"/>
      <c r="D737" s="20"/>
      <c r="E737" s="20"/>
      <c r="F737" s="33"/>
      <c r="G737" s="20"/>
      <c r="H737" s="20"/>
      <c r="I737" s="8" t="str">
        <f aca="false">IF(C737="","",IFERROR(INDEX(Disputes!$C$5:$C$1004,MATCH(C737,Disputes!$A$5:$A$1004,0)),IFERROR(INDEX(Batches!$B$5:$B$64,MATCH(C737,Batches!$A$5:$A$64,0)),"")))</f>
        <v/>
      </c>
      <c r="J737" s="17" t="str">
        <f aca="false">IF(B737="","",DATE(YEAR(B737),MONTH(B737),1))</f>
        <v/>
      </c>
    </row>
    <row r="738" customFormat="false" ht="15" hidden="false" customHeight="false" outlineLevel="0" collapsed="false">
      <c r="A738" s="20"/>
      <c r="B738" s="21"/>
      <c r="C738" s="20"/>
      <c r="D738" s="20"/>
      <c r="E738" s="20"/>
      <c r="F738" s="33"/>
      <c r="G738" s="20"/>
      <c r="H738" s="20"/>
      <c r="I738" s="8" t="str">
        <f aca="false">IF(C738="","",IFERROR(INDEX(Disputes!$C$5:$C$1004,MATCH(C738,Disputes!$A$5:$A$1004,0)),IFERROR(INDEX(Batches!$B$5:$B$64,MATCH(C738,Batches!$A$5:$A$64,0)),"")))</f>
        <v/>
      </c>
      <c r="J738" s="17" t="str">
        <f aca="false">IF(B738="","",DATE(YEAR(B738),MONTH(B738),1))</f>
        <v/>
      </c>
    </row>
    <row r="739" customFormat="false" ht="15" hidden="false" customHeight="false" outlineLevel="0" collapsed="false">
      <c r="A739" s="20"/>
      <c r="B739" s="21"/>
      <c r="C739" s="20"/>
      <c r="D739" s="20"/>
      <c r="E739" s="20"/>
      <c r="F739" s="33"/>
      <c r="G739" s="20"/>
      <c r="H739" s="20"/>
      <c r="I739" s="8" t="str">
        <f aca="false">IF(C739="","",IFERROR(INDEX(Disputes!$C$5:$C$1004,MATCH(C739,Disputes!$A$5:$A$1004,0)),IFERROR(INDEX(Batches!$B$5:$B$64,MATCH(C739,Batches!$A$5:$A$64,0)),"")))</f>
        <v/>
      </c>
      <c r="J739" s="17" t="str">
        <f aca="false">IF(B739="","",DATE(YEAR(B739),MONTH(B739),1))</f>
        <v/>
      </c>
    </row>
    <row r="740" customFormat="false" ht="15" hidden="false" customHeight="false" outlineLevel="0" collapsed="false">
      <c r="A740" s="20"/>
      <c r="B740" s="21"/>
      <c r="C740" s="20"/>
      <c r="D740" s="20"/>
      <c r="E740" s="20"/>
      <c r="F740" s="33"/>
      <c r="G740" s="20"/>
      <c r="H740" s="20"/>
      <c r="I740" s="8" t="str">
        <f aca="false">IF(C740="","",IFERROR(INDEX(Disputes!$C$5:$C$1004,MATCH(C740,Disputes!$A$5:$A$1004,0)),IFERROR(INDEX(Batches!$B$5:$B$64,MATCH(C740,Batches!$A$5:$A$64,0)),"")))</f>
        <v/>
      </c>
      <c r="J740" s="17" t="str">
        <f aca="false">IF(B740="","",DATE(YEAR(B740),MONTH(B740),1))</f>
        <v/>
      </c>
    </row>
    <row r="741" customFormat="false" ht="15" hidden="false" customHeight="false" outlineLevel="0" collapsed="false">
      <c r="A741" s="20"/>
      <c r="B741" s="21"/>
      <c r="C741" s="20"/>
      <c r="D741" s="20"/>
      <c r="E741" s="20"/>
      <c r="F741" s="33"/>
      <c r="G741" s="20"/>
      <c r="H741" s="20"/>
      <c r="I741" s="8" t="str">
        <f aca="false">IF(C741="","",IFERROR(INDEX(Disputes!$C$5:$C$1004,MATCH(C741,Disputes!$A$5:$A$1004,0)),IFERROR(INDEX(Batches!$B$5:$B$64,MATCH(C741,Batches!$A$5:$A$64,0)),"")))</f>
        <v/>
      </c>
      <c r="J741" s="17" t="str">
        <f aca="false">IF(B741="","",DATE(YEAR(B741),MONTH(B741),1))</f>
        <v/>
      </c>
    </row>
    <row r="742" customFormat="false" ht="15" hidden="false" customHeight="false" outlineLevel="0" collapsed="false">
      <c r="A742" s="20"/>
      <c r="B742" s="21"/>
      <c r="C742" s="20"/>
      <c r="D742" s="20"/>
      <c r="E742" s="20"/>
      <c r="F742" s="33"/>
      <c r="G742" s="20"/>
      <c r="H742" s="20"/>
      <c r="I742" s="8" t="str">
        <f aca="false">IF(C742="","",IFERROR(INDEX(Disputes!$C$5:$C$1004,MATCH(C742,Disputes!$A$5:$A$1004,0)),IFERROR(INDEX(Batches!$B$5:$B$64,MATCH(C742,Batches!$A$5:$A$64,0)),"")))</f>
        <v/>
      </c>
      <c r="J742" s="17" t="str">
        <f aca="false">IF(B742="","",DATE(YEAR(B742),MONTH(B742),1))</f>
        <v/>
      </c>
    </row>
    <row r="743" customFormat="false" ht="15" hidden="false" customHeight="false" outlineLevel="0" collapsed="false">
      <c r="A743" s="20"/>
      <c r="B743" s="21"/>
      <c r="C743" s="20"/>
      <c r="D743" s="20"/>
      <c r="E743" s="20"/>
      <c r="F743" s="33"/>
      <c r="G743" s="20"/>
      <c r="H743" s="20"/>
      <c r="I743" s="8" t="str">
        <f aca="false">IF(C743="","",IFERROR(INDEX(Disputes!$C$5:$C$1004,MATCH(C743,Disputes!$A$5:$A$1004,0)),IFERROR(INDEX(Batches!$B$5:$B$64,MATCH(C743,Batches!$A$5:$A$64,0)),"")))</f>
        <v/>
      </c>
      <c r="J743" s="17" t="str">
        <f aca="false">IF(B743="","",DATE(YEAR(B743),MONTH(B743),1))</f>
        <v/>
      </c>
    </row>
    <row r="744" customFormat="false" ht="15" hidden="false" customHeight="false" outlineLevel="0" collapsed="false">
      <c r="A744" s="20"/>
      <c r="B744" s="21"/>
      <c r="C744" s="20"/>
      <c r="D744" s="20"/>
      <c r="E744" s="20"/>
      <c r="F744" s="33"/>
      <c r="G744" s="20"/>
      <c r="H744" s="20"/>
      <c r="I744" s="8" t="str">
        <f aca="false">IF(C744="","",IFERROR(INDEX(Disputes!$C$5:$C$1004,MATCH(C744,Disputes!$A$5:$A$1004,0)),IFERROR(INDEX(Batches!$B$5:$B$64,MATCH(C744,Batches!$A$5:$A$64,0)),"")))</f>
        <v/>
      </c>
      <c r="J744" s="17" t="str">
        <f aca="false">IF(B744="","",DATE(YEAR(B744),MONTH(B744),1))</f>
        <v/>
      </c>
    </row>
    <row r="745" customFormat="false" ht="15" hidden="false" customHeight="false" outlineLevel="0" collapsed="false">
      <c r="A745" s="20"/>
      <c r="B745" s="21"/>
      <c r="C745" s="20"/>
      <c r="D745" s="20"/>
      <c r="E745" s="20"/>
      <c r="F745" s="33"/>
      <c r="G745" s="20"/>
      <c r="H745" s="20"/>
      <c r="I745" s="8" t="str">
        <f aca="false">IF(C745="","",IFERROR(INDEX(Disputes!$C$5:$C$1004,MATCH(C745,Disputes!$A$5:$A$1004,0)),IFERROR(INDEX(Batches!$B$5:$B$64,MATCH(C745,Batches!$A$5:$A$64,0)),"")))</f>
        <v/>
      </c>
      <c r="J745" s="17" t="str">
        <f aca="false">IF(B745="","",DATE(YEAR(B745),MONTH(B745),1))</f>
        <v/>
      </c>
    </row>
    <row r="746" customFormat="false" ht="15" hidden="false" customHeight="false" outlineLevel="0" collapsed="false">
      <c r="A746" s="20"/>
      <c r="B746" s="21"/>
      <c r="C746" s="20"/>
      <c r="D746" s="20"/>
      <c r="E746" s="20"/>
      <c r="F746" s="33"/>
      <c r="G746" s="20"/>
      <c r="H746" s="20"/>
      <c r="I746" s="8" t="str">
        <f aca="false">IF(C746="","",IFERROR(INDEX(Disputes!$C$5:$C$1004,MATCH(C746,Disputes!$A$5:$A$1004,0)),IFERROR(INDEX(Batches!$B$5:$B$64,MATCH(C746,Batches!$A$5:$A$64,0)),"")))</f>
        <v/>
      </c>
      <c r="J746" s="17" t="str">
        <f aca="false">IF(B746="","",DATE(YEAR(B746),MONTH(B746),1))</f>
        <v/>
      </c>
    </row>
    <row r="747" customFormat="false" ht="15" hidden="false" customHeight="false" outlineLevel="0" collapsed="false">
      <c r="A747" s="20"/>
      <c r="B747" s="21"/>
      <c r="C747" s="20"/>
      <c r="D747" s="20"/>
      <c r="E747" s="20"/>
      <c r="F747" s="33"/>
      <c r="G747" s="20"/>
      <c r="H747" s="20"/>
      <c r="I747" s="8" t="str">
        <f aca="false">IF(C747="","",IFERROR(INDEX(Disputes!$C$5:$C$1004,MATCH(C747,Disputes!$A$5:$A$1004,0)),IFERROR(INDEX(Batches!$B$5:$B$64,MATCH(C747,Batches!$A$5:$A$64,0)),"")))</f>
        <v/>
      </c>
      <c r="J747" s="17" t="str">
        <f aca="false">IF(B747="","",DATE(YEAR(B747),MONTH(B747),1))</f>
        <v/>
      </c>
    </row>
    <row r="748" customFormat="false" ht="15" hidden="false" customHeight="false" outlineLevel="0" collapsed="false">
      <c r="A748" s="20"/>
      <c r="B748" s="21"/>
      <c r="C748" s="20"/>
      <c r="D748" s="20"/>
      <c r="E748" s="20"/>
      <c r="F748" s="33"/>
      <c r="G748" s="20"/>
      <c r="H748" s="20"/>
      <c r="I748" s="8" t="str">
        <f aca="false">IF(C748="","",IFERROR(INDEX(Disputes!$C$5:$C$1004,MATCH(C748,Disputes!$A$5:$A$1004,0)),IFERROR(INDEX(Batches!$B$5:$B$64,MATCH(C748,Batches!$A$5:$A$64,0)),"")))</f>
        <v/>
      </c>
      <c r="J748" s="17" t="str">
        <f aca="false">IF(B748="","",DATE(YEAR(B748),MONTH(B748),1))</f>
        <v/>
      </c>
    </row>
    <row r="749" customFormat="false" ht="15" hidden="false" customHeight="false" outlineLevel="0" collapsed="false">
      <c r="A749" s="20"/>
      <c r="B749" s="21"/>
      <c r="C749" s="20"/>
      <c r="D749" s="20"/>
      <c r="E749" s="20"/>
      <c r="F749" s="33"/>
      <c r="G749" s="20"/>
      <c r="H749" s="20"/>
      <c r="I749" s="8" t="str">
        <f aca="false">IF(C749="","",IFERROR(INDEX(Disputes!$C$5:$C$1004,MATCH(C749,Disputes!$A$5:$A$1004,0)),IFERROR(INDEX(Batches!$B$5:$B$64,MATCH(C749,Batches!$A$5:$A$64,0)),"")))</f>
        <v/>
      </c>
      <c r="J749" s="17" t="str">
        <f aca="false">IF(B749="","",DATE(YEAR(B749),MONTH(B749),1))</f>
        <v/>
      </c>
    </row>
    <row r="750" customFormat="false" ht="15" hidden="false" customHeight="false" outlineLevel="0" collapsed="false">
      <c r="A750" s="20"/>
      <c r="B750" s="21"/>
      <c r="C750" s="20"/>
      <c r="D750" s="20"/>
      <c r="E750" s="20"/>
      <c r="F750" s="33"/>
      <c r="G750" s="20"/>
      <c r="H750" s="20"/>
      <c r="I750" s="8" t="str">
        <f aca="false">IF(C750="","",IFERROR(INDEX(Disputes!$C$5:$C$1004,MATCH(C750,Disputes!$A$5:$A$1004,0)),IFERROR(INDEX(Batches!$B$5:$B$64,MATCH(C750,Batches!$A$5:$A$64,0)),"")))</f>
        <v/>
      </c>
      <c r="J750" s="17" t="str">
        <f aca="false">IF(B750="","",DATE(YEAR(B750),MONTH(B750),1))</f>
        <v/>
      </c>
    </row>
    <row r="751" customFormat="false" ht="15" hidden="false" customHeight="false" outlineLevel="0" collapsed="false">
      <c r="A751" s="20"/>
      <c r="B751" s="21"/>
      <c r="C751" s="20"/>
      <c r="D751" s="20"/>
      <c r="E751" s="20"/>
      <c r="F751" s="33"/>
      <c r="G751" s="20"/>
      <c r="H751" s="20"/>
      <c r="I751" s="8" t="str">
        <f aca="false">IF(C751="","",IFERROR(INDEX(Disputes!$C$5:$C$1004,MATCH(C751,Disputes!$A$5:$A$1004,0)),IFERROR(INDEX(Batches!$B$5:$B$64,MATCH(C751,Batches!$A$5:$A$64,0)),"")))</f>
        <v/>
      </c>
      <c r="J751" s="17" t="str">
        <f aca="false">IF(B751="","",DATE(YEAR(B751),MONTH(B751),1))</f>
        <v/>
      </c>
    </row>
    <row r="752" customFormat="false" ht="15" hidden="false" customHeight="false" outlineLevel="0" collapsed="false">
      <c r="A752" s="20"/>
      <c r="B752" s="21"/>
      <c r="C752" s="20"/>
      <c r="D752" s="20"/>
      <c r="E752" s="20"/>
      <c r="F752" s="33"/>
      <c r="G752" s="20"/>
      <c r="H752" s="20"/>
      <c r="I752" s="8" t="str">
        <f aca="false">IF(C752="","",IFERROR(INDEX(Disputes!$C$5:$C$1004,MATCH(C752,Disputes!$A$5:$A$1004,0)),IFERROR(INDEX(Batches!$B$5:$B$64,MATCH(C752,Batches!$A$5:$A$64,0)),"")))</f>
        <v/>
      </c>
      <c r="J752" s="17" t="str">
        <f aca="false">IF(B752="","",DATE(YEAR(B752),MONTH(B752),1))</f>
        <v/>
      </c>
    </row>
    <row r="753" customFormat="false" ht="15" hidden="false" customHeight="false" outlineLevel="0" collapsed="false">
      <c r="A753" s="20"/>
      <c r="B753" s="21"/>
      <c r="C753" s="20"/>
      <c r="D753" s="20"/>
      <c r="E753" s="20"/>
      <c r="F753" s="33"/>
      <c r="G753" s="20"/>
      <c r="H753" s="20"/>
      <c r="I753" s="8" t="str">
        <f aca="false">IF(C753="","",IFERROR(INDEX(Disputes!$C$5:$C$1004,MATCH(C753,Disputes!$A$5:$A$1004,0)),IFERROR(INDEX(Batches!$B$5:$B$64,MATCH(C753,Batches!$A$5:$A$64,0)),"")))</f>
        <v/>
      </c>
      <c r="J753" s="17" t="str">
        <f aca="false">IF(B753="","",DATE(YEAR(B753),MONTH(B753),1))</f>
        <v/>
      </c>
    </row>
    <row r="754" customFormat="false" ht="15" hidden="false" customHeight="false" outlineLevel="0" collapsed="false">
      <c r="A754" s="20"/>
      <c r="B754" s="21"/>
      <c r="C754" s="20"/>
      <c r="D754" s="20"/>
      <c r="E754" s="20"/>
      <c r="F754" s="33"/>
      <c r="G754" s="20"/>
      <c r="H754" s="20"/>
      <c r="I754" s="8" t="str">
        <f aca="false">IF(C754="","",IFERROR(INDEX(Disputes!$C$5:$C$1004,MATCH(C754,Disputes!$A$5:$A$1004,0)),IFERROR(INDEX(Batches!$B$5:$B$64,MATCH(C754,Batches!$A$5:$A$64,0)),"")))</f>
        <v/>
      </c>
      <c r="J754" s="17" t="str">
        <f aca="false">IF(B754="","",DATE(YEAR(B754),MONTH(B754),1))</f>
        <v/>
      </c>
    </row>
    <row r="755" customFormat="false" ht="15" hidden="false" customHeight="false" outlineLevel="0" collapsed="false">
      <c r="A755" s="20"/>
      <c r="B755" s="21"/>
      <c r="C755" s="20"/>
      <c r="D755" s="20"/>
      <c r="E755" s="20"/>
      <c r="F755" s="33"/>
      <c r="G755" s="20"/>
      <c r="H755" s="20"/>
      <c r="I755" s="8" t="str">
        <f aca="false">IF(C755="","",IFERROR(INDEX(Disputes!$C$5:$C$1004,MATCH(C755,Disputes!$A$5:$A$1004,0)),IFERROR(INDEX(Batches!$B$5:$B$64,MATCH(C755,Batches!$A$5:$A$64,0)),"")))</f>
        <v/>
      </c>
      <c r="J755" s="17" t="str">
        <f aca="false">IF(B755="","",DATE(YEAR(B755),MONTH(B755),1))</f>
        <v/>
      </c>
    </row>
    <row r="756" customFormat="false" ht="15" hidden="false" customHeight="false" outlineLevel="0" collapsed="false">
      <c r="A756" s="20"/>
      <c r="B756" s="21"/>
      <c r="C756" s="20"/>
      <c r="D756" s="20"/>
      <c r="E756" s="20"/>
      <c r="F756" s="33"/>
      <c r="G756" s="20"/>
      <c r="H756" s="20"/>
      <c r="I756" s="8" t="str">
        <f aca="false">IF(C756="","",IFERROR(INDEX(Disputes!$C$5:$C$1004,MATCH(C756,Disputes!$A$5:$A$1004,0)),IFERROR(INDEX(Batches!$B$5:$B$64,MATCH(C756,Batches!$A$5:$A$64,0)),"")))</f>
        <v/>
      </c>
      <c r="J756" s="17" t="str">
        <f aca="false">IF(B756="","",DATE(YEAR(B756),MONTH(B756),1))</f>
        <v/>
      </c>
    </row>
    <row r="757" customFormat="false" ht="15" hidden="false" customHeight="false" outlineLevel="0" collapsed="false">
      <c r="A757" s="20"/>
      <c r="B757" s="21"/>
      <c r="C757" s="20"/>
      <c r="D757" s="20"/>
      <c r="E757" s="20"/>
      <c r="F757" s="33"/>
      <c r="G757" s="20"/>
      <c r="H757" s="20"/>
      <c r="I757" s="8" t="str">
        <f aca="false">IF(C757="","",IFERROR(INDEX(Disputes!$C$5:$C$1004,MATCH(C757,Disputes!$A$5:$A$1004,0)),IFERROR(INDEX(Batches!$B$5:$B$64,MATCH(C757,Batches!$A$5:$A$64,0)),"")))</f>
        <v/>
      </c>
      <c r="J757" s="17" t="str">
        <f aca="false">IF(B757="","",DATE(YEAR(B757),MONTH(B757),1))</f>
        <v/>
      </c>
    </row>
    <row r="758" customFormat="false" ht="15" hidden="false" customHeight="false" outlineLevel="0" collapsed="false">
      <c r="A758" s="20"/>
      <c r="B758" s="21"/>
      <c r="C758" s="20"/>
      <c r="D758" s="20"/>
      <c r="E758" s="20"/>
      <c r="F758" s="33"/>
      <c r="G758" s="20"/>
      <c r="H758" s="20"/>
      <c r="I758" s="8" t="str">
        <f aca="false">IF(C758="","",IFERROR(INDEX(Disputes!$C$5:$C$1004,MATCH(C758,Disputes!$A$5:$A$1004,0)),IFERROR(INDEX(Batches!$B$5:$B$64,MATCH(C758,Batches!$A$5:$A$64,0)),"")))</f>
        <v/>
      </c>
      <c r="J758" s="17" t="str">
        <f aca="false">IF(B758="","",DATE(YEAR(B758),MONTH(B758),1))</f>
        <v/>
      </c>
    </row>
    <row r="759" customFormat="false" ht="15" hidden="false" customHeight="false" outlineLevel="0" collapsed="false">
      <c r="A759" s="20"/>
      <c r="B759" s="21"/>
      <c r="C759" s="20"/>
      <c r="D759" s="20"/>
      <c r="E759" s="20"/>
      <c r="F759" s="33"/>
      <c r="G759" s="20"/>
      <c r="H759" s="20"/>
      <c r="I759" s="8" t="str">
        <f aca="false">IF(C759="","",IFERROR(INDEX(Disputes!$C$5:$C$1004,MATCH(C759,Disputes!$A$5:$A$1004,0)),IFERROR(INDEX(Batches!$B$5:$B$64,MATCH(C759,Batches!$A$5:$A$64,0)),"")))</f>
        <v/>
      </c>
      <c r="J759" s="17" t="str">
        <f aca="false">IF(B759="","",DATE(YEAR(B759),MONTH(B759),1))</f>
        <v/>
      </c>
    </row>
    <row r="760" customFormat="false" ht="15" hidden="false" customHeight="false" outlineLevel="0" collapsed="false">
      <c r="A760" s="20"/>
      <c r="B760" s="21"/>
      <c r="C760" s="20"/>
      <c r="D760" s="20"/>
      <c r="E760" s="20"/>
      <c r="F760" s="33"/>
      <c r="G760" s="20"/>
      <c r="H760" s="20"/>
      <c r="I760" s="8" t="str">
        <f aca="false">IF(C760="","",IFERROR(INDEX(Disputes!$C$5:$C$1004,MATCH(C760,Disputes!$A$5:$A$1004,0)),IFERROR(INDEX(Batches!$B$5:$B$64,MATCH(C760,Batches!$A$5:$A$64,0)),"")))</f>
        <v/>
      </c>
      <c r="J760" s="17" t="str">
        <f aca="false">IF(B760="","",DATE(YEAR(B760),MONTH(B760),1))</f>
        <v/>
      </c>
    </row>
    <row r="761" customFormat="false" ht="15" hidden="false" customHeight="false" outlineLevel="0" collapsed="false">
      <c r="A761" s="20"/>
      <c r="B761" s="21"/>
      <c r="C761" s="20"/>
      <c r="D761" s="20"/>
      <c r="E761" s="20"/>
      <c r="F761" s="33"/>
      <c r="G761" s="20"/>
      <c r="H761" s="20"/>
      <c r="I761" s="8" t="str">
        <f aca="false">IF(C761="","",IFERROR(INDEX(Disputes!$C$5:$C$1004,MATCH(C761,Disputes!$A$5:$A$1004,0)),IFERROR(INDEX(Batches!$B$5:$B$64,MATCH(C761,Batches!$A$5:$A$64,0)),"")))</f>
        <v/>
      </c>
      <c r="J761" s="17" t="str">
        <f aca="false">IF(B761="","",DATE(YEAR(B761),MONTH(B761),1))</f>
        <v/>
      </c>
    </row>
    <row r="762" customFormat="false" ht="15" hidden="false" customHeight="false" outlineLevel="0" collapsed="false">
      <c r="A762" s="20"/>
      <c r="B762" s="21"/>
      <c r="C762" s="20"/>
      <c r="D762" s="20"/>
      <c r="E762" s="20"/>
      <c r="F762" s="33"/>
      <c r="G762" s="20"/>
      <c r="H762" s="20"/>
      <c r="I762" s="8" t="str">
        <f aca="false">IF(C762="","",IFERROR(INDEX(Disputes!$C$5:$C$1004,MATCH(C762,Disputes!$A$5:$A$1004,0)),IFERROR(INDEX(Batches!$B$5:$B$64,MATCH(C762,Batches!$A$5:$A$64,0)),"")))</f>
        <v/>
      </c>
      <c r="J762" s="17" t="str">
        <f aca="false">IF(B762="","",DATE(YEAR(B762),MONTH(B762),1))</f>
        <v/>
      </c>
    </row>
    <row r="763" customFormat="false" ht="15" hidden="false" customHeight="false" outlineLevel="0" collapsed="false">
      <c r="A763" s="20"/>
      <c r="B763" s="21"/>
      <c r="C763" s="20"/>
      <c r="D763" s="20"/>
      <c r="E763" s="20"/>
      <c r="F763" s="33"/>
      <c r="G763" s="20"/>
      <c r="H763" s="20"/>
      <c r="I763" s="8" t="str">
        <f aca="false">IF(C763="","",IFERROR(INDEX(Disputes!$C$5:$C$1004,MATCH(C763,Disputes!$A$5:$A$1004,0)),IFERROR(INDEX(Batches!$B$5:$B$64,MATCH(C763,Batches!$A$5:$A$64,0)),"")))</f>
        <v/>
      </c>
      <c r="J763" s="17" t="str">
        <f aca="false">IF(B763="","",DATE(YEAR(B763),MONTH(B763),1))</f>
        <v/>
      </c>
    </row>
    <row r="764" customFormat="false" ht="15" hidden="false" customHeight="false" outlineLevel="0" collapsed="false">
      <c r="A764" s="20"/>
      <c r="B764" s="21"/>
      <c r="C764" s="20"/>
      <c r="D764" s="20"/>
      <c r="E764" s="20"/>
      <c r="F764" s="33"/>
      <c r="G764" s="20"/>
      <c r="H764" s="20"/>
      <c r="I764" s="8" t="str">
        <f aca="false">IF(C764="","",IFERROR(INDEX(Disputes!$C$5:$C$1004,MATCH(C764,Disputes!$A$5:$A$1004,0)),IFERROR(INDEX(Batches!$B$5:$B$64,MATCH(C764,Batches!$A$5:$A$64,0)),"")))</f>
        <v/>
      </c>
      <c r="J764" s="17" t="str">
        <f aca="false">IF(B764="","",DATE(YEAR(B764),MONTH(B764),1))</f>
        <v/>
      </c>
    </row>
    <row r="765" customFormat="false" ht="15" hidden="false" customHeight="false" outlineLevel="0" collapsed="false">
      <c r="A765" s="20"/>
      <c r="B765" s="21"/>
      <c r="C765" s="20"/>
      <c r="D765" s="20"/>
      <c r="E765" s="20"/>
      <c r="F765" s="33"/>
      <c r="G765" s="20"/>
      <c r="H765" s="20"/>
      <c r="I765" s="8" t="str">
        <f aca="false">IF(C765="","",IFERROR(INDEX(Disputes!$C$5:$C$1004,MATCH(C765,Disputes!$A$5:$A$1004,0)),IFERROR(INDEX(Batches!$B$5:$B$64,MATCH(C765,Batches!$A$5:$A$64,0)),"")))</f>
        <v/>
      </c>
      <c r="J765" s="17" t="str">
        <f aca="false">IF(B765="","",DATE(YEAR(B765),MONTH(B765),1))</f>
        <v/>
      </c>
    </row>
    <row r="766" customFormat="false" ht="15" hidden="false" customHeight="false" outlineLevel="0" collapsed="false">
      <c r="A766" s="20"/>
      <c r="B766" s="21"/>
      <c r="C766" s="20"/>
      <c r="D766" s="20"/>
      <c r="E766" s="20"/>
      <c r="F766" s="33"/>
      <c r="G766" s="20"/>
      <c r="H766" s="20"/>
      <c r="I766" s="8" t="str">
        <f aca="false">IF(C766="","",IFERROR(INDEX(Disputes!$C$5:$C$1004,MATCH(C766,Disputes!$A$5:$A$1004,0)),IFERROR(INDEX(Batches!$B$5:$B$64,MATCH(C766,Batches!$A$5:$A$64,0)),"")))</f>
        <v/>
      </c>
      <c r="J766" s="17" t="str">
        <f aca="false">IF(B766="","",DATE(YEAR(B766),MONTH(B766),1))</f>
        <v/>
      </c>
    </row>
    <row r="767" customFormat="false" ht="15" hidden="false" customHeight="false" outlineLevel="0" collapsed="false">
      <c r="A767" s="20"/>
      <c r="B767" s="21"/>
      <c r="C767" s="20"/>
      <c r="D767" s="20"/>
      <c r="E767" s="20"/>
      <c r="F767" s="33"/>
      <c r="G767" s="20"/>
      <c r="H767" s="20"/>
      <c r="I767" s="8" t="str">
        <f aca="false">IF(C767="","",IFERROR(INDEX(Disputes!$C$5:$C$1004,MATCH(C767,Disputes!$A$5:$A$1004,0)),IFERROR(INDEX(Batches!$B$5:$B$64,MATCH(C767,Batches!$A$5:$A$64,0)),"")))</f>
        <v/>
      </c>
      <c r="J767" s="17" t="str">
        <f aca="false">IF(B767="","",DATE(YEAR(B767),MONTH(B767),1))</f>
        <v/>
      </c>
    </row>
    <row r="768" customFormat="false" ht="15" hidden="false" customHeight="false" outlineLevel="0" collapsed="false">
      <c r="A768" s="20"/>
      <c r="B768" s="21"/>
      <c r="C768" s="20"/>
      <c r="D768" s="20"/>
      <c r="E768" s="20"/>
      <c r="F768" s="33"/>
      <c r="G768" s="20"/>
      <c r="H768" s="20"/>
      <c r="I768" s="8" t="str">
        <f aca="false">IF(C768="","",IFERROR(INDEX(Disputes!$C$5:$C$1004,MATCH(C768,Disputes!$A$5:$A$1004,0)),IFERROR(INDEX(Batches!$B$5:$B$64,MATCH(C768,Batches!$A$5:$A$64,0)),"")))</f>
        <v/>
      </c>
      <c r="J768" s="17" t="str">
        <f aca="false">IF(B768="","",DATE(YEAR(B768),MONTH(B768),1))</f>
        <v/>
      </c>
    </row>
    <row r="769" customFormat="false" ht="15" hidden="false" customHeight="false" outlineLevel="0" collapsed="false">
      <c r="A769" s="20"/>
      <c r="B769" s="21"/>
      <c r="C769" s="20"/>
      <c r="D769" s="20"/>
      <c r="E769" s="20"/>
      <c r="F769" s="33"/>
      <c r="G769" s="20"/>
      <c r="H769" s="20"/>
      <c r="I769" s="8" t="str">
        <f aca="false">IF(C769="","",IFERROR(INDEX(Disputes!$C$5:$C$1004,MATCH(C769,Disputes!$A$5:$A$1004,0)),IFERROR(INDEX(Batches!$B$5:$B$64,MATCH(C769,Batches!$A$5:$A$64,0)),"")))</f>
        <v/>
      </c>
      <c r="J769" s="17" t="str">
        <f aca="false">IF(B769="","",DATE(YEAR(B769),MONTH(B769),1))</f>
        <v/>
      </c>
    </row>
    <row r="770" customFormat="false" ht="15" hidden="false" customHeight="false" outlineLevel="0" collapsed="false">
      <c r="A770" s="20"/>
      <c r="B770" s="21"/>
      <c r="C770" s="20"/>
      <c r="D770" s="20"/>
      <c r="E770" s="20"/>
      <c r="F770" s="33"/>
      <c r="G770" s="20"/>
      <c r="H770" s="20"/>
      <c r="I770" s="8" t="str">
        <f aca="false">IF(C770="","",IFERROR(INDEX(Disputes!$C$5:$C$1004,MATCH(C770,Disputes!$A$5:$A$1004,0)),IFERROR(INDEX(Batches!$B$5:$B$64,MATCH(C770,Batches!$A$5:$A$64,0)),"")))</f>
        <v/>
      </c>
      <c r="J770" s="17" t="str">
        <f aca="false">IF(B770="","",DATE(YEAR(B770),MONTH(B770),1))</f>
        <v/>
      </c>
    </row>
    <row r="771" customFormat="false" ht="15" hidden="false" customHeight="false" outlineLevel="0" collapsed="false">
      <c r="A771" s="20"/>
      <c r="B771" s="21"/>
      <c r="C771" s="20"/>
      <c r="D771" s="20"/>
      <c r="E771" s="20"/>
      <c r="F771" s="33"/>
      <c r="G771" s="20"/>
      <c r="H771" s="20"/>
      <c r="I771" s="8" t="str">
        <f aca="false">IF(C771="","",IFERROR(INDEX(Disputes!$C$5:$C$1004,MATCH(C771,Disputes!$A$5:$A$1004,0)),IFERROR(INDEX(Batches!$B$5:$B$64,MATCH(C771,Batches!$A$5:$A$64,0)),"")))</f>
        <v/>
      </c>
      <c r="J771" s="17" t="str">
        <f aca="false">IF(B771="","",DATE(YEAR(B771),MONTH(B771),1))</f>
        <v/>
      </c>
    </row>
    <row r="772" customFormat="false" ht="15" hidden="false" customHeight="false" outlineLevel="0" collapsed="false">
      <c r="A772" s="20"/>
      <c r="B772" s="21"/>
      <c r="C772" s="20"/>
      <c r="D772" s="20"/>
      <c r="E772" s="20"/>
      <c r="F772" s="33"/>
      <c r="G772" s="20"/>
      <c r="H772" s="20"/>
      <c r="I772" s="8" t="str">
        <f aca="false">IF(C772="","",IFERROR(INDEX(Disputes!$C$5:$C$1004,MATCH(C772,Disputes!$A$5:$A$1004,0)),IFERROR(INDEX(Batches!$B$5:$B$64,MATCH(C772,Batches!$A$5:$A$64,0)),"")))</f>
        <v/>
      </c>
      <c r="J772" s="17" t="str">
        <f aca="false">IF(B772="","",DATE(YEAR(B772),MONTH(B772),1))</f>
        <v/>
      </c>
    </row>
    <row r="773" customFormat="false" ht="15" hidden="false" customHeight="false" outlineLevel="0" collapsed="false">
      <c r="A773" s="20"/>
      <c r="B773" s="21"/>
      <c r="C773" s="20"/>
      <c r="D773" s="20"/>
      <c r="E773" s="20"/>
      <c r="F773" s="33"/>
      <c r="G773" s="20"/>
      <c r="H773" s="20"/>
      <c r="I773" s="8" t="str">
        <f aca="false">IF(C773="","",IFERROR(INDEX(Disputes!$C$5:$C$1004,MATCH(C773,Disputes!$A$5:$A$1004,0)),IFERROR(INDEX(Batches!$B$5:$B$64,MATCH(C773,Batches!$A$5:$A$64,0)),"")))</f>
        <v/>
      </c>
      <c r="J773" s="17" t="str">
        <f aca="false">IF(B773="","",DATE(YEAR(B773),MONTH(B773),1))</f>
        <v/>
      </c>
    </row>
    <row r="774" customFormat="false" ht="15" hidden="false" customHeight="false" outlineLevel="0" collapsed="false">
      <c r="A774" s="20"/>
      <c r="B774" s="21"/>
      <c r="C774" s="20"/>
      <c r="D774" s="20"/>
      <c r="E774" s="20"/>
      <c r="F774" s="33"/>
      <c r="G774" s="20"/>
      <c r="H774" s="20"/>
      <c r="I774" s="8" t="str">
        <f aca="false">IF(C774="","",IFERROR(INDEX(Disputes!$C$5:$C$1004,MATCH(C774,Disputes!$A$5:$A$1004,0)),IFERROR(INDEX(Batches!$B$5:$B$64,MATCH(C774,Batches!$A$5:$A$64,0)),"")))</f>
        <v/>
      </c>
      <c r="J774" s="17" t="str">
        <f aca="false">IF(B774="","",DATE(YEAR(B774),MONTH(B774),1))</f>
        <v/>
      </c>
    </row>
    <row r="775" customFormat="false" ht="15" hidden="false" customHeight="false" outlineLevel="0" collapsed="false">
      <c r="A775" s="20"/>
      <c r="B775" s="21"/>
      <c r="C775" s="20"/>
      <c r="D775" s="20"/>
      <c r="E775" s="20"/>
      <c r="F775" s="33"/>
      <c r="G775" s="20"/>
      <c r="H775" s="20"/>
      <c r="I775" s="8" t="str">
        <f aca="false">IF(C775="","",IFERROR(INDEX(Disputes!$C$5:$C$1004,MATCH(C775,Disputes!$A$5:$A$1004,0)),IFERROR(INDEX(Batches!$B$5:$B$64,MATCH(C775,Batches!$A$5:$A$64,0)),"")))</f>
        <v/>
      </c>
      <c r="J775" s="17" t="str">
        <f aca="false">IF(B775="","",DATE(YEAR(B775),MONTH(B775),1))</f>
        <v/>
      </c>
    </row>
    <row r="776" customFormat="false" ht="15" hidden="false" customHeight="false" outlineLevel="0" collapsed="false">
      <c r="A776" s="20"/>
      <c r="B776" s="21"/>
      <c r="C776" s="20"/>
      <c r="D776" s="20"/>
      <c r="E776" s="20"/>
      <c r="F776" s="33"/>
      <c r="G776" s="20"/>
      <c r="H776" s="20"/>
      <c r="I776" s="8" t="str">
        <f aca="false">IF(C776="","",IFERROR(INDEX(Disputes!$C$5:$C$1004,MATCH(C776,Disputes!$A$5:$A$1004,0)),IFERROR(INDEX(Batches!$B$5:$B$64,MATCH(C776,Batches!$A$5:$A$64,0)),"")))</f>
        <v/>
      </c>
      <c r="J776" s="17" t="str">
        <f aca="false">IF(B776="","",DATE(YEAR(B776),MONTH(B776),1))</f>
        <v/>
      </c>
    </row>
    <row r="777" customFormat="false" ht="15" hidden="false" customHeight="false" outlineLevel="0" collapsed="false">
      <c r="A777" s="20"/>
      <c r="B777" s="21"/>
      <c r="C777" s="20"/>
      <c r="D777" s="20"/>
      <c r="E777" s="20"/>
      <c r="F777" s="33"/>
      <c r="G777" s="20"/>
      <c r="H777" s="20"/>
      <c r="I777" s="8" t="str">
        <f aca="false">IF(C777="","",IFERROR(INDEX(Disputes!$C$5:$C$1004,MATCH(C777,Disputes!$A$5:$A$1004,0)),IFERROR(INDEX(Batches!$B$5:$B$64,MATCH(C777,Batches!$A$5:$A$64,0)),"")))</f>
        <v/>
      </c>
      <c r="J777" s="17" t="str">
        <f aca="false">IF(B777="","",DATE(YEAR(B777),MONTH(B777),1))</f>
        <v/>
      </c>
    </row>
    <row r="778" customFormat="false" ht="15" hidden="false" customHeight="false" outlineLevel="0" collapsed="false">
      <c r="A778" s="20"/>
      <c r="B778" s="21"/>
      <c r="C778" s="20"/>
      <c r="D778" s="20"/>
      <c r="E778" s="20"/>
      <c r="F778" s="33"/>
      <c r="G778" s="20"/>
      <c r="H778" s="20"/>
      <c r="I778" s="8" t="str">
        <f aca="false">IF(C778="","",IFERROR(INDEX(Disputes!$C$5:$C$1004,MATCH(C778,Disputes!$A$5:$A$1004,0)),IFERROR(INDEX(Batches!$B$5:$B$64,MATCH(C778,Batches!$A$5:$A$64,0)),"")))</f>
        <v/>
      </c>
      <c r="J778" s="17" t="str">
        <f aca="false">IF(B778="","",DATE(YEAR(B778),MONTH(B778),1))</f>
        <v/>
      </c>
    </row>
    <row r="779" customFormat="false" ht="15" hidden="false" customHeight="false" outlineLevel="0" collapsed="false">
      <c r="A779" s="20"/>
      <c r="B779" s="21"/>
      <c r="C779" s="20"/>
      <c r="D779" s="20"/>
      <c r="E779" s="20"/>
      <c r="F779" s="33"/>
      <c r="G779" s="20"/>
      <c r="H779" s="20"/>
      <c r="I779" s="8" t="str">
        <f aca="false">IF(C779="","",IFERROR(INDEX(Disputes!$C$5:$C$1004,MATCH(C779,Disputes!$A$5:$A$1004,0)),IFERROR(INDEX(Batches!$B$5:$B$64,MATCH(C779,Batches!$A$5:$A$64,0)),"")))</f>
        <v/>
      </c>
      <c r="J779" s="17" t="str">
        <f aca="false">IF(B779="","",DATE(YEAR(B779),MONTH(B779),1))</f>
        <v/>
      </c>
    </row>
    <row r="780" customFormat="false" ht="15" hidden="false" customHeight="false" outlineLevel="0" collapsed="false">
      <c r="A780" s="20"/>
      <c r="B780" s="21"/>
      <c r="C780" s="20"/>
      <c r="D780" s="20"/>
      <c r="E780" s="20"/>
      <c r="F780" s="33"/>
      <c r="G780" s="20"/>
      <c r="H780" s="20"/>
      <c r="I780" s="8" t="str">
        <f aca="false">IF(C780="","",IFERROR(INDEX(Disputes!$C$5:$C$1004,MATCH(C780,Disputes!$A$5:$A$1004,0)),IFERROR(INDEX(Batches!$B$5:$B$64,MATCH(C780,Batches!$A$5:$A$64,0)),"")))</f>
        <v/>
      </c>
      <c r="J780" s="17" t="str">
        <f aca="false">IF(B780="","",DATE(YEAR(B780),MONTH(B780),1))</f>
        <v/>
      </c>
    </row>
    <row r="781" customFormat="false" ht="15" hidden="false" customHeight="false" outlineLevel="0" collapsed="false">
      <c r="A781" s="20"/>
      <c r="B781" s="21"/>
      <c r="C781" s="20"/>
      <c r="D781" s="20"/>
      <c r="E781" s="20"/>
      <c r="F781" s="33"/>
      <c r="G781" s="20"/>
      <c r="H781" s="20"/>
      <c r="I781" s="8" t="str">
        <f aca="false">IF(C781="","",IFERROR(INDEX(Disputes!$C$5:$C$1004,MATCH(C781,Disputes!$A$5:$A$1004,0)),IFERROR(INDEX(Batches!$B$5:$B$64,MATCH(C781,Batches!$A$5:$A$64,0)),"")))</f>
        <v/>
      </c>
      <c r="J781" s="17" t="str">
        <f aca="false">IF(B781="","",DATE(YEAR(B781),MONTH(B781),1))</f>
        <v/>
      </c>
    </row>
    <row r="782" customFormat="false" ht="15" hidden="false" customHeight="false" outlineLevel="0" collapsed="false">
      <c r="A782" s="20"/>
      <c r="B782" s="21"/>
      <c r="C782" s="20"/>
      <c r="D782" s="20"/>
      <c r="E782" s="20"/>
      <c r="F782" s="33"/>
      <c r="G782" s="20"/>
      <c r="H782" s="20"/>
      <c r="I782" s="8" t="str">
        <f aca="false">IF(C782="","",IFERROR(INDEX(Disputes!$C$5:$C$1004,MATCH(C782,Disputes!$A$5:$A$1004,0)),IFERROR(INDEX(Batches!$B$5:$B$64,MATCH(C782,Batches!$A$5:$A$64,0)),"")))</f>
        <v/>
      </c>
      <c r="J782" s="17" t="str">
        <f aca="false">IF(B782="","",DATE(YEAR(B782),MONTH(B782),1))</f>
        <v/>
      </c>
    </row>
    <row r="783" customFormat="false" ht="15" hidden="false" customHeight="false" outlineLevel="0" collapsed="false">
      <c r="A783" s="20"/>
      <c r="B783" s="21"/>
      <c r="C783" s="20"/>
      <c r="D783" s="20"/>
      <c r="E783" s="20"/>
      <c r="F783" s="33"/>
      <c r="G783" s="20"/>
      <c r="H783" s="20"/>
      <c r="I783" s="8" t="str">
        <f aca="false">IF(C783="","",IFERROR(INDEX(Disputes!$C$5:$C$1004,MATCH(C783,Disputes!$A$5:$A$1004,0)),IFERROR(INDEX(Batches!$B$5:$B$64,MATCH(C783,Batches!$A$5:$A$64,0)),"")))</f>
        <v/>
      </c>
      <c r="J783" s="17" t="str">
        <f aca="false">IF(B783="","",DATE(YEAR(B783),MONTH(B783),1))</f>
        <v/>
      </c>
    </row>
    <row r="784" customFormat="false" ht="15" hidden="false" customHeight="false" outlineLevel="0" collapsed="false">
      <c r="A784" s="20"/>
      <c r="B784" s="21"/>
      <c r="C784" s="20"/>
      <c r="D784" s="20"/>
      <c r="E784" s="20"/>
      <c r="F784" s="33"/>
      <c r="G784" s="20"/>
      <c r="H784" s="20"/>
      <c r="I784" s="8" t="str">
        <f aca="false">IF(C784="","",IFERROR(INDEX(Disputes!$C$5:$C$1004,MATCH(C784,Disputes!$A$5:$A$1004,0)),IFERROR(INDEX(Batches!$B$5:$B$64,MATCH(C784,Batches!$A$5:$A$64,0)),"")))</f>
        <v/>
      </c>
      <c r="J784" s="17" t="str">
        <f aca="false">IF(B784="","",DATE(YEAR(B784),MONTH(B784),1))</f>
        <v/>
      </c>
    </row>
    <row r="785" customFormat="false" ht="15" hidden="false" customHeight="false" outlineLevel="0" collapsed="false">
      <c r="A785" s="20"/>
      <c r="B785" s="21"/>
      <c r="C785" s="20"/>
      <c r="D785" s="20"/>
      <c r="E785" s="20"/>
      <c r="F785" s="33"/>
      <c r="G785" s="20"/>
      <c r="H785" s="20"/>
      <c r="I785" s="8" t="str">
        <f aca="false">IF(C785="","",IFERROR(INDEX(Disputes!$C$5:$C$1004,MATCH(C785,Disputes!$A$5:$A$1004,0)),IFERROR(INDEX(Batches!$B$5:$B$64,MATCH(C785,Batches!$A$5:$A$64,0)),"")))</f>
        <v/>
      </c>
      <c r="J785" s="17" t="str">
        <f aca="false">IF(B785="","",DATE(YEAR(B785),MONTH(B785),1))</f>
        <v/>
      </c>
    </row>
    <row r="786" customFormat="false" ht="15" hidden="false" customHeight="false" outlineLevel="0" collapsed="false">
      <c r="A786" s="20"/>
      <c r="B786" s="21"/>
      <c r="C786" s="20"/>
      <c r="D786" s="20"/>
      <c r="E786" s="20"/>
      <c r="F786" s="33"/>
      <c r="G786" s="20"/>
      <c r="H786" s="20"/>
      <c r="I786" s="8" t="str">
        <f aca="false">IF(C786="","",IFERROR(INDEX(Disputes!$C$5:$C$1004,MATCH(C786,Disputes!$A$5:$A$1004,0)),IFERROR(INDEX(Batches!$B$5:$B$64,MATCH(C786,Batches!$A$5:$A$64,0)),"")))</f>
        <v/>
      </c>
      <c r="J786" s="17" t="str">
        <f aca="false">IF(B786="","",DATE(YEAR(B786),MONTH(B786),1))</f>
        <v/>
      </c>
    </row>
    <row r="787" customFormat="false" ht="15" hidden="false" customHeight="false" outlineLevel="0" collapsed="false">
      <c r="A787" s="20"/>
      <c r="B787" s="21"/>
      <c r="C787" s="20"/>
      <c r="D787" s="20"/>
      <c r="E787" s="20"/>
      <c r="F787" s="33"/>
      <c r="G787" s="20"/>
      <c r="H787" s="20"/>
      <c r="I787" s="8" t="str">
        <f aca="false">IF(C787="","",IFERROR(INDEX(Disputes!$C$5:$C$1004,MATCH(C787,Disputes!$A$5:$A$1004,0)),IFERROR(INDEX(Batches!$B$5:$B$64,MATCH(C787,Batches!$A$5:$A$64,0)),"")))</f>
        <v/>
      </c>
      <c r="J787" s="17" t="str">
        <f aca="false">IF(B787="","",DATE(YEAR(B787),MONTH(B787),1))</f>
        <v/>
      </c>
    </row>
    <row r="788" customFormat="false" ht="15" hidden="false" customHeight="false" outlineLevel="0" collapsed="false">
      <c r="A788" s="20"/>
      <c r="B788" s="21"/>
      <c r="C788" s="20"/>
      <c r="D788" s="20"/>
      <c r="E788" s="20"/>
      <c r="F788" s="33"/>
      <c r="G788" s="20"/>
      <c r="H788" s="20"/>
      <c r="I788" s="8" t="str">
        <f aca="false">IF(C788="","",IFERROR(INDEX(Disputes!$C$5:$C$1004,MATCH(C788,Disputes!$A$5:$A$1004,0)),IFERROR(INDEX(Batches!$B$5:$B$64,MATCH(C788,Batches!$A$5:$A$64,0)),"")))</f>
        <v/>
      </c>
      <c r="J788" s="17" t="str">
        <f aca="false">IF(B788="","",DATE(YEAR(B788),MONTH(B788),1))</f>
        <v/>
      </c>
    </row>
    <row r="789" customFormat="false" ht="15" hidden="false" customHeight="false" outlineLevel="0" collapsed="false">
      <c r="A789" s="20"/>
      <c r="B789" s="21"/>
      <c r="C789" s="20"/>
      <c r="D789" s="20"/>
      <c r="E789" s="20"/>
      <c r="F789" s="33"/>
      <c r="G789" s="20"/>
      <c r="H789" s="20"/>
      <c r="I789" s="8" t="str">
        <f aca="false">IF(C789="","",IFERROR(INDEX(Disputes!$C$5:$C$1004,MATCH(C789,Disputes!$A$5:$A$1004,0)),IFERROR(INDEX(Batches!$B$5:$B$64,MATCH(C789,Batches!$A$5:$A$64,0)),"")))</f>
        <v/>
      </c>
      <c r="J789" s="17" t="str">
        <f aca="false">IF(B789="","",DATE(YEAR(B789),MONTH(B789),1))</f>
        <v/>
      </c>
    </row>
    <row r="790" customFormat="false" ht="15" hidden="false" customHeight="false" outlineLevel="0" collapsed="false">
      <c r="A790" s="20"/>
      <c r="B790" s="21"/>
      <c r="C790" s="20"/>
      <c r="D790" s="20"/>
      <c r="E790" s="20"/>
      <c r="F790" s="33"/>
      <c r="G790" s="20"/>
      <c r="H790" s="20"/>
      <c r="I790" s="8" t="str">
        <f aca="false">IF(C790="","",IFERROR(INDEX(Disputes!$C$5:$C$1004,MATCH(C790,Disputes!$A$5:$A$1004,0)),IFERROR(INDEX(Batches!$B$5:$B$64,MATCH(C790,Batches!$A$5:$A$64,0)),"")))</f>
        <v/>
      </c>
      <c r="J790" s="17" t="str">
        <f aca="false">IF(B790="","",DATE(YEAR(B790),MONTH(B790),1))</f>
        <v/>
      </c>
    </row>
    <row r="791" customFormat="false" ht="15" hidden="false" customHeight="false" outlineLevel="0" collapsed="false">
      <c r="A791" s="20"/>
      <c r="B791" s="21"/>
      <c r="C791" s="20"/>
      <c r="D791" s="20"/>
      <c r="E791" s="20"/>
      <c r="F791" s="33"/>
      <c r="G791" s="20"/>
      <c r="H791" s="20"/>
      <c r="I791" s="8" t="str">
        <f aca="false">IF(C791="","",IFERROR(INDEX(Disputes!$C$5:$C$1004,MATCH(C791,Disputes!$A$5:$A$1004,0)),IFERROR(INDEX(Batches!$B$5:$B$64,MATCH(C791,Batches!$A$5:$A$64,0)),"")))</f>
        <v/>
      </c>
      <c r="J791" s="17" t="str">
        <f aca="false">IF(B791="","",DATE(YEAR(B791),MONTH(B791),1))</f>
        <v/>
      </c>
    </row>
    <row r="792" customFormat="false" ht="15" hidden="false" customHeight="false" outlineLevel="0" collapsed="false">
      <c r="A792" s="20"/>
      <c r="B792" s="21"/>
      <c r="C792" s="20"/>
      <c r="D792" s="20"/>
      <c r="E792" s="20"/>
      <c r="F792" s="33"/>
      <c r="G792" s="20"/>
      <c r="H792" s="20"/>
      <c r="I792" s="8" t="str">
        <f aca="false">IF(C792="","",IFERROR(INDEX(Disputes!$C$5:$C$1004,MATCH(C792,Disputes!$A$5:$A$1004,0)),IFERROR(INDEX(Batches!$B$5:$B$64,MATCH(C792,Batches!$A$5:$A$64,0)),"")))</f>
        <v/>
      </c>
      <c r="J792" s="17" t="str">
        <f aca="false">IF(B792="","",DATE(YEAR(B792),MONTH(B792),1))</f>
        <v/>
      </c>
    </row>
    <row r="793" customFormat="false" ht="15" hidden="false" customHeight="false" outlineLevel="0" collapsed="false">
      <c r="A793" s="20"/>
      <c r="B793" s="21"/>
      <c r="C793" s="20"/>
      <c r="D793" s="20"/>
      <c r="E793" s="20"/>
      <c r="F793" s="33"/>
      <c r="G793" s="20"/>
      <c r="H793" s="20"/>
      <c r="I793" s="8" t="str">
        <f aca="false">IF(C793="","",IFERROR(INDEX(Disputes!$C$5:$C$1004,MATCH(C793,Disputes!$A$5:$A$1004,0)),IFERROR(INDEX(Batches!$B$5:$B$64,MATCH(C793,Batches!$A$5:$A$64,0)),"")))</f>
        <v/>
      </c>
      <c r="J793" s="17" t="str">
        <f aca="false">IF(B793="","",DATE(YEAR(B793),MONTH(B793),1))</f>
        <v/>
      </c>
    </row>
    <row r="794" customFormat="false" ht="15" hidden="false" customHeight="false" outlineLevel="0" collapsed="false">
      <c r="A794" s="20"/>
      <c r="B794" s="21"/>
      <c r="C794" s="20"/>
      <c r="D794" s="20"/>
      <c r="E794" s="20"/>
      <c r="F794" s="33"/>
      <c r="G794" s="20"/>
      <c r="H794" s="20"/>
      <c r="I794" s="8" t="str">
        <f aca="false">IF(C794="","",IFERROR(INDEX(Disputes!$C$5:$C$1004,MATCH(C794,Disputes!$A$5:$A$1004,0)),IFERROR(INDEX(Batches!$B$5:$B$64,MATCH(C794,Batches!$A$5:$A$64,0)),"")))</f>
        <v/>
      </c>
      <c r="J794" s="17" t="str">
        <f aca="false">IF(B794="","",DATE(YEAR(B794),MONTH(B794),1))</f>
        <v/>
      </c>
    </row>
    <row r="795" customFormat="false" ht="15" hidden="false" customHeight="false" outlineLevel="0" collapsed="false">
      <c r="A795" s="20"/>
      <c r="B795" s="21"/>
      <c r="C795" s="20"/>
      <c r="D795" s="20"/>
      <c r="E795" s="20"/>
      <c r="F795" s="33"/>
      <c r="G795" s="20"/>
      <c r="H795" s="20"/>
      <c r="I795" s="8" t="str">
        <f aca="false">IF(C795="","",IFERROR(INDEX(Disputes!$C$5:$C$1004,MATCH(C795,Disputes!$A$5:$A$1004,0)),IFERROR(INDEX(Batches!$B$5:$B$64,MATCH(C795,Batches!$A$5:$A$64,0)),"")))</f>
        <v/>
      </c>
      <c r="J795" s="17" t="str">
        <f aca="false">IF(B795="","",DATE(YEAR(B795),MONTH(B795),1))</f>
        <v/>
      </c>
    </row>
    <row r="796" customFormat="false" ht="15" hidden="false" customHeight="false" outlineLevel="0" collapsed="false">
      <c r="A796" s="20"/>
      <c r="B796" s="21"/>
      <c r="C796" s="20"/>
      <c r="D796" s="20"/>
      <c r="E796" s="20"/>
      <c r="F796" s="33"/>
      <c r="G796" s="20"/>
      <c r="H796" s="20"/>
      <c r="I796" s="8" t="str">
        <f aca="false">IF(C796="","",IFERROR(INDEX(Disputes!$C$5:$C$1004,MATCH(C796,Disputes!$A$5:$A$1004,0)),IFERROR(INDEX(Batches!$B$5:$B$64,MATCH(C796,Batches!$A$5:$A$64,0)),"")))</f>
        <v/>
      </c>
      <c r="J796" s="17" t="str">
        <f aca="false">IF(B796="","",DATE(YEAR(B796),MONTH(B796),1))</f>
        <v/>
      </c>
    </row>
    <row r="797" customFormat="false" ht="15" hidden="false" customHeight="false" outlineLevel="0" collapsed="false">
      <c r="A797" s="20"/>
      <c r="B797" s="21"/>
      <c r="C797" s="20"/>
      <c r="D797" s="20"/>
      <c r="E797" s="20"/>
      <c r="F797" s="33"/>
      <c r="G797" s="20"/>
      <c r="H797" s="20"/>
      <c r="I797" s="8" t="str">
        <f aca="false">IF(C797="","",IFERROR(INDEX(Disputes!$C$5:$C$1004,MATCH(C797,Disputes!$A$5:$A$1004,0)),IFERROR(INDEX(Batches!$B$5:$B$64,MATCH(C797,Batches!$A$5:$A$64,0)),"")))</f>
        <v/>
      </c>
      <c r="J797" s="17" t="str">
        <f aca="false">IF(B797="","",DATE(YEAR(B797),MONTH(B797),1))</f>
        <v/>
      </c>
    </row>
    <row r="798" customFormat="false" ht="15" hidden="false" customHeight="false" outlineLevel="0" collapsed="false">
      <c r="A798" s="20"/>
      <c r="B798" s="21"/>
      <c r="C798" s="20"/>
      <c r="D798" s="20"/>
      <c r="E798" s="20"/>
      <c r="F798" s="33"/>
      <c r="G798" s="20"/>
      <c r="H798" s="20"/>
      <c r="I798" s="8" t="str">
        <f aca="false">IF(C798="","",IFERROR(INDEX(Disputes!$C$5:$C$1004,MATCH(C798,Disputes!$A$5:$A$1004,0)),IFERROR(INDEX(Batches!$B$5:$B$64,MATCH(C798,Batches!$A$5:$A$64,0)),"")))</f>
        <v/>
      </c>
      <c r="J798" s="17" t="str">
        <f aca="false">IF(B798="","",DATE(YEAR(B798),MONTH(B798),1))</f>
        <v/>
      </c>
    </row>
    <row r="799" customFormat="false" ht="15" hidden="false" customHeight="false" outlineLevel="0" collapsed="false">
      <c r="A799" s="20"/>
      <c r="B799" s="21"/>
      <c r="C799" s="20"/>
      <c r="D799" s="20"/>
      <c r="E799" s="20"/>
      <c r="F799" s="33"/>
      <c r="G799" s="20"/>
      <c r="H799" s="20"/>
      <c r="I799" s="8" t="str">
        <f aca="false">IF(C799="","",IFERROR(INDEX(Disputes!$C$5:$C$1004,MATCH(C799,Disputes!$A$5:$A$1004,0)),IFERROR(INDEX(Batches!$B$5:$B$64,MATCH(C799,Batches!$A$5:$A$64,0)),"")))</f>
        <v/>
      </c>
      <c r="J799" s="17" t="str">
        <f aca="false">IF(B799="","",DATE(YEAR(B799),MONTH(B799),1))</f>
        <v/>
      </c>
    </row>
    <row r="800" customFormat="false" ht="15" hidden="false" customHeight="false" outlineLevel="0" collapsed="false">
      <c r="A800" s="20"/>
      <c r="B800" s="21"/>
      <c r="C800" s="20"/>
      <c r="D800" s="20"/>
      <c r="E800" s="20"/>
      <c r="F800" s="33"/>
      <c r="G800" s="20"/>
      <c r="H800" s="20"/>
      <c r="I800" s="8" t="str">
        <f aca="false">IF(C800="","",IFERROR(INDEX(Disputes!$C$5:$C$1004,MATCH(C800,Disputes!$A$5:$A$1004,0)),IFERROR(INDEX(Batches!$B$5:$B$64,MATCH(C800,Batches!$A$5:$A$64,0)),"")))</f>
        <v/>
      </c>
      <c r="J800" s="17" t="str">
        <f aca="false">IF(B800="","",DATE(YEAR(B800),MONTH(B800),1))</f>
        <v/>
      </c>
    </row>
    <row r="801" customFormat="false" ht="15" hidden="false" customHeight="false" outlineLevel="0" collapsed="false">
      <c r="A801" s="20"/>
      <c r="B801" s="21"/>
      <c r="C801" s="20"/>
      <c r="D801" s="20"/>
      <c r="E801" s="20"/>
      <c r="F801" s="33"/>
      <c r="G801" s="20"/>
      <c r="H801" s="20"/>
      <c r="I801" s="8" t="str">
        <f aca="false">IF(C801="","",IFERROR(INDEX(Disputes!$C$5:$C$1004,MATCH(C801,Disputes!$A$5:$A$1004,0)),IFERROR(INDEX(Batches!$B$5:$B$64,MATCH(C801,Batches!$A$5:$A$64,0)),"")))</f>
        <v/>
      </c>
      <c r="J801" s="17" t="str">
        <f aca="false">IF(B801="","",DATE(YEAR(B801),MONTH(B801),1))</f>
        <v/>
      </c>
    </row>
    <row r="802" customFormat="false" ht="15" hidden="false" customHeight="false" outlineLevel="0" collapsed="false">
      <c r="A802" s="20"/>
      <c r="B802" s="21"/>
      <c r="C802" s="20"/>
      <c r="D802" s="20"/>
      <c r="E802" s="20"/>
      <c r="F802" s="33"/>
      <c r="G802" s="20"/>
      <c r="H802" s="20"/>
      <c r="I802" s="8" t="str">
        <f aca="false">IF(C802="","",IFERROR(INDEX(Disputes!$C$5:$C$1004,MATCH(C802,Disputes!$A$5:$A$1004,0)),IFERROR(INDEX(Batches!$B$5:$B$64,MATCH(C802,Batches!$A$5:$A$64,0)),"")))</f>
        <v/>
      </c>
      <c r="J802" s="17" t="str">
        <f aca="false">IF(B802="","",DATE(YEAR(B802),MONTH(B802),1))</f>
        <v/>
      </c>
    </row>
    <row r="803" customFormat="false" ht="15" hidden="false" customHeight="false" outlineLevel="0" collapsed="false">
      <c r="A803" s="20"/>
      <c r="B803" s="21"/>
      <c r="C803" s="20"/>
      <c r="D803" s="20"/>
      <c r="E803" s="20"/>
      <c r="F803" s="33"/>
      <c r="G803" s="20"/>
      <c r="H803" s="20"/>
      <c r="I803" s="8" t="str">
        <f aca="false">IF(C803="","",IFERROR(INDEX(Disputes!$C$5:$C$1004,MATCH(C803,Disputes!$A$5:$A$1004,0)),IFERROR(INDEX(Batches!$B$5:$B$64,MATCH(C803,Batches!$A$5:$A$64,0)),"")))</f>
        <v/>
      </c>
      <c r="J803" s="17" t="str">
        <f aca="false">IF(B803="","",DATE(YEAR(B803),MONTH(B803),1))</f>
        <v/>
      </c>
    </row>
    <row r="804" customFormat="false" ht="15" hidden="false" customHeight="false" outlineLevel="0" collapsed="false">
      <c r="A804" s="20"/>
      <c r="B804" s="21"/>
      <c r="C804" s="20"/>
      <c r="D804" s="20"/>
      <c r="E804" s="20"/>
      <c r="F804" s="33"/>
      <c r="G804" s="20"/>
      <c r="H804" s="20"/>
      <c r="I804" s="8" t="str">
        <f aca="false">IF(C804="","",IFERROR(INDEX(Disputes!$C$5:$C$1004,MATCH(C804,Disputes!$A$5:$A$1004,0)),IFERROR(INDEX(Batches!$B$5:$B$64,MATCH(C804,Batches!$A$5:$A$64,0)),"")))</f>
        <v/>
      </c>
      <c r="J804" s="17" t="str">
        <f aca="false">IF(B804="","",DATE(YEAR(B804),MONTH(B804),1))</f>
        <v/>
      </c>
    </row>
    <row r="805" customFormat="false" ht="15" hidden="false" customHeight="false" outlineLevel="0" collapsed="false">
      <c r="A805" s="20"/>
      <c r="B805" s="21"/>
      <c r="C805" s="20"/>
      <c r="D805" s="20"/>
      <c r="E805" s="20"/>
      <c r="F805" s="33"/>
      <c r="G805" s="20"/>
      <c r="H805" s="20"/>
      <c r="I805" s="8" t="str">
        <f aca="false">IF(C805="","",IFERROR(INDEX(Disputes!$C$5:$C$1004,MATCH(C805,Disputes!$A$5:$A$1004,0)),IFERROR(INDEX(Batches!$B$5:$B$64,MATCH(C805,Batches!$A$5:$A$64,0)),"")))</f>
        <v/>
      </c>
      <c r="J805" s="17" t="str">
        <f aca="false">IF(B805="","",DATE(YEAR(B805),MONTH(B805),1))</f>
        <v/>
      </c>
    </row>
    <row r="806" customFormat="false" ht="15" hidden="false" customHeight="false" outlineLevel="0" collapsed="false">
      <c r="A806" s="20"/>
      <c r="B806" s="21"/>
      <c r="C806" s="20"/>
      <c r="D806" s="20"/>
      <c r="E806" s="20"/>
      <c r="F806" s="33"/>
      <c r="G806" s="20"/>
      <c r="H806" s="20"/>
      <c r="I806" s="8" t="str">
        <f aca="false">IF(C806="","",IFERROR(INDEX(Disputes!$C$5:$C$1004,MATCH(C806,Disputes!$A$5:$A$1004,0)),IFERROR(INDEX(Batches!$B$5:$B$64,MATCH(C806,Batches!$A$5:$A$64,0)),"")))</f>
        <v/>
      </c>
      <c r="J806" s="17" t="str">
        <f aca="false">IF(B806="","",DATE(YEAR(B806),MONTH(B806),1))</f>
        <v/>
      </c>
    </row>
    <row r="807" customFormat="false" ht="15" hidden="false" customHeight="false" outlineLevel="0" collapsed="false">
      <c r="A807" s="20"/>
      <c r="B807" s="21"/>
      <c r="C807" s="20"/>
      <c r="D807" s="20"/>
      <c r="E807" s="20"/>
      <c r="F807" s="33"/>
      <c r="G807" s="20"/>
      <c r="H807" s="20"/>
      <c r="I807" s="8" t="str">
        <f aca="false">IF(C807="","",IFERROR(INDEX(Disputes!$C$5:$C$1004,MATCH(C807,Disputes!$A$5:$A$1004,0)),IFERROR(INDEX(Batches!$B$5:$B$64,MATCH(C807,Batches!$A$5:$A$64,0)),"")))</f>
        <v/>
      </c>
      <c r="J807" s="17" t="str">
        <f aca="false">IF(B807="","",DATE(YEAR(B807),MONTH(B807),1))</f>
        <v/>
      </c>
    </row>
    <row r="808" customFormat="false" ht="15" hidden="false" customHeight="false" outlineLevel="0" collapsed="false">
      <c r="A808" s="20"/>
      <c r="B808" s="21"/>
      <c r="C808" s="20"/>
      <c r="D808" s="20"/>
      <c r="E808" s="20"/>
      <c r="F808" s="33"/>
      <c r="G808" s="20"/>
      <c r="H808" s="20"/>
      <c r="I808" s="8" t="str">
        <f aca="false">IF(C808="","",IFERROR(INDEX(Disputes!$C$5:$C$1004,MATCH(C808,Disputes!$A$5:$A$1004,0)),IFERROR(INDEX(Batches!$B$5:$B$64,MATCH(C808,Batches!$A$5:$A$64,0)),"")))</f>
        <v/>
      </c>
      <c r="J808" s="17" t="str">
        <f aca="false">IF(B808="","",DATE(YEAR(B808),MONTH(B808),1))</f>
        <v/>
      </c>
    </row>
    <row r="809" customFormat="false" ht="15" hidden="false" customHeight="false" outlineLevel="0" collapsed="false">
      <c r="A809" s="20"/>
      <c r="B809" s="21"/>
      <c r="C809" s="20"/>
      <c r="D809" s="20"/>
      <c r="E809" s="20"/>
      <c r="F809" s="33"/>
      <c r="G809" s="20"/>
      <c r="H809" s="20"/>
      <c r="I809" s="8" t="str">
        <f aca="false">IF(C809="","",IFERROR(INDEX(Disputes!$C$5:$C$1004,MATCH(C809,Disputes!$A$5:$A$1004,0)),IFERROR(INDEX(Batches!$B$5:$B$64,MATCH(C809,Batches!$A$5:$A$64,0)),"")))</f>
        <v/>
      </c>
      <c r="J809" s="17" t="str">
        <f aca="false">IF(B809="","",DATE(YEAR(B809),MONTH(B809),1))</f>
        <v/>
      </c>
    </row>
    <row r="810" customFormat="false" ht="15" hidden="false" customHeight="false" outlineLevel="0" collapsed="false">
      <c r="A810" s="20"/>
      <c r="B810" s="21"/>
      <c r="C810" s="20"/>
      <c r="D810" s="20"/>
      <c r="E810" s="20"/>
      <c r="F810" s="33"/>
      <c r="G810" s="20"/>
      <c r="H810" s="20"/>
      <c r="I810" s="8" t="str">
        <f aca="false">IF(C810="","",IFERROR(INDEX(Disputes!$C$5:$C$1004,MATCH(C810,Disputes!$A$5:$A$1004,0)),IFERROR(INDEX(Batches!$B$5:$B$64,MATCH(C810,Batches!$A$5:$A$64,0)),"")))</f>
        <v/>
      </c>
      <c r="J810" s="17" t="str">
        <f aca="false">IF(B810="","",DATE(YEAR(B810),MONTH(B810),1))</f>
        <v/>
      </c>
    </row>
    <row r="811" customFormat="false" ht="15" hidden="false" customHeight="false" outlineLevel="0" collapsed="false">
      <c r="A811" s="20"/>
      <c r="B811" s="21"/>
      <c r="C811" s="20"/>
      <c r="D811" s="20"/>
      <c r="E811" s="20"/>
      <c r="F811" s="33"/>
      <c r="G811" s="20"/>
      <c r="H811" s="20"/>
      <c r="I811" s="8" t="str">
        <f aca="false">IF(C811="","",IFERROR(INDEX(Disputes!$C$5:$C$1004,MATCH(C811,Disputes!$A$5:$A$1004,0)),IFERROR(INDEX(Batches!$B$5:$B$64,MATCH(C811,Batches!$A$5:$A$64,0)),"")))</f>
        <v/>
      </c>
      <c r="J811" s="17" t="str">
        <f aca="false">IF(B811="","",DATE(YEAR(B811),MONTH(B811),1))</f>
        <v/>
      </c>
    </row>
    <row r="812" customFormat="false" ht="15" hidden="false" customHeight="false" outlineLevel="0" collapsed="false">
      <c r="A812" s="20"/>
      <c r="B812" s="21"/>
      <c r="C812" s="20"/>
      <c r="D812" s="20"/>
      <c r="E812" s="20"/>
      <c r="F812" s="33"/>
      <c r="G812" s="20"/>
      <c r="H812" s="20"/>
      <c r="I812" s="8" t="str">
        <f aca="false">IF(C812="","",IFERROR(INDEX(Disputes!$C$5:$C$1004,MATCH(C812,Disputes!$A$5:$A$1004,0)),IFERROR(INDEX(Batches!$B$5:$B$64,MATCH(C812,Batches!$A$5:$A$64,0)),"")))</f>
        <v/>
      </c>
      <c r="J812" s="17" t="str">
        <f aca="false">IF(B812="","",DATE(YEAR(B812),MONTH(B812),1))</f>
        <v/>
      </c>
    </row>
    <row r="813" customFormat="false" ht="15" hidden="false" customHeight="false" outlineLevel="0" collapsed="false">
      <c r="A813" s="20"/>
      <c r="B813" s="21"/>
      <c r="C813" s="20"/>
      <c r="D813" s="20"/>
      <c r="E813" s="20"/>
      <c r="F813" s="33"/>
      <c r="G813" s="20"/>
      <c r="H813" s="20"/>
      <c r="I813" s="8" t="str">
        <f aca="false">IF(C813="","",IFERROR(INDEX(Disputes!$C$5:$C$1004,MATCH(C813,Disputes!$A$5:$A$1004,0)),IFERROR(INDEX(Batches!$B$5:$B$64,MATCH(C813,Batches!$A$5:$A$64,0)),"")))</f>
        <v/>
      </c>
      <c r="J813" s="17" t="str">
        <f aca="false">IF(B813="","",DATE(YEAR(B813),MONTH(B813),1))</f>
        <v/>
      </c>
    </row>
    <row r="814" customFormat="false" ht="15" hidden="false" customHeight="false" outlineLevel="0" collapsed="false">
      <c r="A814" s="20"/>
      <c r="B814" s="21"/>
      <c r="C814" s="20"/>
      <c r="D814" s="20"/>
      <c r="E814" s="20"/>
      <c r="F814" s="33"/>
      <c r="G814" s="20"/>
      <c r="H814" s="20"/>
      <c r="I814" s="8" t="str">
        <f aca="false">IF(C814="","",IFERROR(INDEX(Disputes!$C$5:$C$1004,MATCH(C814,Disputes!$A$5:$A$1004,0)),IFERROR(INDEX(Batches!$B$5:$B$64,MATCH(C814,Batches!$A$5:$A$64,0)),"")))</f>
        <v/>
      </c>
      <c r="J814" s="17" t="str">
        <f aca="false">IF(B814="","",DATE(YEAR(B814),MONTH(B814),1))</f>
        <v/>
      </c>
    </row>
    <row r="815" customFormat="false" ht="15" hidden="false" customHeight="false" outlineLevel="0" collapsed="false">
      <c r="A815" s="20"/>
      <c r="B815" s="21"/>
      <c r="C815" s="20"/>
      <c r="D815" s="20"/>
      <c r="E815" s="20"/>
      <c r="F815" s="33"/>
      <c r="G815" s="20"/>
      <c r="H815" s="20"/>
      <c r="I815" s="8" t="str">
        <f aca="false">IF(C815="","",IFERROR(INDEX(Disputes!$C$5:$C$1004,MATCH(C815,Disputes!$A$5:$A$1004,0)),IFERROR(INDEX(Batches!$B$5:$B$64,MATCH(C815,Batches!$A$5:$A$64,0)),"")))</f>
        <v/>
      </c>
      <c r="J815" s="17" t="str">
        <f aca="false">IF(B815="","",DATE(YEAR(B815),MONTH(B815),1))</f>
        <v/>
      </c>
    </row>
    <row r="816" customFormat="false" ht="15" hidden="false" customHeight="false" outlineLevel="0" collapsed="false">
      <c r="A816" s="20"/>
      <c r="B816" s="21"/>
      <c r="C816" s="20"/>
      <c r="D816" s="20"/>
      <c r="E816" s="20"/>
      <c r="F816" s="33"/>
      <c r="G816" s="20"/>
      <c r="H816" s="20"/>
      <c r="I816" s="8" t="str">
        <f aca="false">IF(C816="","",IFERROR(INDEX(Disputes!$C$5:$C$1004,MATCH(C816,Disputes!$A$5:$A$1004,0)),IFERROR(INDEX(Batches!$B$5:$B$64,MATCH(C816,Batches!$A$5:$A$64,0)),"")))</f>
        <v/>
      </c>
      <c r="J816" s="17" t="str">
        <f aca="false">IF(B816="","",DATE(YEAR(B816),MONTH(B816),1))</f>
        <v/>
      </c>
    </row>
    <row r="817" customFormat="false" ht="15" hidden="false" customHeight="false" outlineLevel="0" collapsed="false">
      <c r="A817" s="20"/>
      <c r="B817" s="21"/>
      <c r="C817" s="20"/>
      <c r="D817" s="20"/>
      <c r="E817" s="20"/>
      <c r="F817" s="33"/>
      <c r="G817" s="20"/>
      <c r="H817" s="20"/>
      <c r="I817" s="8" t="str">
        <f aca="false">IF(C817="","",IFERROR(INDEX(Disputes!$C$5:$C$1004,MATCH(C817,Disputes!$A$5:$A$1004,0)),IFERROR(INDEX(Batches!$B$5:$B$64,MATCH(C817,Batches!$A$5:$A$64,0)),"")))</f>
        <v/>
      </c>
      <c r="J817" s="17" t="str">
        <f aca="false">IF(B817="","",DATE(YEAR(B817),MONTH(B817),1))</f>
        <v/>
      </c>
    </row>
    <row r="818" customFormat="false" ht="15" hidden="false" customHeight="false" outlineLevel="0" collapsed="false">
      <c r="A818" s="20"/>
      <c r="B818" s="21"/>
      <c r="C818" s="20"/>
      <c r="D818" s="20"/>
      <c r="E818" s="20"/>
      <c r="F818" s="33"/>
      <c r="G818" s="20"/>
      <c r="H818" s="20"/>
      <c r="I818" s="8" t="str">
        <f aca="false">IF(C818="","",IFERROR(INDEX(Disputes!$C$5:$C$1004,MATCH(C818,Disputes!$A$5:$A$1004,0)),IFERROR(INDEX(Batches!$B$5:$B$64,MATCH(C818,Batches!$A$5:$A$64,0)),"")))</f>
        <v/>
      </c>
      <c r="J818" s="17" t="str">
        <f aca="false">IF(B818="","",DATE(YEAR(B818),MONTH(B818),1))</f>
        <v/>
      </c>
    </row>
    <row r="819" customFormat="false" ht="15" hidden="false" customHeight="false" outlineLevel="0" collapsed="false">
      <c r="A819" s="20"/>
      <c r="B819" s="21"/>
      <c r="C819" s="20"/>
      <c r="D819" s="20"/>
      <c r="E819" s="20"/>
      <c r="F819" s="33"/>
      <c r="G819" s="20"/>
      <c r="H819" s="20"/>
      <c r="I819" s="8" t="str">
        <f aca="false">IF(C819="","",IFERROR(INDEX(Disputes!$C$5:$C$1004,MATCH(C819,Disputes!$A$5:$A$1004,0)),IFERROR(INDEX(Batches!$B$5:$B$64,MATCH(C819,Batches!$A$5:$A$64,0)),"")))</f>
        <v/>
      </c>
      <c r="J819" s="17" t="str">
        <f aca="false">IF(B819="","",DATE(YEAR(B819),MONTH(B819),1))</f>
        <v/>
      </c>
    </row>
    <row r="820" customFormat="false" ht="15" hidden="false" customHeight="false" outlineLevel="0" collapsed="false">
      <c r="A820" s="20"/>
      <c r="B820" s="21"/>
      <c r="C820" s="20"/>
      <c r="D820" s="20"/>
      <c r="E820" s="20"/>
      <c r="F820" s="33"/>
      <c r="G820" s="20"/>
      <c r="H820" s="20"/>
      <c r="I820" s="8" t="str">
        <f aca="false">IF(C820="","",IFERROR(INDEX(Disputes!$C$5:$C$1004,MATCH(C820,Disputes!$A$5:$A$1004,0)),IFERROR(INDEX(Batches!$B$5:$B$64,MATCH(C820,Batches!$A$5:$A$64,0)),"")))</f>
        <v/>
      </c>
      <c r="J820" s="17" t="str">
        <f aca="false">IF(B820="","",DATE(YEAR(B820),MONTH(B820),1))</f>
        <v/>
      </c>
    </row>
    <row r="821" customFormat="false" ht="15" hidden="false" customHeight="false" outlineLevel="0" collapsed="false">
      <c r="A821" s="20"/>
      <c r="B821" s="21"/>
      <c r="C821" s="20"/>
      <c r="D821" s="20"/>
      <c r="E821" s="20"/>
      <c r="F821" s="33"/>
      <c r="G821" s="20"/>
      <c r="H821" s="20"/>
      <c r="I821" s="8" t="str">
        <f aca="false">IF(C821="","",IFERROR(INDEX(Disputes!$C$5:$C$1004,MATCH(C821,Disputes!$A$5:$A$1004,0)),IFERROR(INDEX(Batches!$B$5:$B$64,MATCH(C821,Batches!$A$5:$A$64,0)),"")))</f>
        <v/>
      </c>
      <c r="J821" s="17" t="str">
        <f aca="false">IF(B821="","",DATE(YEAR(B821),MONTH(B821),1))</f>
        <v/>
      </c>
    </row>
    <row r="822" customFormat="false" ht="15" hidden="false" customHeight="false" outlineLevel="0" collapsed="false">
      <c r="A822" s="20"/>
      <c r="B822" s="21"/>
      <c r="C822" s="20"/>
      <c r="D822" s="20"/>
      <c r="E822" s="20"/>
      <c r="F822" s="33"/>
      <c r="G822" s="20"/>
      <c r="H822" s="20"/>
      <c r="I822" s="8" t="str">
        <f aca="false">IF(C822="","",IFERROR(INDEX(Disputes!$C$5:$C$1004,MATCH(C822,Disputes!$A$5:$A$1004,0)),IFERROR(INDEX(Batches!$B$5:$B$64,MATCH(C822,Batches!$A$5:$A$64,0)),"")))</f>
        <v/>
      </c>
      <c r="J822" s="17" t="str">
        <f aca="false">IF(B822="","",DATE(YEAR(B822),MONTH(B822),1))</f>
        <v/>
      </c>
    </row>
    <row r="823" customFormat="false" ht="15" hidden="false" customHeight="false" outlineLevel="0" collapsed="false">
      <c r="A823" s="20"/>
      <c r="B823" s="21"/>
      <c r="C823" s="20"/>
      <c r="D823" s="20"/>
      <c r="E823" s="20"/>
      <c r="F823" s="33"/>
      <c r="G823" s="20"/>
      <c r="H823" s="20"/>
      <c r="I823" s="8" t="str">
        <f aca="false">IF(C823="","",IFERROR(INDEX(Disputes!$C$5:$C$1004,MATCH(C823,Disputes!$A$5:$A$1004,0)),IFERROR(INDEX(Batches!$B$5:$B$64,MATCH(C823,Batches!$A$5:$A$64,0)),"")))</f>
        <v/>
      </c>
      <c r="J823" s="17" t="str">
        <f aca="false">IF(B823="","",DATE(YEAR(B823),MONTH(B823),1))</f>
        <v/>
      </c>
    </row>
    <row r="824" customFormat="false" ht="15" hidden="false" customHeight="false" outlineLevel="0" collapsed="false">
      <c r="A824" s="20"/>
      <c r="B824" s="21"/>
      <c r="C824" s="20"/>
      <c r="D824" s="20"/>
      <c r="E824" s="20"/>
      <c r="F824" s="33"/>
      <c r="G824" s="20"/>
      <c r="H824" s="20"/>
      <c r="I824" s="8" t="str">
        <f aca="false">IF(C824="","",IFERROR(INDEX(Disputes!$C$5:$C$1004,MATCH(C824,Disputes!$A$5:$A$1004,0)),IFERROR(INDEX(Batches!$B$5:$B$64,MATCH(C824,Batches!$A$5:$A$64,0)),"")))</f>
        <v/>
      </c>
      <c r="J824" s="17" t="str">
        <f aca="false">IF(B824="","",DATE(YEAR(B824),MONTH(B824),1))</f>
        <v/>
      </c>
    </row>
    <row r="825" customFormat="false" ht="15" hidden="false" customHeight="false" outlineLevel="0" collapsed="false">
      <c r="A825" s="20"/>
      <c r="B825" s="21"/>
      <c r="C825" s="20"/>
      <c r="D825" s="20"/>
      <c r="E825" s="20"/>
      <c r="F825" s="33"/>
      <c r="G825" s="20"/>
      <c r="H825" s="20"/>
      <c r="I825" s="8" t="str">
        <f aca="false">IF(C825="","",IFERROR(INDEX(Disputes!$C$5:$C$1004,MATCH(C825,Disputes!$A$5:$A$1004,0)),IFERROR(INDEX(Batches!$B$5:$B$64,MATCH(C825,Batches!$A$5:$A$64,0)),"")))</f>
        <v/>
      </c>
      <c r="J825" s="17" t="str">
        <f aca="false">IF(B825="","",DATE(YEAR(B825),MONTH(B825),1))</f>
        <v/>
      </c>
    </row>
    <row r="826" customFormat="false" ht="15" hidden="false" customHeight="false" outlineLevel="0" collapsed="false">
      <c r="A826" s="20"/>
      <c r="B826" s="21"/>
      <c r="C826" s="20"/>
      <c r="D826" s="20"/>
      <c r="E826" s="20"/>
      <c r="F826" s="33"/>
      <c r="G826" s="20"/>
      <c r="H826" s="20"/>
      <c r="I826" s="8" t="str">
        <f aca="false">IF(C826="","",IFERROR(INDEX(Disputes!$C$5:$C$1004,MATCH(C826,Disputes!$A$5:$A$1004,0)),IFERROR(INDEX(Batches!$B$5:$B$64,MATCH(C826,Batches!$A$5:$A$64,0)),"")))</f>
        <v/>
      </c>
      <c r="J826" s="17" t="str">
        <f aca="false">IF(B826="","",DATE(YEAR(B826),MONTH(B826),1))</f>
        <v/>
      </c>
    </row>
    <row r="827" customFormat="false" ht="15" hidden="false" customHeight="false" outlineLevel="0" collapsed="false">
      <c r="A827" s="20"/>
      <c r="B827" s="21"/>
      <c r="C827" s="20"/>
      <c r="D827" s="20"/>
      <c r="E827" s="20"/>
      <c r="F827" s="33"/>
      <c r="G827" s="20"/>
      <c r="H827" s="20"/>
      <c r="I827" s="8" t="str">
        <f aca="false">IF(C827="","",IFERROR(INDEX(Disputes!$C$5:$C$1004,MATCH(C827,Disputes!$A$5:$A$1004,0)),IFERROR(INDEX(Batches!$B$5:$B$64,MATCH(C827,Batches!$A$5:$A$64,0)),"")))</f>
        <v/>
      </c>
      <c r="J827" s="17" t="str">
        <f aca="false">IF(B827="","",DATE(YEAR(B827),MONTH(B827),1))</f>
        <v/>
      </c>
    </row>
    <row r="828" customFormat="false" ht="15" hidden="false" customHeight="false" outlineLevel="0" collapsed="false">
      <c r="A828" s="20"/>
      <c r="B828" s="21"/>
      <c r="C828" s="20"/>
      <c r="D828" s="20"/>
      <c r="E828" s="20"/>
      <c r="F828" s="33"/>
      <c r="G828" s="20"/>
      <c r="H828" s="20"/>
      <c r="I828" s="8" t="str">
        <f aca="false">IF(C828="","",IFERROR(INDEX(Disputes!$C$5:$C$1004,MATCH(C828,Disputes!$A$5:$A$1004,0)),IFERROR(INDEX(Batches!$B$5:$B$64,MATCH(C828,Batches!$A$5:$A$64,0)),"")))</f>
        <v/>
      </c>
      <c r="J828" s="17" t="str">
        <f aca="false">IF(B828="","",DATE(YEAR(B828),MONTH(B828),1))</f>
        <v/>
      </c>
    </row>
    <row r="829" customFormat="false" ht="15" hidden="false" customHeight="false" outlineLevel="0" collapsed="false">
      <c r="A829" s="20"/>
      <c r="B829" s="21"/>
      <c r="C829" s="20"/>
      <c r="D829" s="20"/>
      <c r="E829" s="20"/>
      <c r="F829" s="33"/>
      <c r="G829" s="20"/>
      <c r="H829" s="20"/>
      <c r="I829" s="8" t="str">
        <f aca="false">IF(C829="","",IFERROR(INDEX(Disputes!$C$5:$C$1004,MATCH(C829,Disputes!$A$5:$A$1004,0)),IFERROR(INDEX(Batches!$B$5:$B$64,MATCH(C829,Batches!$A$5:$A$64,0)),"")))</f>
        <v/>
      </c>
      <c r="J829" s="17" t="str">
        <f aca="false">IF(B829="","",DATE(YEAR(B829),MONTH(B829),1))</f>
        <v/>
      </c>
    </row>
    <row r="830" customFormat="false" ht="15" hidden="false" customHeight="false" outlineLevel="0" collapsed="false">
      <c r="A830" s="20"/>
      <c r="B830" s="21"/>
      <c r="C830" s="20"/>
      <c r="D830" s="20"/>
      <c r="E830" s="20"/>
      <c r="F830" s="33"/>
      <c r="G830" s="20"/>
      <c r="H830" s="20"/>
      <c r="I830" s="8" t="str">
        <f aca="false">IF(C830="","",IFERROR(INDEX(Disputes!$C$5:$C$1004,MATCH(C830,Disputes!$A$5:$A$1004,0)),IFERROR(INDEX(Batches!$B$5:$B$64,MATCH(C830,Batches!$A$5:$A$64,0)),"")))</f>
        <v/>
      </c>
      <c r="J830" s="17" t="str">
        <f aca="false">IF(B830="","",DATE(YEAR(B830),MONTH(B830),1))</f>
        <v/>
      </c>
    </row>
    <row r="831" customFormat="false" ht="15" hidden="false" customHeight="false" outlineLevel="0" collapsed="false">
      <c r="A831" s="20"/>
      <c r="B831" s="21"/>
      <c r="C831" s="20"/>
      <c r="D831" s="20"/>
      <c r="E831" s="20"/>
      <c r="F831" s="33"/>
      <c r="G831" s="20"/>
      <c r="H831" s="20"/>
      <c r="I831" s="8" t="str">
        <f aca="false">IF(C831="","",IFERROR(INDEX(Disputes!$C$5:$C$1004,MATCH(C831,Disputes!$A$5:$A$1004,0)),IFERROR(INDEX(Batches!$B$5:$B$64,MATCH(C831,Batches!$A$5:$A$64,0)),"")))</f>
        <v/>
      </c>
      <c r="J831" s="17" t="str">
        <f aca="false">IF(B831="","",DATE(YEAR(B831),MONTH(B831),1))</f>
        <v/>
      </c>
    </row>
    <row r="832" customFormat="false" ht="15" hidden="false" customHeight="false" outlineLevel="0" collapsed="false">
      <c r="A832" s="20"/>
      <c r="B832" s="21"/>
      <c r="C832" s="20"/>
      <c r="D832" s="20"/>
      <c r="E832" s="20"/>
      <c r="F832" s="33"/>
      <c r="G832" s="20"/>
      <c r="H832" s="20"/>
      <c r="I832" s="8" t="str">
        <f aca="false">IF(C832="","",IFERROR(INDEX(Disputes!$C$5:$C$1004,MATCH(C832,Disputes!$A$5:$A$1004,0)),IFERROR(INDEX(Batches!$B$5:$B$64,MATCH(C832,Batches!$A$5:$A$64,0)),"")))</f>
        <v/>
      </c>
      <c r="J832" s="17" t="str">
        <f aca="false">IF(B832="","",DATE(YEAR(B832),MONTH(B832),1))</f>
        <v/>
      </c>
    </row>
    <row r="833" customFormat="false" ht="15" hidden="false" customHeight="false" outlineLevel="0" collapsed="false">
      <c r="A833" s="20"/>
      <c r="B833" s="21"/>
      <c r="C833" s="20"/>
      <c r="D833" s="20"/>
      <c r="E833" s="20"/>
      <c r="F833" s="33"/>
      <c r="G833" s="20"/>
      <c r="H833" s="20"/>
      <c r="I833" s="8" t="str">
        <f aca="false">IF(C833="","",IFERROR(INDEX(Disputes!$C$5:$C$1004,MATCH(C833,Disputes!$A$5:$A$1004,0)),IFERROR(INDEX(Batches!$B$5:$B$64,MATCH(C833,Batches!$A$5:$A$64,0)),"")))</f>
        <v/>
      </c>
      <c r="J833" s="17" t="str">
        <f aca="false">IF(B833="","",DATE(YEAR(B833),MONTH(B833),1))</f>
        <v/>
      </c>
    </row>
    <row r="834" customFormat="false" ht="15" hidden="false" customHeight="false" outlineLevel="0" collapsed="false">
      <c r="A834" s="20"/>
      <c r="B834" s="21"/>
      <c r="C834" s="20"/>
      <c r="D834" s="20"/>
      <c r="E834" s="20"/>
      <c r="F834" s="33"/>
      <c r="G834" s="20"/>
      <c r="H834" s="20"/>
      <c r="I834" s="8" t="str">
        <f aca="false">IF(C834="","",IFERROR(INDEX(Disputes!$C$5:$C$1004,MATCH(C834,Disputes!$A$5:$A$1004,0)),IFERROR(INDEX(Batches!$B$5:$B$64,MATCH(C834,Batches!$A$5:$A$64,0)),"")))</f>
        <v/>
      </c>
      <c r="J834" s="17" t="str">
        <f aca="false">IF(B834="","",DATE(YEAR(B834),MONTH(B834),1))</f>
        <v/>
      </c>
    </row>
    <row r="835" customFormat="false" ht="15" hidden="false" customHeight="false" outlineLevel="0" collapsed="false">
      <c r="A835" s="20"/>
      <c r="B835" s="21"/>
      <c r="C835" s="20"/>
      <c r="D835" s="20"/>
      <c r="E835" s="20"/>
      <c r="F835" s="33"/>
      <c r="G835" s="20"/>
      <c r="H835" s="20"/>
      <c r="I835" s="8" t="str">
        <f aca="false">IF(C835="","",IFERROR(INDEX(Disputes!$C$5:$C$1004,MATCH(C835,Disputes!$A$5:$A$1004,0)),IFERROR(INDEX(Batches!$B$5:$B$64,MATCH(C835,Batches!$A$5:$A$64,0)),"")))</f>
        <v/>
      </c>
      <c r="J835" s="17" t="str">
        <f aca="false">IF(B835="","",DATE(YEAR(B835),MONTH(B835),1))</f>
        <v/>
      </c>
    </row>
    <row r="836" customFormat="false" ht="15" hidden="false" customHeight="false" outlineLevel="0" collapsed="false">
      <c r="A836" s="20"/>
      <c r="B836" s="21"/>
      <c r="C836" s="20"/>
      <c r="D836" s="20"/>
      <c r="E836" s="20"/>
      <c r="F836" s="33"/>
      <c r="G836" s="20"/>
      <c r="H836" s="20"/>
      <c r="I836" s="8" t="str">
        <f aca="false">IF(C836="","",IFERROR(INDEX(Disputes!$C$5:$C$1004,MATCH(C836,Disputes!$A$5:$A$1004,0)),IFERROR(INDEX(Batches!$B$5:$B$64,MATCH(C836,Batches!$A$5:$A$64,0)),"")))</f>
        <v/>
      </c>
      <c r="J836" s="17" t="str">
        <f aca="false">IF(B836="","",DATE(YEAR(B836),MONTH(B836),1))</f>
        <v/>
      </c>
    </row>
    <row r="837" customFormat="false" ht="15" hidden="false" customHeight="false" outlineLevel="0" collapsed="false">
      <c r="A837" s="20"/>
      <c r="B837" s="21"/>
      <c r="C837" s="20"/>
      <c r="D837" s="20"/>
      <c r="E837" s="20"/>
      <c r="F837" s="33"/>
      <c r="G837" s="20"/>
      <c r="H837" s="20"/>
      <c r="I837" s="8" t="str">
        <f aca="false">IF(C837="","",IFERROR(INDEX(Disputes!$C$5:$C$1004,MATCH(C837,Disputes!$A$5:$A$1004,0)),IFERROR(INDEX(Batches!$B$5:$B$64,MATCH(C837,Batches!$A$5:$A$64,0)),"")))</f>
        <v/>
      </c>
      <c r="J837" s="17" t="str">
        <f aca="false">IF(B837="","",DATE(YEAR(B837),MONTH(B837),1))</f>
        <v/>
      </c>
    </row>
    <row r="838" customFormat="false" ht="15" hidden="false" customHeight="false" outlineLevel="0" collapsed="false">
      <c r="A838" s="20"/>
      <c r="B838" s="21"/>
      <c r="C838" s="20"/>
      <c r="D838" s="20"/>
      <c r="E838" s="20"/>
      <c r="F838" s="33"/>
      <c r="G838" s="20"/>
      <c r="H838" s="20"/>
      <c r="I838" s="8" t="str">
        <f aca="false">IF(C838="","",IFERROR(INDEX(Disputes!$C$5:$C$1004,MATCH(C838,Disputes!$A$5:$A$1004,0)),IFERROR(INDEX(Batches!$B$5:$B$64,MATCH(C838,Batches!$A$5:$A$64,0)),"")))</f>
        <v/>
      </c>
      <c r="J838" s="17" t="str">
        <f aca="false">IF(B838="","",DATE(YEAR(B838),MONTH(B838),1))</f>
        <v/>
      </c>
    </row>
    <row r="839" customFormat="false" ht="15" hidden="false" customHeight="false" outlineLevel="0" collapsed="false">
      <c r="A839" s="20"/>
      <c r="B839" s="21"/>
      <c r="C839" s="20"/>
      <c r="D839" s="20"/>
      <c r="E839" s="20"/>
      <c r="F839" s="33"/>
      <c r="G839" s="20"/>
      <c r="H839" s="20"/>
      <c r="I839" s="8" t="str">
        <f aca="false">IF(C839="","",IFERROR(INDEX(Disputes!$C$5:$C$1004,MATCH(C839,Disputes!$A$5:$A$1004,0)),IFERROR(INDEX(Batches!$B$5:$B$64,MATCH(C839,Batches!$A$5:$A$64,0)),"")))</f>
        <v/>
      </c>
      <c r="J839" s="17" t="str">
        <f aca="false">IF(B839="","",DATE(YEAR(B839),MONTH(B839),1))</f>
        <v/>
      </c>
    </row>
    <row r="840" customFormat="false" ht="15" hidden="false" customHeight="false" outlineLevel="0" collapsed="false">
      <c r="A840" s="20"/>
      <c r="B840" s="21"/>
      <c r="C840" s="20"/>
      <c r="D840" s="20"/>
      <c r="E840" s="20"/>
      <c r="F840" s="33"/>
      <c r="G840" s="20"/>
      <c r="H840" s="20"/>
      <c r="I840" s="8" t="str">
        <f aca="false">IF(C840="","",IFERROR(INDEX(Disputes!$C$5:$C$1004,MATCH(C840,Disputes!$A$5:$A$1004,0)),IFERROR(INDEX(Batches!$B$5:$B$64,MATCH(C840,Batches!$A$5:$A$64,0)),"")))</f>
        <v/>
      </c>
      <c r="J840" s="17" t="str">
        <f aca="false">IF(B840="","",DATE(YEAR(B840),MONTH(B840),1))</f>
        <v/>
      </c>
    </row>
    <row r="841" customFormat="false" ht="15" hidden="false" customHeight="false" outlineLevel="0" collapsed="false">
      <c r="A841" s="20"/>
      <c r="B841" s="21"/>
      <c r="C841" s="20"/>
      <c r="D841" s="20"/>
      <c r="E841" s="20"/>
      <c r="F841" s="33"/>
      <c r="G841" s="20"/>
      <c r="H841" s="20"/>
      <c r="I841" s="8" t="str">
        <f aca="false">IF(C841="","",IFERROR(INDEX(Disputes!$C$5:$C$1004,MATCH(C841,Disputes!$A$5:$A$1004,0)),IFERROR(INDEX(Batches!$B$5:$B$64,MATCH(C841,Batches!$A$5:$A$64,0)),"")))</f>
        <v/>
      </c>
      <c r="J841" s="17" t="str">
        <f aca="false">IF(B841="","",DATE(YEAR(B841),MONTH(B841),1))</f>
        <v/>
      </c>
    </row>
    <row r="842" customFormat="false" ht="15" hidden="false" customHeight="false" outlineLevel="0" collapsed="false">
      <c r="A842" s="20"/>
      <c r="B842" s="21"/>
      <c r="C842" s="20"/>
      <c r="D842" s="20"/>
      <c r="E842" s="20"/>
      <c r="F842" s="33"/>
      <c r="G842" s="20"/>
      <c r="H842" s="20"/>
      <c r="I842" s="8" t="str">
        <f aca="false">IF(C842="","",IFERROR(INDEX(Disputes!$C$5:$C$1004,MATCH(C842,Disputes!$A$5:$A$1004,0)),IFERROR(INDEX(Batches!$B$5:$B$64,MATCH(C842,Batches!$A$5:$A$64,0)),"")))</f>
        <v/>
      </c>
      <c r="J842" s="17" t="str">
        <f aca="false">IF(B842="","",DATE(YEAR(B842),MONTH(B842),1))</f>
        <v/>
      </c>
    </row>
    <row r="843" customFormat="false" ht="15" hidden="false" customHeight="false" outlineLevel="0" collapsed="false">
      <c r="A843" s="20"/>
      <c r="B843" s="21"/>
      <c r="C843" s="20"/>
      <c r="D843" s="20"/>
      <c r="E843" s="20"/>
      <c r="F843" s="33"/>
      <c r="G843" s="20"/>
      <c r="H843" s="20"/>
      <c r="I843" s="8" t="str">
        <f aca="false">IF(C843="","",IFERROR(INDEX(Disputes!$C$5:$C$1004,MATCH(C843,Disputes!$A$5:$A$1004,0)),IFERROR(INDEX(Batches!$B$5:$B$64,MATCH(C843,Batches!$A$5:$A$64,0)),"")))</f>
        <v/>
      </c>
      <c r="J843" s="17" t="str">
        <f aca="false">IF(B843="","",DATE(YEAR(B843),MONTH(B843),1))</f>
        <v/>
      </c>
    </row>
    <row r="844" customFormat="false" ht="15" hidden="false" customHeight="false" outlineLevel="0" collapsed="false">
      <c r="A844" s="20"/>
      <c r="B844" s="21"/>
      <c r="C844" s="20"/>
      <c r="D844" s="20"/>
      <c r="E844" s="20"/>
      <c r="F844" s="33"/>
      <c r="G844" s="20"/>
      <c r="H844" s="20"/>
      <c r="I844" s="8" t="str">
        <f aca="false">IF(C844="","",IFERROR(INDEX(Disputes!$C$5:$C$1004,MATCH(C844,Disputes!$A$5:$A$1004,0)),IFERROR(INDEX(Batches!$B$5:$B$64,MATCH(C844,Batches!$A$5:$A$64,0)),"")))</f>
        <v/>
      </c>
      <c r="J844" s="17" t="str">
        <f aca="false">IF(B844="","",DATE(YEAR(B844),MONTH(B844),1))</f>
        <v/>
      </c>
    </row>
    <row r="845" customFormat="false" ht="15" hidden="false" customHeight="false" outlineLevel="0" collapsed="false">
      <c r="A845" s="20"/>
      <c r="B845" s="21"/>
      <c r="C845" s="20"/>
      <c r="D845" s="20"/>
      <c r="E845" s="20"/>
      <c r="F845" s="33"/>
      <c r="G845" s="20"/>
      <c r="H845" s="20"/>
      <c r="I845" s="8" t="str">
        <f aca="false">IF(C845="","",IFERROR(INDEX(Disputes!$C$5:$C$1004,MATCH(C845,Disputes!$A$5:$A$1004,0)),IFERROR(INDEX(Batches!$B$5:$B$64,MATCH(C845,Batches!$A$5:$A$64,0)),"")))</f>
        <v/>
      </c>
      <c r="J845" s="17" t="str">
        <f aca="false">IF(B845="","",DATE(YEAR(B845),MONTH(B845),1))</f>
        <v/>
      </c>
    </row>
    <row r="846" customFormat="false" ht="15" hidden="false" customHeight="false" outlineLevel="0" collapsed="false">
      <c r="A846" s="20"/>
      <c r="B846" s="21"/>
      <c r="C846" s="20"/>
      <c r="D846" s="20"/>
      <c r="E846" s="20"/>
      <c r="F846" s="33"/>
      <c r="G846" s="20"/>
      <c r="H846" s="20"/>
      <c r="I846" s="8" t="str">
        <f aca="false">IF(C846="","",IFERROR(INDEX(Disputes!$C$5:$C$1004,MATCH(C846,Disputes!$A$5:$A$1004,0)),IFERROR(INDEX(Batches!$B$5:$B$64,MATCH(C846,Batches!$A$5:$A$64,0)),"")))</f>
        <v/>
      </c>
      <c r="J846" s="17" t="str">
        <f aca="false">IF(B846="","",DATE(YEAR(B846),MONTH(B846),1))</f>
        <v/>
      </c>
    </row>
    <row r="847" customFormat="false" ht="15" hidden="false" customHeight="false" outlineLevel="0" collapsed="false">
      <c r="A847" s="20"/>
      <c r="B847" s="21"/>
      <c r="C847" s="20"/>
      <c r="D847" s="20"/>
      <c r="E847" s="20"/>
      <c r="F847" s="33"/>
      <c r="G847" s="20"/>
      <c r="H847" s="20"/>
      <c r="I847" s="8" t="str">
        <f aca="false">IF(C847="","",IFERROR(INDEX(Disputes!$C$5:$C$1004,MATCH(C847,Disputes!$A$5:$A$1004,0)),IFERROR(INDEX(Batches!$B$5:$B$64,MATCH(C847,Batches!$A$5:$A$64,0)),"")))</f>
        <v/>
      </c>
      <c r="J847" s="17" t="str">
        <f aca="false">IF(B847="","",DATE(YEAR(B847),MONTH(B847),1))</f>
        <v/>
      </c>
    </row>
    <row r="848" customFormat="false" ht="15" hidden="false" customHeight="false" outlineLevel="0" collapsed="false">
      <c r="A848" s="20"/>
      <c r="B848" s="21"/>
      <c r="C848" s="20"/>
      <c r="D848" s="20"/>
      <c r="E848" s="20"/>
      <c r="F848" s="33"/>
      <c r="G848" s="20"/>
      <c r="H848" s="20"/>
      <c r="I848" s="8" t="str">
        <f aca="false">IF(C848="","",IFERROR(INDEX(Disputes!$C$5:$C$1004,MATCH(C848,Disputes!$A$5:$A$1004,0)),IFERROR(INDEX(Batches!$B$5:$B$64,MATCH(C848,Batches!$A$5:$A$64,0)),"")))</f>
        <v/>
      </c>
      <c r="J848" s="17" t="str">
        <f aca="false">IF(B848="","",DATE(YEAR(B848),MONTH(B848),1))</f>
        <v/>
      </c>
    </row>
    <row r="849" customFormat="false" ht="15" hidden="false" customHeight="false" outlineLevel="0" collapsed="false">
      <c r="A849" s="20"/>
      <c r="B849" s="21"/>
      <c r="C849" s="20"/>
      <c r="D849" s="20"/>
      <c r="E849" s="20"/>
      <c r="F849" s="33"/>
      <c r="G849" s="20"/>
      <c r="H849" s="20"/>
      <c r="I849" s="8" t="str">
        <f aca="false">IF(C849="","",IFERROR(INDEX(Disputes!$C$5:$C$1004,MATCH(C849,Disputes!$A$5:$A$1004,0)),IFERROR(INDEX(Batches!$B$5:$B$64,MATCH(C849,Batches!$A$5:$A$64,0)),"")))</f>
        <v/>
      </c>
      <c r="J849" s="17" t="str">
        <f aca="false">IF(B849="","",DATE(YEAR(B849),MONTH(B849),1))</f>
        <v/>
      </c>
    </row>
    <row r="850" customFormat="false" ht="15" hidden="false" customHeight="false" outlineLevel="0" collapsed="false">
      <c r="A850" s="20"/>
      <c r="B850" s="21"/>
      <c r="C850" s="20"/>
      <c r="D850" s="20"/>
      <c r="E850" s="20"/>
      <c r="F850" s="33"/>
      <c r="G850" s="20"/>
      <c r="H850" s="20"/>
      <c r="I850" s="8" t="str">
        <f aca="false">IF(C850="","",IFERROR(INDEX(Disputes!$C$5:$C$1004,MATCH(C850,Disputes!$A$5:$A$1004,0)),IFERROR(INDEX(Batches!$B$5:$B$64,MATCH(C850,Batches!$A$5:$A$64,0)),"")))</f>
        <v/>
      </c>
      <c r="J850" s="17" t="str">
        <f aca="false">IF(B850="","",DATE(YEAR(B850),MONTH(B850),1))</f>
        <v/>
      </c>
    </row>
    <row r="851" customFormat="false" ht="15" hidden="false" customHeight="false" outlineLevel="0" collapsed="false">
      <c r="A851" s="20"/>
      <c r="B851" s="21"/>
      <c r="C851" s="20"/>
      <c r="D851" s="20"/>
      <c r="E851" s="20"/>
      <c r="F851" s="33"/>
      <c r="G851" s="20"/>
      <c r="H851" s="20"/>
      <c r="I851" s="8" t="str">
        <f aca="false">IF(C851="","",IFERROR(INDEX(Disputes!$C$5:$C$1004,MATCH(C851,Disputes!$A$5:$A$1004,0)),IFERROR(INDEX(Batches!$B$5:$B$64,MATCH(C851,Batches!$A$5:$A$64,0)),"")))</f>
        <v/>
      </c>
      <c r="J851" s="17" t="str">
        <f aca="false">IF(B851="","",DATE(YEAR(B851),MONTH(B851),1))</f>
        <v/>
      </c>
    </row>
    <row r="852" customFormat="false" ht="15" hidden="false" customHeight="false" outlineLevel="0" collapsed="false">
      <c r="A852" s="20"/>
      <c r="B852" s="21"/>
      <c r="C852" s="20"/>
      <c r="D852" s="20"/>
      <c r="E852" s="20"/>
      <c r="F852" s="33"/>
      <c r="G852" s="20"/>
      <c r="H852" s="20"/>
      <c r="I852" s="8" t="str">
        <f aca="false">IF(C852="","",IFERROR(INDEX(Disputes!$C$5:$C$1004,MATCH(C852,Disputes!$A$5:$A$1004,0)),IFERROR(INDEX(Batches!$B$5:$B$64,MATCH(C852,Batches!$A$5:$A$64,0)),"")))</f>
        <v/>
      </c>
      <c r="J852" s="17" t="str">
        <f aca="false">IF(B852="","",DATE(YEAR(B852),MONTH(B852),1))</f>
        <v/>
      </c>
    </row>
    <row r="853" customFormat="false" ht="15" hidden="false" customHeight="false" outlineLevel="0" collapsed="false">
      <c r="A853" s="20"/>
      <c r="B853" s="21"/>
      <c r="C853" s="20"/>
      <c r="D853" s="20"/>
      <c r="E853" s="20"/>
      <c r="F853" s="33"/>
      <c r="G853" s="20"/>
      <c r="H853" s="20"/>
      <c r="I853" s="8" t="str">
        <f aca="false">IF(C853="","",IFERROR(INDEX(Disputes!$C$5:$C$1004,MATCH(C853,Disputes!$A$5:$A$1004,0)),IFERROR(INDEX(Batches!$B$5:$B$64,MATCH(C853,Batches!$A$5:$A$64,0)),"")))</f>
        <v/>
      </c>
      <c r="J853" s="17" t="str">
        <f aca="false">IF(B853="","",DATE(YEAR(B853),MONTH(B853),1))</f>
        <v/>
      </c>
    </row>
    <row r="854" customFormat="false" ht="15" hidden="false" customHeight="false" outlineLevel="0" collapsed="false">
      <c r="A854" s="20"/>
      <c r="B854" s="21"/>
      <c r="C854" s="20"/>
      <c r="D854" s="20"/>
      <c r="E854" s="20"/>
      <c r="F854" s="33"/>
      <c r="G854" s="20"/>
      <c r="H854" s="20"/>
      <c r="I854" s="8" t="str">
        <f aca="false">IF(C854="","",IFERROR(INDEX(Disputes!$C$5:$C$1004,MATCH(C854,Disputes!$A$5:$A$1004,0)),IFERROR(INDEX(Batches!$B$5:$B$64,MATCH(C854,Batches!$A$5:$A$64,0)),"")))</f>
        <v/>
      </c>
      <c r="J854" s="17" t="str">
        <f aca="false">IF(B854="","",DATE(YEAR(B854),MONTH(B854),1))</f>
        <v/>
      </c>
    </row>
    <row r="855" customFormat="false" ht="15" hidden="false" customHeight="false" outlineLevel="0" collapsed="false">
      <c r="A855" s="20"/>
      <c r="B855" s="21"/>
      <c r="C855" s="20"/>
      <c r="D855" s="20"/>
      <c r="E855" s="20"/>
      <c r="F855" s="33"/>
      <c r="G855" s="20"/>
      <c r="H855" s="20"/>
      <c r="I855" s="8" t="str">
        <f aca="false">IF(C855="","",IFERROR(INDEX(Disputes!$C$5:$C$1004,MATCH(C855,Disputes!$A$5:$A$1004,0)),IFERROR(INDEX(Batches!$B$5:$B$64,MATCH(C855,Batches!$A$5:$A$64,0)),"")))</f>
        <v/>
      </c>
      <c r="J855" s="17" t="str">
        <f aca="false">IF(B855="","",DATE(YEAR(B855),MONTH(B855),1))</f>
        <v/>
      </c>
    </row>
    <row r="856" customFormat="false" ht="15" hidden="false" customHeight="false" outlineLevel="0" collapsed="false">
      <c r="A856" s="20"/>
      <c r="B856" s="21"/>
      <c r="C856" s="20"/>
      <c r="D856" s="20"/>
      <c r="E856" s="20"/>
      <c r="F856" s="33"/>
      <c r="G856" s="20"/>
      <c r="H856" s="20"/>
      <c r="I856" s="8" t="str">
        <f aca="false">IF(C856="","",IFERROR(INDEX(Disputes!$C$5:$C$1004,MATCH(C856,Disputes!$A$5:$A$1004,0)),IFERROR(INDEX(Batches!$B$5:$B$64,MATCH(C856,Batches!$A$5:$A$64,0)),"")))</f>
        <v/>
      </c>
      <c r="J856" s="17" t="str">
        <f aca="false">IF(B856="","",DATE(YEAR(B856),MONTH(B856),1))</f>
        <v/>
      </c>
    </row>
    <row r="857" customFormat="false" ht="15" hidden="false" customHeight="false" outlineLevel="0" collapsed="false">
      <c r="A857" s="20"/>
      <c r="B857" s="21"/>
      <c r="C857" s="20"/>
      <c r="D857" s="20"/>
      <c r="E857" s="20"/>
      <c r="F857" s="33"/>
      <c r="G857" s="20"/>
      <c r="H857" s="20"/>
      <c r="I857" s="8" t="str">
        <f aca="false">IF(C857="","",IFERROR(INDEX(Disputes!$C$5:$C$1004,MATCH(C857,Disputes!$A$5:$A$1004,0)),IFERROR(INDEX(Batches!$B$5:$B$64,MATCH(C857,Batches!$A$5:$A$64,0)),"")))</f>
        <v/>
      </c>
      <c r="J857" s="17" t="str">
        <f aca="false">IF(B857="","",DATE(YEAR(B857),MONTH(B857),1))</f>
        <v/>
      </c>
    </row>
    <row r="858" customFormat="false" ht="15" hidden="false" customHeight="false" outlineLevel="0" collapsed="false">
      <c r="A858" s="20"/>
      <c r="B858" s="21"/>
      <c r="C858" s="20"/>
      <c r="D858" s="20"/>
      <c r="E858" s="20"/>
      <c r="F858" s="33"/>
      <c r="G858" s="20"/>
      <c r="H858" s="20"/>
      <c r="I858" s="8" t="str">
        <f aca="false">IF(C858="","",IFERROR(INDEX(Disputes!$C$5:$C$1004,MATCH(C858,Disputes!$A$5:$A$1004,0)),IFERROR(INDEX(Batches!$B$5:$B$64,MATCH(C858,Batches!$A$5:$A$64,0)),"")))</f>
        <v/>
      </c>
      <c r="J858" s="17" t="str">
        <f aca="false">IF(B858="","",DATE(YEAR(B858),MONTH(B858),1))</f>
        <v/>
      </c>
    </row>
    <row r="859" customFormat="false" ht="15" hidden="false" customHeight="false" outlineLevel="0" collapsed="false">
      <c r="A859" s="20"/>
      <c r="B859" s="21"/>
      <c r="C859" s="20"/>
      <c r="D859" s="20"/>
      <c r="E859" s="20"/>
      <c r="F859" s="33"/>
      <c r="G859" s="20"/>
      <c r="H859" s="20"/>
      <c r="I859" s="8" t="str">
        <f aca="false">IF(C859="","",IFERROR(INDEX(Disputes!$C$5:$C$1004,MATCH(C859,Disputes!$A$5:$A$1004,0)),IFERROR(INDEX(Batches!$B$5:$B$64,MATCH(C859,Batches!$A$5:$A$64,0)),"")))</f>
        <v/>
      </c>
      <c r="J859" s="17" t="str">
        <f aca="false">IF(B859="","",DATE(YEAR(B859),MONTH(B859),1))</f>
        <v/>
      </c>
    </row>
    <row r="860" customFormat="false" ht="15" hidden="false" customHeight="false" outlineLevel="0" collapsed="false">
      <c r="A860" s="20"/>
      <c r="B860" s="21"/>
      <c r="C860" s="20"/>
      <c r="D860" s="20"/>
      <c r="E860" s="20"/>
      <c r="F860" s="33"/>
      <c r="G860" s="20"/>
      <c r="H860" s="20"/>
      <c r="I860" s="8" t="str">
        <f aca="false">IF(C860="","",IFERROR(INDEX(Disputes!$C$5:$C$1004,MATCH(C860,Disputes!$A$5:$A$1004,0)),IFERROR(INDEX(Batches!$B$5:$B$64,MATCH(C860,Batches!$A$5:$A$64,0)),"")))</f>
        <v/>
      </c>
      <c r="J860" s="17" t="str">
        <f aca="false">IF(B860="","",DATE(YEAR(B860),MONTH(B860),1))</f>
        <v/>
      </c>
    </row>
    <row r="861" customFormat="false" ht="15" hidden="false" customHeight="false" outlineLevel="0" collapsed="false">
      <c r="A861" s="20"/>
      <c r="B861" s="21"/>
      <c r="C861" s="20"/>
      <c r="D861" s="20"/>
      <c r="E861" s="20"/>
      <c r="F861" s="33"/>
      <c r="G861" s="20"/>
      <c r="H861" s="20"/>
      <c r="I861" s="8" t="str">
        <f aca="false">IF(C861="","",IFERROR(INDEX(Disputes!$C$5:$C$1004,MATCH(C861,Disputes!$A$5:$A$1004,0)),IFERROR(INDEX(Batches!$B$5:$B$64,MATCH(C861,Batches!$A$5:$A$64,0)),"")))</f>
        <v/>
      </c>
      <c r="J861" s="17" t="str">
        <f aca="false">IF(B861="","",DATE(YEAR(B861),MONTH(B861),1))</f>
        <v/>
      </c>
    </row>
    <row r="862" customFormat="false" ht="15" hidden="false" customHeight="false" outlineLevel="0" collapsed="false">
      <c r="A862" s="20"/>
      <c r="B862" s="21"/>
      <c r="C862" s="20"/>
      <c r="D862" s="20"/>
      <c r="E862" s="20"/>
      <c r="F862" s="33"/>
      <c r="G862" s="20"/>
      <c r="H862" s="20"/>
      <c r="I862" s="8" t="str">
        <f aca="false">IF(C862="","",IFERROR(INDEX(Disputes!$C$5:$C$1004,MATCH(C862,Disputes!$A$5:$A$1004,0)),IFERROR(INDEX(Batches!$B$5:$B$64,MATCH(C862,Batches!$A$5:$A$64,0)),"")))</f>
        <v/>
      </c>
      <c r="J862" s="17" t="str">
        <f aca="false">IF(B862="","",DATE(YEAR(B862),MONTH(B862),1))</f>
        <v/>
      </c>
    </row>
    <row r="863" customFormat="false" ht="15" hidden="false" customHeight="false" outlineLevel="0" collapsed="false">
      <c r="A863" s="20"/>
      <c r="B863" s="21"/>
      <c r="C863" s="20"/>
      <c r="D863" s="20"/>
      <c r="E863" s="20"/>
      <c r="F863" s="33"/>
      <c r="G863" s="20"/>
      <c r="H863" s="20"/>
      <c r="I863" s="8" t="str">
        <f aca="false">IF(C863="","",IFERROR(INDEX(Disputes!$C$5:$C$1004,MATCH(C863,Disputes!$A$5:$A$1004,0)),IFERROR(INDEX(Batches!$B$5:$B$64,MATCH(C863,Batches!$A$5:$A$64,0)),"")))</f>
        <v/>
      </c>
      <c r="J863" s="17" t="str">
        <f aca="false">IF(B863="","",DATE(YEAR(B863),MONTH(B863),1))</f>
        <v/>
      </c>
    </row>
    <row r="864" customFormat="false" ht="15" hidden="false" customHeight="false" outlineLevel="0" collapsed="false">
      <c r="A864" s="20"/>
      <c r="B864" s="21"/>
      <c r="C864" s="20"/>
      <c r="D864" s="20"/>
      <c r="E864" s="20"/>
      <c r="F864" s="33"/>
      <c r="G864" s="20"/>
      <c r="H864" s="20"/>
      <c r="I864" s="8" t="str">
        <f aca="false">IF(C864="","",IFERROR(INDEX(Disputes!$C$5:$C$1004,MATCH(C864,Disputes!$A$5:$A$1004,0)),IFERROR(INDEX(Batches!$B$5:$B$64,MATCH(C864,Batches!$A$5:$A$64,0)),"")))</f>
        <v/>
      </c>
      <c r="J864" s="17" t="str">
        <f aca="false">IF(B864="","",DATE(YEAR(B864),MONTH(B864),1))</f>
        <v/>
      </c>
    </row>
    <row r="865" customFormat="false" ht="15" hidden="false" customHeight="false" outlineLevel="0" collapsed="false">
      <c r="A865" s="20"/>
      <c r="B865" s="21"/>
      <c r="C865" s="20"/>
      <c r="D865" s="20"/>
      <c r="E865" s="20"/>
      <c r="F865" s="33"/>
      <c r="G865" s="20"/>
      <c r="H865" s="20"/>
      <c r="I865" s="8" t="str">
        <f aca="false">IF(C865="","",IFERROR(INDEX(Disputes!$C$5:$C$1004,MATCH(C865,Disputes!$A$5:$A$1004,0)),IFERROR(INDEX(Batches!$B$5:$B$64,MATCH(C865,Batches!$A$5:$A$64,0)),"")))</f>
        <v/>
      </c>
      <c r="J865" s="17" t="str">
        <f aca="false">IF(B865="","",DATE(YEAR(B865),MONTH(B865),1))</f>
        <v/>
      </c>
    </row>
    <row r="866" customFormat="false" ht="15" hidden="false" customHeight="false" outlineLevel="0" collapsed="false">
      <c r="A866" s="20"/>
      <c r="B866" s="21"/>
      <c r="C866" s="20"/>
      <c r="D866" s="20"/>
      <c r="E866" s="20"/>
      <c r="F866" s="33"/>
      <c r="G866" s="20"/>
      <c r="H866" s="20"/>
      <c r="I866" s="8" t="str">
        <f aca="false">IF(C866="","",IFERROR(INDEX(Disputes!$C$5:$C$1004,MATCH(C866,Disputes!$A$5:$A$1004,0)),IFERROR(INDEX(Batches!$B$5:$B$64,MATCH(C866,Batches!$A$5:$A$64,0)),"")))</f>
        <v/>
      </c>
      <c r="J866" s="17" t="str">
        <f aca="false">IF(B866="","",DATE(YEAR(B866),MONTH(B866),1))</f>
        <v/>
      </c>
    </row>
    <row r="867" customFormat="false" ht="15" hidden="false" customHeight="false" outlineLevel="0" collapsed="false">
      <c r="A867" s="20"/>
      <c r="B867" s="21"/>
      <c r="C867" s="20"/>
      <c r="D867" s="20"/>
      <c r="E867" s="20"/>
      <c r="F867" s="33"/>
      <c r="G867" s="20"/>
      <c r="H867" s="20"/>
      <c r="I867" s="8" t="str">
        <f aca="false">IF(C867="","",IFERROR(INDEX(Disputes!$C$5:$C$1004,MATCH(C867,Disputes!$A$5:$A$1004,0)),IFERROR(INDEX(Batches!$B$5:$B$64,MATCH(C867,Batches!$A$5:$A$64,0)),"")))</f>
        <v/>
      </c>
      <c r="J867" s="17" t="str">
        <f aca="false">IF(B867="","",DATE(YEAR(B867),MONTH(B867),1))</f>
        <v/>
      </c>
    </row>
    <row r="868" customFormat="false" ht="15" hidden="false" customHeight="false" outlineLevel="0" collapsed="false">
      <c r="A868" s="20"/>
      <c r="B868" s="21"/>
      <c r="C868" s="20"/>
      <c r="D868" s="20"/>
      <c r="E868" s="20"/>
      <c r="F868" s="33"/>
      <c r="G868" s="20"/>
      <c r="H868" s="20"/>
      <c r="I868" s="8" t="str">
        <f aca="false">IF(C868="","",IFERROR(INDEX(Disputes!$C$5:$C$1004,MATCH(C868,Disputes!$A$5:$A$1004,0)),IFERROR(INDEX(Batches!$B$5:$B$64,MATCH(C868,Batches!$A$5:$A$64,0)),"")))</f>
        <v/>
      </c>
      <c r="J868" s="17" t="str">
        <f aca="false">IF(B868="","",DATE(YEAR(B868),MONTH(B868),1))</f>
        <v/>
      </c>
    </row>
    <row r="869" customFormat="false" ht="15" hidden="false" customHeight="false" outlineLevel="0" collapsed="false">
      <c r="A869" s="20"/>
      <c r="B869" s="21"/>
      <c r="C869" s="20"/>
      <c r="D869" s="20"/>
      <c r="E869" s="20"/>
      <c r="F869" s="33"/>
      <c r="G869" s="20"/>
      <c r="H869" s="20"/>
      <c r="I869" s="8" t="str">
        <f aca="false">IF(C869="","",IFERROR(INDEX(Disputes!$C$5:$C$1004,MATCH(C869,Disputes!$A$5:$A$1004,0)),IFERROR(INDEX(Batches!$B$5:$B$64,MATCH(C869,Batches!$A$5:$A$64,0)),"")))</f>
        <v/>
      </c>
      <c r="J869" s="17" t="str">
        <f aca="false">IF(B869="","",DATE(YEAR(B869),MONTH(B869),1))</f>
        <v/>
      </c>
    </row>
    <row r="870" customFormat="false" ht="15" hidden="false" customHeight="false" outlineLevel="0" collapsed="false">
      <c r="A870" s="20"/>
      <c r="B870" s="21"/>
      <c r="C870" s="20"/>
      <c r="D870" s="20"/>
      <c r="E870" s="20"/>
      <c r="F870" s="33"/>
      <c r="G870" s="20"/>
      <c r="H870" s="20"/>
      <c r="I870" s="8" t="str">
        <f aca="false">IF(C870="","",IFERROR(INDEX(Disputes!$C$5:$C$1004,MATCH(C870,Disputes!$A$5:$A$1004,0)),IFERROR(INDEX(Batches!$B$5:$B$64,MATCH(C870,Batches!$A$5:$A$64,0)),"")))</f>
        <v/>
      </c>
      <c r="J870" s="17" t="str">
        <f aca="false">IF(B870="","",DATE(YEAR(B870),MONTH(B870),1))</f>
        <v/>
      </c>
    </row>
    <row r="871" customFormat="false" ht="15" hidden="false" customHeight="false" outlineLevel="0" collapsed="false">
      <c r="A871" s="20"/>
      <c r="B871" s="21"/>
      <c r="C871" s="20"/>
      <c r="D871" s="20"/>
      <c r="E871" s="20"/>
      <c r="F871" s="33"/>
      <c r="G871" s="20"/>
      <c r="H871" s="20"/>
      <c r="I871" s="8" t="str">
        <f aca="false">IF(C871="","",IFERROR(INDEX(Disputes!$C$5:$C$1004,MATCH(C871,Disputes!$A$5:$A$1004,0)),IFERROR(INDEX(Batches!$B$5:$B$64,MATCH(C871,Batches!$A$5:$A$64,0)),"")))</f>
        <v/>
      </c>
      <c r="J871" s="17" t="str">
        <f aca="false">IF(B871="","",DATE(YEAR(B871),MONTH(B871),1))</f>
        <v/>
      </c>
    </row>
    <row r="872" customFormat="false" ht="15" hidden="false" customHeight="false" outlineLevel="0" collapsed="false">
      <c r="A872" s="20"/>
      <c r="B872" s="21"/>
      <c r="C872" s="20"/>
      <c r="D872" s="20"/>
      <c r="E872" s="20"/>
      <c r="F872" s="33"/>
      <c r="G872" s="20"/>
      <c r="H872" s="20"/>
      <c r="I872" s="8" t="str">
        <f aca="false">IF(C872="","",IFERROR(INDEX(Disputes!$C$5:$C$1004,MATCH(C872,Disputes!$A$5:$A$1004,0)),IFERROR(INDEX(Batches!$B$5:$B$64,MATCH(C872,Batches!$A$5:$A$64,0)),"")))</f>
        <v/>
      </c>
      <c r="J872" s="17" t="str">
        <f aca="false">IF(B872="","",DATE(YEAR(B872),MONTH(B872),1))</f>
        <v/>
      </c>
    </row>
    <row r="873" customFormat="false" ht="15" hidden="false" customHeight="false" outlineLevel="0" collapsed="false">
      <c r="A873" s="20"/>
      <c r="B873" s="21"/>
      <c r="C873" s="20"/>
      <c r="D873" s="20"/>
      <c r="E873" s="20"/>
      <c r="F873" s="33"/>
      <c r="G873" s="20"/>
      <c r="H873" s="20"/>
      <c r="I873" s="8" t="str">
        <f aca="false">IF(C873="","",IFERROR(INDEX(Disputes!$C$5:$C$1004,MATCH(C873,Disputes!$A$5:$A$1004,0)),IFERROR(INDEX(Batches!$B$5:$B$64,MATCH(C873,Batches!$A$5:$A$64,0)),"")))</f>
        <v/>
      </c>
      <c r="J873" s="17" t="str">
        <f aca="false">IF(B873="","",DATE(YEAR(B873),MONTH(B873),1))</f>
        <v/>
      </c>
    </row>
    <row r="874" customFormat="false" ht="15" hidden="false" customHeight="false" outlineLevel="0" collapsed="false">
      <c r="A874" s="20"/>
      <c r="B874" s="21"/>
      <c r="C874" s="20"/>
      <c r="D874" s="20"/>
      <c r="E874" s="20"/>
      <c r="F874" s="33"/>
      <c r="G874" s="20"/>
      <c r="H874" s="20"/>
      <c r="I874" s="8" t="str">
        <f aca="false">IF(C874="","",IFERROR(INDEX(Disputes!$C$5:$C$1004,MATCH(C874,Disputes!$A$5:$A$1004,0)),IFERROR(INDEX(Batches!$B$5:$B$64,MATCH(C874,Batches!$A$5:$A$64,0)),"")))</f>
        <v/>
      </c>
      <c r="J874" s="17" t="str">
        <f aca="false">IF(B874="","",DATE(YEAR(B874),MONTH(B874),1))</f>
        <v/>
      </c>
    </row>
    <row r="875" customFormat="false" ht="15" hidden="false" customHeight="false" outlineLevel="0" collapsed="false">
      <c r="A875" s="20"/>
      <c r="B875" s="21"/>
      <c r="C875" s="20"/>
      <c r="D875" s="20"/>
      <c r="E875" s="20"/>
      <c r="F875" s="33"/>
      <c r="G875" s="20"/>
      <c r="H875" s="20"/>
      <c r="I875" s="8" t="str">
        <f aca="false">IF(C875="","",IFERROR(INDEX(Disputes!$C$5:$C$1004,MATCH(C875,Disputes!$A$5:$A$1004,0)),IFERROR(INDEX(Batches!$B$5:$B$64,MATCH(C875,Batches!$A$5:$A$64,0)),"")))</f>
        <v/>
      </c>
      <c r="J875" s="17" t="str">
        <f aca="false">IF(B875="","",DATE(YEAR(B875),MONTH(B875),1))</f>
        <v/>
      </c>
    </row>
    <row r="876" customFormat="false" ht="15" hidden="false" customHeight="false" outlineLevel="0" collapsed="false">
      <c r="A876" s="20"/>
      <c r="B876" s="21"/>
      <c r="C876" s="20"/>
      <c r="D876" s="20"/>
      <c r="E876" s="20"/>
      <c r="F876" s="33"/>
      <c r="G876" s="20"/>
      <c r="H876" s="20"/>
      <c r="I876" s="8" t="str">
        <f aca="false">IF(C876="","",IFERROR(INDEX(Disputes!$C$5:$C$1004,MATCH(C876,Disputes!$A$5:$A$1004,0)),IFERROR(INDEX(Batches!$B$5:$B$64,MATCH(C876,Batches!$A$5:$A$64,0)),"")))</f>
        <v/>
      </c>
      <c r="J876" s="17" t="str">
        <f aca="false">IF(B876="","",DATE(YEAR(B876),MONTH(B876),1))</f>
        <v/>
      </c>
    </row>
    <row r="877" customFormat="false" ht="15" hidden="false" customHeight="false" outlineLevel="0" collapsed="false">
      <c r="A877" s="20"/>
      <c r="B877" s="21"/>
      <c r="C877" s="20"/>
      <c r="D877" s="20"/>
      <c r="E877" s="20"/>
      <c r="F877" s="33"/>
      <c r="G877" s="20"/>
      <c r="H877" s="20"/>
      <c r="I877" s="8" t="str">
        <f aca="false">IF(C877="","",IFERROR(INDEX(Disputes!$C$5:$C$1004,MATCH(C877,Disputes!$A$5:$A$1004,0)),IFERROR(INDEX(Batches!$B$5:$B$64,MATCH(C877,Batches!$A$5:$A$64,0)),"")))</f>
        <v/>
      </c>
      <c r="J877" s="17" t="str">
        <f aca="false">IF(B877="","",DATE(YEAR(B877),MONTH(B877),1))</f>
        <v/>
      </c>
    </row>
    <row r="878" customFormat="false" ht="15" hidden="false" customHeight="false" outlineLevel="0" collapsed="false">
      <c r="A878" s="20"/>
      <c r="B878" s="21"/>
      <c r="C878" s="20"/>
      <c r="D878" s="20"/>
      <c r="E878" s="20"/>
      <c r="F878" s="33"/>
      <c r="G878" s="20"/>
      <c r="H878" s="20"/>
      <c r="I878" s="8" t="str">
        <f aca="false">IF(C878="","",IFERROR(INDEX(Disputes!$C$5:$C$1004,MATCH(C878,Disputes!$A$5:$A$1004,0)),IFERROR(INDEX(Batches!$B$5:$B$64,MATCH(C878,Batches!$A$5:$A$64,0)),"")))</f>
        <v/>
      </c>
      <c r="J878" s="17" t="str">
        <f aca="false">IF(B878="","",DATE(YEAR(B878),MONTH(B878),1))</f>
        <v/>
      </c>
    </row>
    <row r="879" customFormat="false" ht="15" hidden="false" customHeight="false" outlineLevel="0" collapsed="false">
      <c r="A879" s="20"/>
      <c r="B879" s="21"/>
      <c r="C879" s="20"/>
      <c r="D879" s="20"/>
      <c r="E879" s="20"/>
      <c r="F879" s="33"/>
      <c r="G879" s="20"/>
      <c r="H879" s="20"/>
      <c r="I879" s="8" t="str">
        <f aca="false">IF(C879="","",IFERROR(INDEX(Disputes!$C$5:$C$1004,MATCH(C879,Disputes!$A$5:$A$1004,0)),IFERROR(INDEX(Batches!$B$5:$B$64,MATCH(C879,Batches!$A$5:$A$64,0)),"")))</f>
        <v/>
      </c>
      <c r="J879" s="17" t="str">
        <f aca="false">IF(B879="","",DATE(YEAR(B879),MONTH(B879),1))</f>
        <v/>
      </c>
    </row>
    <row r="880" customFormat="false" ht="15" hidden="false" customHeight="false" outlineLevel="0" collapsed="false">
      <c r="A880" s="20"/>
      <c r="B880" s="21"/>
      <c r="C880" s="20"/>
      <c r="D880" s="20"/>
      <c r="E880" s="20"/>
      <c r="F880" s="33"/>
      <c r="G880" s="20"/>
      <c r="H880" s="20"/>
      <c r="I880" s="8" t="str">
        <f aca="false">IF(C880="","",IFERROR(INDEX(Disputes!$C$5:$C$1004,MATCH(C880,Disputes!$A$5:$A$1004,0)),IFERROR(INDEX(Batches!$B$5:$B$64,MATCH(C880,Batches!$A$5:$A$64,0)),"")))</f>
        <v/>
      </c>
      <c r="J880" s="17" t="str">
        <f aca="false">IF(B880="","",DATE(YEAR(B880),MONTH(B880),1))</f>
        <v/>
      </c>
    </row>
    <row r="881" customFormat="false" ht="15" hidden="false" customHeight="false" outlineLevel="0" collapsed="false">
      <c r="A881" s="20"/>
      <c r="B881" s="21"/>
      <c r="C881" s="20"/>
      <c r="D881" s="20"/>
      <c r="E881" s="20"/>
      <c r="F881" s="33"/>
      <c r="G881" s="20"/>
      <c r="H881" s="20"/>
      <c r="I881" s="8" t="str">
        <f aca="false">IF(C881="","",IFERROR(INDEX(Disputes!$C$5:$C$1004,MATCH(C881,Disputes!$A$5:$A$1004,0)),IFERROR(INDEX(Batches!$B$5:$B$64,MATCH(C881,Batches!$A$5:$A$64,0)),"")))</f>
        <v/>
      </c>
      <c r="J881" s="17" t="str">
        <f aca="false">IF(B881="","",DATE(YEAR(B881),MONTH(B881),1))</f>
        <v/>
      </c>
    </row>
    <row r="882" customFormat="false" ht="15" hidden="false" customHeight="false" outlineLevel="0" collapsed="false">
      <c r="A882" s="20"/>
      <c r="B882" s="21"/>
      <c r="C882" s="20"/>
      <c r="D882" s="20"/>
      <c r="E882" s="20"/>
      <c r="F882" s="33"/>
      <c r="G882" s="20"/>
      <c r="H882" s="20"/>
      <c r="I882" s="8" t="str">
        <f aca="false">IF(C882="","",IFERROR(INDEX(Disputes!$C$5:$C$1004,MATCH(C882,Disputes!$A$5:$A$1004,0)),IFERROR(INDEX(Batches!$B$5:$B$64,MATCH(C882,Batches!$A$5:$A$64,0)),"")))</f>
        <v/>
      </c>
      <c r="J882" s="17" t="str">
        <f aca="false">IF(B882="","",DATE(YEAR(B882),MONTH(B882),1))</f>
        <v/>
      </c>
    </row>
    <row r="883" customFormat="false" ht="15" hidden="false" customHeight="false" outlineLevel="0" collapsed="false">
      <c r="A883" s="20"/>
      <c r="B883" s="21"/>
      <c r="C883" s="20"/>
      <c r="D883" s="20"/>
      <c r="E883" s="20"/>
      <c r="F883" s="33"/>
      <c r="G883" s="20"/>
      <c r="H883" s="20"/>
      <c r="I883" s="8" t="str">
        <f aca="false">IF(C883="","",IFERROR(INDEX(Disputes!$C$5:$C$1004,MATCH(C883,Disputes!$A$5:$A$1004,0)),IFERROR(INDEX(Batches!$B$5:$B$64,MATCH(C883,Batches!$A$5:$A$64,0)),"")))</f>
        <v/>
      </c>
      <c r="J883" s="17" t="str">
        <f aca="false">IF(B883="","",DATE(YEAR(B883),MONTH(B883),1))</f>
        <v/>
      </c>
    </row>
    <row r="884" customFormat="false" ht="15" hidden="false" customHeight="false" outlineLevel="0" collapsed="false">
      <c r="A884" s="20"/>
      <c r="B884" s="21"/>
      <c r="C884" s="20"/>
      <c r="D884" s="20"/>
      <c r="E884" s="20"/>
      <c r="F884" s="33"/>
      <c r="G884" s="20"/>
      <c r="H884" s="20"/>
      <c r="I884" s="8" t="str">
        <f aca="false">IF(C884="","",IFERROR(INDEX(Disputes!$C$5:$C$1004,MATCH(C884,Disputes!$A$5:$A$1004,0)),IFERROR(INDEX(Batches!$B$5:$B$64,MATCH(C884,Batches!$A$5:$A$64,0)),"")))</f>
        <v/>
      </c>
      <c r="J884" s="17" t="str">
        <f aca="false">IF(B884="","",DATE(YEAR(B884),MONTH(B884),1))</f>
        <v/>
      </c>
    </row>
    <row r="885" customFormat="false" ht="15" hidden="false" customHeight="false" outlineLevel="0" collapsed="false">
      <c r="A885" s="20"/>
      <c r="B885" s="21"/>
      <c r="C885" s="20"/>
      <c r="D885" s="20"/>
      <c r="E885" s="20"/>
      <c r="F885" s="33"/>
      <c r="G885" s="20"/>
      <c r="H885" s="20"/>
      <c r="I885" s="8" t="str">
        <f aca="false">IF(C885="","",IFERROR(INDEX(Disputes!$C$5:$C$1004,MATCH(C885,Disputes!$A$5:$A$1004,0)),IFERROR(INDEX(Batches!$B$5:$B$64,MATCH(C885,Batches!$A$5:$A$64,0)),"")))</f>
        <v/>
      </c>
      <c r="J885" s="17" t="str">
        <f aca="false">IF(B885="","",DATE(YEAR(B885),MONTH(B885),1))</f>
        <v/>
      </c>
    </row>
    <row r="886" customFormat="false" ht="15" hidden="false" customHeight="false" outlineLevel="0" collapsed="false">
      <c r="A886" s="20"/>
      <c r="B886" s="21"/>
      <c r="C886" s="20"/>
      <c r="D886" s="20"/>
      <c r="E886" s="20"/>
      <c r="F886" s="33"/>
      <c r="G886" s="20"/>
      <c r="H886" s="20"/>
      <c r="I886" s="8" t="str">
        <f aca="false">IF(C886="","",IFERROR(INDEX(Disputes!$C$5:$C$1004,MATCH(C886,Disputes!$A$5:$A$1004,0)),IFERROR(INDEX(Batches!$B$5:$B$64,MATCH(C886,Batches!$A$5:$A$64,0)),"")))</f>
        <v/>
      </c>
      <c r="J886" s="17" t="str">
        <f aca="false">IF(B886="","",DATE(YEAR(B886),MONTH(B886),1))</f>
        <v/>
      </c>
    </row>
    <row r="887" customFormat="false" ht="15" hidden="false" customHeight="false" outlineLevel="0" collapsed="false">
      <c r="A887" s="20"/>
      <c r="B887" s="21"/>
      <c r="C887" s="20"/>
      <c r="D887" s="20"/>
      <c r="E887" s="20"/>
      <c r="F887" s="33"/>
      <c r="G887" s="20"/>
      <c r="H887" s="20"/>
      <c r="I887" s="8" t="str">
        <f aca="false">IF(C887="","",IFERROR(INDEX(Disputes!$C$5:$C$1004,MATCH(C887,Disputes!$A$5:$A$1004,0)),IFERROR(INDEX(Batches!$B$5:$B$64,MATCH(C887,Batches!$A$5:$A$64,0)),"")))</f>
        <v/>
      </c>
      <c r="J887" s="17" t="str">
        <f aca="false">IF(B887="","",DATE(YEAR(B887),MONTH(B887),1))</f>
        <v/>
      </c>
    </row>
    <row r="888" customFormat="false" ht="15" hidden="false" customHeight="false" outlineLevel="0" collapsed="false">
      <c r="A888" s="20"/>
      <c r="B888" s="21"/>
      <c r="C888" s="20"/>
      <c r="D888" s="20"/>
      <c r="E888" s="20"/>
      <c r="F888" s="33"/>
      <c r="G888" s="20"/>
      <c r="H888" s="20"/>
      <c r="I888" s="8" t="str">
        <f aca="false">IF(C888="","",IFERROR(INDEX(Disputes!$C$5:$C$1004,MATCH(C888,Disputes!$A$5:$A$1004,0)),IFERROR(INDEX(Batches!$B$5:$B$64,MATCH(C888,Batches!$A$5:$A$64,0)),"")))</f>
        <v/>
      </c>
      <c r="J888" s="17" t="str">
        <f aca="false">IF(B888="","",DATE(YEAR(B888),MONTH(B888),1))</f>
        <v/>
      </c>
    </row>
    <row r="889" customFormat="false" ht="15" hidden="false" customHeight="false" outlineLevel="0" collapsed="false">
      <c r="A889" s="20"/>
      <c r="B889" s="21"/>
      <c r="C889" s="20"/>
      <c r="D889" s="20"/>
      <c r="E889" s="20"/>
      <c r="F889" s="33"/>
      <c r="G889" s="20"/>
      <c r="H889" s="20"/>
      <c r="I889" s="8" t="str">
        <f aca="false">IF(C889="","",IFERROR(INDEX(Disputes!$C$5:$C$1004,MATCH(C889,Disputes!$A$5:$A$1004,0)),IFERROR(INDEX(Batches!$B$5:$B$64,MATCH(C889,Batches!$A$5:$A$64,0)),"")))</f>
        <v/>
      </c>
      <c r="J889" s="17" t="str">
        <f aca="false">IF(B889="","",DATE(YEAR(B889),MONTH(B889),1))</f>
        <v/>
      </c>
    </row>
    <row r="890" customFormat="false" ht="15" hidden="false" customHeight="false" outlineLevel="0" collapsed="false">
      <c r="A890" s="20"/>
      <c r="B890" s="21"/>
      <c r="C890" s="20"/>
      <c r="D890" s="20"/>
      <c r="E890" s="20"/>
      <c r="F890" s="33"/>
      <c r="G890" s="20"/>
      <c r="H890" s="20"/>
      <c r="I890" s="8" t="str">
        <f aca="false">IF(C890="","",IFERROR(INDEX(Disputes!$C$5:$C$1004,MATCH(C890,Disputes!$A$5:$A$1004,0)),IFERROR(INDEX(Batches!$B$5:$B$64,MATCH(C890,Batches!$A$5:$A$64,0)),"")))</f>
        <v/>
      </c>
      <c r="J890" s="17" t="str">
        <f aca="false">IF(B890="","",DATE(YEAR(B890),MONTH(B890),1))</f>
        <v/>
      </c>
    </row>
    <row r="891" customFormat="false" ht="15" hidden="false" customHeight="false" outlineLevel="0" collapsed="false">
      <c r="A891" s="20"/>
      <c r="B891" s="21"/>
      <c r="C891" s="20"/>
      <c r="D891" s="20"/>
      <c r="E891" s="20"/>
      <c r="F891" s="33"/>
      <c r="G891" s="20"/>
      <c r="H891" s="20"/>
      <c r="I891" s="8" t="str">
        <f aca="false">IF(C891="","",IFERROR(INDEX(Disputes!$C$5:$C$1004,MATCH(C891,Disputes!$A$5:$A$1004,0)),IFERROR(INDEX(Batches!$B$5:$B$64,MATCH(C891,Batches!$A$5:$A$64,0)),"")))</f>
        <v/>
      </c>
      <c r="J891" s="17" t="str">
        <f aca="false">IF(B891="","",DATE(YEAR(B891),MONTH(B891),1))</f>
        <v/>
      </c>
    </row>
    <row r="892" customFormat="false" ht="15" hidden="false" customHeight="false" outlineLevel="0" collapsed="false">
      <c r="A892" s="20"/>
      <c r="B892" s="21"/>
      <c r="C892" s="20"/>
      <c r="D892" s="20"/>
      <c r="E892" s="20"/>
      <c r="F892" s="33"/>
      <c r="G892" s="20"/>
      <c r="H892" s="20"/>
      <c r="I892" s="8" t="str">
        <f aca="false">IF(C892="","",IFERROR(INDEX(Disputes!$C$5:$C$1004,MATCH(C892,Disputes!$A$5:$A$1004,0)),IFERROR(INDEX(Batches!$B$5:$B$64,MATCH(C892,Batches!$A$5:$A$64,0)),"")))</f>
        <v/>
      </c>
      <c r="J892" s="17" t="str">
        <f aca="false">IF(B892="","",DATE(YEAR(B892),MONTH(B892),1))</f>
        <v/>
      </c>
    </row>
    <row r="893" customFormat="false" ht="15" hidden="false" customHeight="false" outlineLevel="0" collapsed="false">
      <c r="A893" s="20"/>
      <c r="B893" s="21"/>
      <c r="C893" s="20"/>
      <c r="D893" s="20"/>
      <c r="E893" s="20"/>
      <c r="F893" s="33"/>
      <c r="G893" s="20"/>
      <c r="H893" s="20"/>
      <c r="I893" s="8" t="str">
        <f aca="false">IF(C893="","",IFERROR(INDEX(Disputes!$C$5:$C$1004,MATCH(C893,Disputes!$A$5:$A$1004,0)),IFERROR(INDEX(Batches!$B$5:$B$64,MATCH(C893,Batches!$A$5:$A$64,0)),"")))</f>
        <v/>
      </c>
      <c r="J893" s="17" t="str">
        <f aca="false">IF(B893="","",DATE(YEAR(B893),MONTH(B893),1))</f>
        <v/>
      </c>
    </row>
    <row r="894" customFormat="false" ht="15" hidden="false" customHeight="false" outlineLevel="0" collapsed="false">
      <c r="A894" s="20"/>
      <c r="B894" s="21"/>
      <c r="C894" s="20"/>
      <c r="D894" s="20"/>
      <c r="E894" s="20"/>
      <c r="F894" s="33"/>
      <c r="G894" s="20"/>
      <c r="H894" s="20"/>
      <c r="I894" s="8" t="str">
        <f aca="false">IF(C894="","",IFERROR(INDEX(Disputes!$C$5:$C$1004,MATCH(C894,Disputes!$A$5:$A$1004,0)),IFERROR(INDEX(Batches!$B$5:$B$64,MATCH(C894,Batches!$A$5:$A$64,0)),"")))</f>
        <v/>
      </c>
      <c r="J894" s="17" t="str">
        <f aca="false">IF(B894="","",DATE(YEAR(B894),MONTH(B894),1))</f>
        <v/>
      </c>
    </row>
    <row r="895" customFormat="false" ht="15" hidden="false" customHeight="false" outlineLevel="0" collapsed="false">
      <c r="A895" s="20"/>
      <c r="B895" s="21"/>
      <c r="C895" s="20"/>
      <c r="D895" s="20"/>
      <c r="E895" s="20"/>
      <c r="F895" s="33"/>
      <c r="G895" s="20"/>
      <c r="H895" s="20"/>
      <c r="I895" s="8" t="str">
        <f aca="false">IF(C895="","",IFERROR(INDEX(Disputes!$C$5:$C$1004,MATCH(C895,Disputes!$A$5:$A$1004,0)),IFERROR(INDEX(Batches!$B$5:$B$64,MATCH(C895,Batches!$A$5:$A$64,0)),"")))</f>
        <v/>
      </c>
      <c r="J895" s="17" t="str">
        <f aca="false">IF(B895="","",DATE(YEAR(B895),MONTH(B895),1))</f>
        <v/>
      </c>
    </row>
    <row r="896" customFormat="false" ht="15" hidden="false" customHeight="false" outlineLevel="0" collapsed="false">
      <c r="A896" s="20"/>
      <c r="B896" s="21"/>
      <c r="C896" s="20"/>
      <c r="D896" s="20"/>
      <c r="E896" s="20"/>
      <c r="F896" s="33"/>
      <c r="G896" s="20"/>
      <c r="H896" s="20"/>
      <c r="I896" s="8" t="str">
        <f aca="false">IF(C896="","",IFERROR(INDEX(Disputes!$C$5:$C$1004,MATCH(C896,Disputes!$A$5:$A$1004,0)),IFERROR(INDEX(Batches!$B$5:$B$64,MATCH(C896,Batches!$A$5:$A$64,0)),"")))</f>
        <v/>
      </c>
      <c r="J896" s="17" t="str">
        <f aca="false">IF(B896="","",DATE(YEAR(B896),MONTH(B896),1))</f>
        <v/>
      </c>
    </row>
    <row r="897" customFormat="false" ht="15" hidden="false" customHeight="false" outlineLevel="0" collapsed="false">
      <c r="A897" s="20"/>
      <c r="B897" s="21"/>
      <c r="C897" s="20"/>
      <c r="D897" s="20"/>
      <c r="E897" s="20"/>
      <c r="F897" s="33"/>
      <c r="G897" s="20"/>
      <c r="H897" s="20"/>
      <c r="I897" s="8" t="str">
        <f aca="false">IF(C897="","",IFERROR(INDEX(Disputes!$C$5:$C$1004,MATCH(C897,Disputes!$A$5:$A$1004,0)),IFERROR(INDEX(Batches!$B$5:$B$64,MATCH(C897,Batches!$A$5:$A$64,0)),"")))</f>
        <v/>
      </c>
      <c r="J897" s="17" t="str">
        <f aca="false">IF(B897="","",DATE(YEAR(B897),MONTH(B897),1))</f>
        <v/>
      </c>
    </row>
    <row r="898" customFormat="false" ht="15" hidden="false" customHeight="false" outlineLevel="0" collapsed="false">
      <c r="A898" s="20"/>
      <c r="B898" s="21"/>
      <c r="C898" s="20"/>
      <c r="D898" s="20"/>
      <c r="E898" s="20"/>
      <c r="F898" s="33"/>
      <c r="G898" s="20"/>
      <c r="H898" s="20"/>
      <c r="I898" s="8" t="str">
        <f aca="false">IF(C898="","",IFERROR(INDEX(Disputes!$C$5:$C$1004,MATCH(C898,Disputes!$A$5:$A$1004,0)),IFERROR(INDEX(Batches!$B$5:$B$64,MATCH(C898,Batches!$A$5:$A$64,0)),"")))</f>
        <v/>
      </c>
      <c r="J898" s="17" t="str">
        <f aca="false">IF(B898="","",DATE(YEAR(B898),MONTH(B898),1))</f>
        <v/>
      </c>
    </row>
    <row r="899" customFormat="false" ht="15" hidden="false" customHeight="false" outlineLevel="0" collapsed="false">
      <c r="A899" s="20"/>
      <c r="B899" s="21"/>
      <c r="C899" s="20"/>
      <c r="D899" s="20"/>
      <c r="E899" s="20"/>
      <c r="F899" s="33"/>
      <c r="G899" s="20"/>
      <c r="H899" s="20"/>
      <c r="I899" s="8" t="str">
        <f aca="false">IF(C899="","",IFERROR(INDEX(Disputes!$C$5:$C$1004,MATCH(C899,Disputes!$A$5:$A$1004,0)),IFERROR(INDEX(Batches!$B$5:$B$64,MATCH(C899,Batches!$A$5:$A$64,0)),"")))</f>
        <v/>
      </c>
      <c r="J899" s="17" t="str">
        <f aca="false">IF(B899="","",DATE(YEAR(B899),MONTH(B899),1))</f>
        <v/>
      </c>
    </row>
    <row r="900" customFormat="false" ht="15" hidden="false" customHeight="false" outlineLevel="0" collapsed="false">
      <c r="A900" s="20"/>
      <c r="B900" s="21"/>
      <c r="C900" s="20"/>
      <c r="D900" s="20"/>
      <c r="E900" s="20"/>
      <c r="F900" s="33"/>
      <c r="G900" s="20"/>
      <c r="H900" s="20"/>
      <c r="I900" s="8" t="str">
        <f aca="false">IF(C900="","",IFERROR(INDEX(Disputes!$C$5:$C$1004,MATCH(C900,Disputes!$A$5:$A$1004,0)),IFERROR(INDEX(Batches!$B$5:$B$64,MATCH(C900,Batches!$A$5:$A$64,0)),"")))</f>
        <v/>
      </c>
      <c r="J900" s="17" t="str">
        <f aca="false">IF(B900="","",DATE(YEAR(B900),MONTH(B900),1))</f>
        <v/>
      </c>
    </row>
    <row r="901" customFormat="false" ht="15" hidden="false" customHeight="false" outlineLevel="0" collapsed="false">
      <c r="A901" s="20"/>
      <c r="B901" s="21"/>
      <c r="C901" s="20"/>
      <c r="D901" s="20"/>
      <c r="E901" s="20"/>
      <c r="F901" s="33"/>
      <c r="G901" s="20"/>
      <c r="H901" s="20"/>
      <c r="I901" s="8" t="str">
        <f aca="false">IF(C901="","",IFERROR(INDEX(Disputes!$C$5:$C$1004,MATCH(C901,Disputes!$A$5:$A$1004,0)),IFERROR(INDEX(Batches!$B$5:$B$64,MATCH(C901,Batches!$A$5:$A$64,0)),"")))</f>
        <v/>
      </c>
      <c r="J901" s="17" t="str">
        <f aca="false">IF(B901="","",DATE(YEAR(B901),MONTH(B901),1))</f>
        <v/>
      </c>
    </row>
    <row r="902" customFormat="false" ht="15" hidden="false" customHeight="false" outlineLevel="0" collapsed="false">
      <c r="A902" s="20"/>
      <c r="B902" s="21"/>
      <c r="C902" s="20"/>
      <c r="D902" s="20"/>
      <c r="E902" s="20"/>
      <c r="F902" s="33"/>
      <c r="G902" s="20"/>
      <c r="H902" s="20"/>
      <c r="I902" s="8" t="str">
        <f aca="false">IF(C902="","",IFERROR(INDEX(Disputes!$C$5:$C$1004,MATCH(C902,Disputes!$A$5:$A$1004,0)),IFERROR(INDEX(Batches!$B$5:$B$64,MATCH(C902,Batches!$A$5:$A$64,0)),"")))</f>
        <v/>
      </c>
      <c r="J902" s="17" t="str">
        <f aca="false">IF(B902="","",DATE(YEAR(B902),MONTH(B902),1))</f>
        <v/>
      </c>
    </row>
    <row r="903" customFormat="false" ht="15" hidden="false" customHeight="false" outlineLevel="0" collapsed="false">
      <c r="A903" s="20"/>
      <c r="B903" s="21"/>
      <c r="C903" s="20"/>
      <c r="D903" s="20"/>
      <c r="E903" s="20"/>
      <c r="F903" s="33"/>
      <c r="G903" s="20"/>
      <c r="H903" s="20"/>
      <c r="I903" s="8" t="str">
        <f aca="false">IF(C903="","",IFERROR(INDEX(Disputes!$C$5:$C$1004,MATCH(C903,Disputes!$A$5:$A$1004,0)),IFERROR(INDEX(Batches!$B$5:$B$64,MATCH(C903,Batches!$A$5:$A$64,0)),"")))</f>
        <v/>
      </c>
      <c r="J903" s="17" t="str">
        <f aca="false">IF(B903="","",DATE(YEAR(B903),MONTH(B903),1))</f>
        <v/>
      </c>
    </row>
    <row r="904" customFormat="false" ht="15" hidden="false" customHeight="false" outlineLevel="0" collapsed="false">
      <c r="A904" s="20"/>
      <c r="B904" s="21"/>
      <c r="C904" s="20"/>
      <c r="D904" s="20"/>
      <c r="E904" s="20"/>
      <c r="F904" s="33"/>
      <c r="G904" s="20"/>
      <c r="H904" s="20"/>
      <c r="I904" s="8" t="str">
        <f aca="false">IF(C904="","",IFERROR(INDEX(Disputes!$C$5:$C$1004,MATCH(C904,Disputes!$A$5:$A$1004,0)),IFERROR(INDEX(Batches!$B$5:$B$64,MATCH(C904,Batches!$A$5:$A$64,0)),"")))</f>
        <v/>
      </c>
      <c r="J904" s="17" t="str">
        <f aca="false">IF(B904="","",DATE(YEAR(B904),MONTH(B904),1))</f>
        <v/>
      </c>
    </row>
    <row r="905" customFormat="false" ht="15" hidden="false" customHeight="false" outlineLevel="0" collapsed="false">
      <c r="A905" s="20"/>
      <c r="B905" s="21"/>
      <c r="C905" s="20"/>
      <c r="D905" s="20"/>
      <c r="E905" s="20"/>
      <c r="F905" s="33"/>
      <c r="G905" s="20"/>
      <c r="H905" s="20"/>
      <c r="I905" s="8" t="str">
        <f aca="false">IF(C905="","",IFERROR(INDEX(Disputes!$C$5:$C$1004,MATCH(C905,Disputes!$A$5:$A$1004,0)),IFERROR(INDEX(Batches!$B$5:$B$64,MATCH(C905,Batches!$A$5:$A$64,0)),"")))</f>
        <v/>
      </c>
      <c r="J905" s="17" t="str">
        <f aca="false">IF(B905="","",DATE(YEAR(B905),MONTH(B905),1))</f>
        <v/>
      </c>
    </row>
    <row r="906" customFormat="false" ht="15" hidden="false" customHeight="false" outlineLevel="0" collapsed="false">
      <c r="A906" s="20"/>
      <c r="B906" s="21"/>
      <c r="C906" s="20"/>
      <c r="D906" s="20"/>
      <c r="E906" s="20"/>
      <c r="F906" s="33"/>
      <c r="G906" s="20"/>
      <c r="H906" s="20"/>
      <c r="I906" s="8" t="str">
        <f aca="false">IF(C906="","",IFERROR(INDEX(Disputes!$C$5:$C$1004,MATCH(C906,Disputes!$A$5:$A$1004,0)),IFERROR(INDEX(Batches!$B$5:$B$64,MATCH(C906,Batches!$A$5:$A$64,0)),"")))</f>
        <v/>
      </c>
      <c r="J906" s="17" t="str">
        <f aca="false">IF(B906="","",DATE(YEAR(B906),MONTH(B906),1))</f>
        <v/>
      </c>
    </row>
    <row r="907" customFormat="false" ht="15" hidden="false" customHeight="false" outlineLevel="0" collapsed="false">
      <c r="A907" s="20"/>
      <c r="B907" s="21"/>
      <c r="C907" s="20"/>
      <c r="D907" s="20"/>
      <c r="E907" s="20"/>
      <c r="F907" s="33"/>
      <c r="G907" s="20"/>
      <c r="H907" s="20"/>
      <c r="I907" s="8" t="str">
        <f aca="false">IF(C907="","",IFERROR(INDEX(Disputes!$C$5:$C$1004,MATCH(C907,Disputes!$A$5:$A$1004,0)),IFERROR(INDEX(Batches!$B$5:$B$64,MATCH(C907,Batches!$A$5:$A$64,0)),"")))</f>
        <v/>
      </c>
      <c r="J907" s="17" t="str">
        <f aca="false">IF(B907="","",DATE(YEAR(B907),MONTH(B907),1))</f>
        <v/>
      </c>
    </row>
    <row r="908" customFormat="false" ht="15" hidden="false" customHeight="false" outlineLevel="0" collapsed="false">
      <c r="A908" s="20"/>
      <c r="B908" s="21"/>
      <c r="C908" s="20"/>
      <c r="D908" s="20"/>
      <c r="E908" s="20"/>
      <c r="F908" s="33"/>
      <c r="G908" s="20"/>
      <c r="H908" s="20"/>
      <c r="I908" s="8" t="str">
        <f aca="false">IF(C908="","",IFERROR(INDEX(Disputes!$C$5:$C$1004,MATCH(C908,Disputes!$A$5:$A$1004,0)),IFERROR(INDEX(Batches!$B$5:$B$64,MATCH(C908,Batches!$A$5:$A$64,0)),"")))</f>
        <v/>
      </c>
      <c r="J908" s="17" t="str">
        <f aca="false">IF(B908="","",DATE(YEAR(B908),MONTH(B908),1))</f>
        <v/>
      </c>
    </row>
    <row r="909" customFormat="false" ht="15" hidden="false" customHeight="false" outlineLevel="0" collapsed="false">
      <c r="A909" s="20"/>
      <c r="B909" s="21"/>
      <c r="C909" s="20"/>
      <c r="D909" s="20"/>
      <c r="E909" s="20"/>
      <c r="F909" s="33"/>
      <c r="G909" s="20"/>
      <c r="H909" s="20"/>
      <c r="I909" s="8" t="str">
        <f aca="false">IF(C909="","",IFERROR(INDEX(Disputes!$C$5:$C$1004,MATCH(C909,Disputes!$A$5:$A$1004,0)),IFERROR(INDEX(Batches!$B$5:$B$64,MATCH(C909,Batches!$A$5:$A$64,0)),"")))</f>
        <v/>
      </c>
      <c r="J909" s="17" t="str">
        <f aca="false">IF(B909="","",DATE(YEAR(B909),MONTH(B909),1))</f>
        <v/>
      </c>
    </row>
    <row r="910" customFormat="false" ht="15" hidden="false" customHeight="false" outlineLevel="0" collapsed="false">
      <c r="A910" s="20"/>
      <c r="B910" s="21"/>
      <c r="C910" s="20"/>
      <c r="D910" s="20"/>
      <c r="E910" s="20"/>
      <c r="F910" s="33"/>
      <c r="G910" s="20"/>
      <c r="H910" s="20"/>
      <c r="I910" s="8" t="str">
        <f aca="false">IF(C910="","",IFERROR(INDEX(Disputes!$C$5:$C$1004,MATCH(C910,Disputes!$A$5:$A$1004,0)),IFERROR(INDEX(Batches!$B$5:$B$64,MATCH(C910,Batches!$A$5:$A$64,0)),"")))</f>
        <v/>
      </c>
      <c r="J910" s="17" t="str">
        <f aca="false">IF(B910="","",DATE(YEAR(B910),MONTH(B910),1))</f>
        <v/>
      </c>
    </row>
    <row r="911" customFormat="false" ht="15" hidden="false" customHeight="false" outlineLevel="0" collapsed="false">
      <c r="A911" s="20"/>
      <c r="B911" s="21"/>
      <c r="C911" s="20"/>
      <c r="D911" s="20"/>
      <c r="E911" s="20"/>
      <c r="F911" s="33"/>
      <c r="G911" s="20"/>
      <c r="H911" s="20"/>
      <c r="I911" s="8" t="str">
        <f aca="false">IF(C911="","",IFERROR(INDEX(Disputes!$C$5:$C$1004,MATCH(C911,Disputes!$A$5:$A$1004,0)),IFERROR(INDEX(Batches!$B$5:$B$64,MATCH(C911,Batches!$A$5:$A$64,0)),"")))</f>
        <v/>
      </c>
      <c r="J911" s="17" t="str">
        <f aca="false">IF(B911="","",DATE(YEAR(B911),MONTH(B911),1))</f>
        <v/>
      </c>
    </row>
    <row r="912" customFormat="false" ht="15" hidden="false" customHeight="false" outlineLevel="0" collapsed="false">
      <c r="A912" s="20"/>
      <c r="B912" s="21"/>
      <c r="C912" s="20"/>
      <c r="D912" s="20"/>
      <c r="E912" s="20"/>
      <c r="F912" s="33"/>
      <c r="G912" s="20"/>
      <c r="H912" s="20"/>
      <c r="I912" s="8" t="str">
        <f aca="false">IF(C912="","",IFERROR(INDEX(Disputes!$C$5:$C$1004,MATCH(C912,Disputes!$A$5:$A$1004,0)),IFERROR(INDEX(Batches!$B$5:$B$64,MATCH(C912,Batches!$A$5:$A$64,0)),"")))</f>
        <v/>
      </c>
      <c r="J912" s="17" t="str">
        <f aca="false">IF(B912="","",DATE(YEAR(B912),MONTH(B912),1))</f>
        <v/>
      </c>
    </row>
    <row r="913" customFormat="false" ht="15" hidden="false" customHeight="false" outlineLevel="0" collapsed="false">
      <c r="A913" s="20"/>
      <c r="B913" s="21"/>
      <c r="C913" s="20"/>
      <c r="D913" s="20"/>
      <c r="E913" s="20"/>
      <c r="F913" s="33"/>
      <c r="G913" s="20"/>
      <c r="H913" s="20"/>
      <c r="I913" s="8" t="str">
        <f aca="false">IF(C913="","",IFERROR(INDEX(Disputes!$C$5:$C$1004,MATCH(C913,Disputes!$A$5:$A$1004,0)),IFERROR(INDEX(Batches!$B$5:$B$64,MATCH(C913,Batches!$A$5:$A$64,0)),"")))</f>
        <v/>
      </c>
      <c r="J913" s="17" t="str">
        <f aca="false">IF(B913="","",DATE(YEAR(B913),MONTH(B913),1))</f>
        <v/>
      </c>
    </row>
    <row r="914" customFormat="false" ht="15" hidden="false" customHeight="false" outlineLevel="0" collapsed="false">
      <c r="A914" s="20"/>
      <c r="B914" s="21"/>
      <c r="C914" s="20"/>
      <c r="D914" s="20"/>
      <c r="E914" s="20"/>
      <c r="F914" s="33"/>
      <c r="G914" s="20"/>
      <c r="H914" s="20"/>
      <c r="I914" s="8" t="str">
        <f aca="false">IF(C914="","",IFERROR(INDEX(Disputes!$C$5:$C$1004,MATCH(C914,Disputes!$A$5:$A$1004,0)),IFERROR(INDEX(Batches!$B$5:$B$64,MATCH(C914,Batches!$A$5:$A$64,0)),"")))</f>
        <v/>
      </c>
      <c r="J914" s="17" t="str">
        <f aca="false">IF(B914="","",DATE(YEAR(B914),MONTH(B914),1))</f>
        <v/>
      </c>
    </row>
    <row r="915" customFormat="false" ht="15" hidden="false" customHeight="false" outlineLevel="0" collapsed="false">
      <c r="A915" s="20"/>
      <c r="B915" s="21"/>
      <c r="C915" s="20"/>
      <c r="D915" s="20"/>
      <c r="E915" s="20"/>
      <c r="F915" s="33"/>
      <c r="G915" s="20"/>
      <c r="H915" s="20"/>
      <c r="I915" s="8" t="str">
        <f aca="false">IF(C915="","",IFERROR(INDEX(Disputes!$C$5:$C$1004,MATCH(C915,Disputes!$A$5:$A$1004,0)),IFERROR(INDEX(Batches!$B$5:$B$64,MATCH(C915,Batches!$A$5:$A$64,0)),"")))</f>
        <v/>
      </c>
      <c r="J915" s="17" t="str">
        <f aca="false">IF(B915="","",DATE(YEAR(B915),MONTH(B915),1))</f>
        <v/>
      </c>
    </row>
    <row r="916" customFormat="false" ht="15" hidden="false" customHeight="false" outlineLevel="0" collapsed="false">
      <c r="A916" s="20"/>
      <c r="B916" s="21"/>
      <c r="C916" s="20"/>
      <c r="D916" s="20"/>
      <c r="E916" s="20"/>
      <c r="F916" s="33"/>
      <c r="G916" s="20"/>
      <c r="H916" s="20"/>
      <c r="I916" s="8" t="str">
        <f aca="false">IF(C916="","",IFERROR(INDEX(Disputes!$C$5:$C$1004,MATCH(C916,Disputes!$A$5:$A$1004,0)),IFERROR(INDEX(Batches!$B$5:$B$64,MATCH(C916,Batches!$A$5:$A$64,0)),"")))</f>
        <v/>
      </c>
      <c r="J916" s="17" t="str">
        <f aca="false">IF(B916="","",DATE(YEAR(B916),MONTH(B916),1))</f>
        <v/>
      </c>
    </row>
    <row r="917" customFormat="false" ht="15" hidden="false" customHeight="false" outlineLevel="0" collapsed="false">
      <c r="A917" s="20"/>
      <c r="B917" s="21"/>
      <c r="C917" s="20"/>
      <c r="D917" s="20"/>
      <c r="E917" s="20"/>
      <c r="F917" s="33"/>
      <c r="G917" s="20"/>
      <c r="H917" s="20"/>
      <c r="I917" s="8" t="str">
        <f aca="false">IF(C917="","",IFERROR(INDEX(Disputes!$C$5:$C$1004,MATCH(C917,Disputes!$A$5:$A$1004,0)),IFERROR(INDEX(Batches!$B$5:$B$64,MATCH(C917,Batches!$A$5:$A$64,0)),"")))</f>
        <v/>
      </c>
      <c r="J917" s="17" t="str">
        <f aca="false">IF(B917="","",DATE(YEAR(B917),MONTH(B917),1))</f>
        <v/>
      </c>
    </row>
    <row r="918" customFormat="false" ht="15" hidden="false" customHeight="false" outlineLevel="0" collapsed="false">
      <c r="A918" s="20"/>
      <c r="B918" s="21"/>
      <c r="C918" s="20"/>
      <c r="D918" s="20"/>
      <c r="E918" s="20"/>
      <c r="F918" s="33"/>
      <c r="G918" s="20"/>
      <c r="H918" s="20"/>
      <c r="I918" s="8" t="str">
        <f aca="false">IF(C918="","",IFERROR(INDEX(Disputes!$C$5:$C$1004,MATCH(C918,Disputes!$A$5:$A$1004,0)),IFERROR(INDEX(Batches!$B$5:$B$64,MATCH(C918,Batches!$A$5:$A$64,0)),"")))</f>
        <v/>
      </c>
      <c r="J918" s="17" t="str">
        <f aca="false">IF(B918="","",DATE(YEAR(B918),MONTH(B918),1))</f>
        <v/>
      </c>
    </row>
    <row r="919" customFormat="false" ht="15" hidden="false" customHeight="false" outlineLevel="0" collapsed="false">
      <c r="A919" s="20"/>
      <c r="B919" s="21"/>
      <c r="C919" s="20"/>
      <c r="D919" s="20"/>
      <c r="E919" s="20"/>
      <c r="F919" s="33"/>
      <c r="G919" s="20"/>
      <c r="H919" s="20"/>
      <c r="I919" s="8" t="str">
        <f aca="false">IF(C919="","",IFERROR(INDEX(Disputes!$C$5:$C$1004,MATCH(C919,Disputes!$A$5:$A$1004,0)),IFERROR(INDEX(Batches!$B$5:$B$64,MATCH(C919,Batches!$A$5:$A$64,0)),"")))</f>
        <v/>
      </c>
      <c r="J919" s="17" t="str">
        <f aca="false">IF(B919="","",DATE(YEAR(B919),MONTH(B919),1))</f>
        <v/>
      </c>
    </row>
    <row r="920" customFormat="false" ht="15" hidden="false" customHeight="false" outlineLevel="0" collapsed="false">
      <c r="A920" s="20"/>
      <c r="B920" s="21"/>
      <c r="C920" s="20"/>
      <c r="D920" s="20"/>
      <c r="E920" s="20"/>
      <c r="F920" s="33"/>
      <c r="G920" s="20"/>
      <c r="H920" s="20"/>
      <c r="I920" s="8" t="str">
        <f aca="false">IF(C920="","",IFERROR(INDEX(Disputes!$C$5:$C$1004,MATCH(C920,Disputes!$A$5:$A$1004,0)),IFERROR(INDEX(Batches!$B$5:$B$64,MATCH(C920,Batches!$A$5:$A$64,0)),"")))</f>
        <v/>
      </c>
      <c r="J920" s="17" t="str">
        <f aca="false">IF(B920="","",DATE(YEAR(B920),MONTH(B920),1))</f>
        <v/>
      </c>
    </row>
    <row r="921" customFormat="false" ht="15" hidden="false" customHeight="false" outlineLevel="0" collapsed="false">
      <c r="A921" s="20"/>
      <c r="B921" s="21"/>
      <c r="C921" s="20"/>
      <c r="D921" s="20"/>
      <c r="E921" s="20"/>
      <c r="F921" s="33"/>
      <c r="G921" s="20"/>
      <c r="H921" s="20"/>
      <c r="I921" s="8" t="str">
        <f aca="false">IF(C921="","",IFERROR(INDEX(Disputes!$C$5:$C$1004,MATCH(C921,Disputes!$A$5:$A$1004,0)),IFERROR(INDEX(Batches!$B$5:$B$64,MATCH(C921,Batches!$A$5:$A$64,0)),"")))</f>
        <v/>
      </c>
      <c r="J921" s="17" t="str">
        <f aca="false">IF(B921="","",DATE(YEAR(B921),MONTH(B921),1))</f>
        <v/>
      </c>
    </row>
    <row r="922" customFormat="false" ht="15" hidden="false" customHeight="false" outlineLevel="0" collapsed="false">
      <c r="A922" s="20"/>
      <c r="B922" s="21"/>
      <c r="C922" s="20"/>
      <c r="D922" s="20"/>
      <c r="E922" s="20"/>
      <c r="F922" s="33"/>
      <c r="G922" s="20"/>
      <c r="H922" s="20"/>
      <c r="I922" s="8" t="str">
        <f aca="false">IF(C922="","",IFERROR(INDEX(Disputes!$C$5:$C$1004,MATCH(C922,Disputes!$A$5:$A$1004,0)),IFERROR(INDEX(Batches!$B$5:$B$64,MATCH(C922,Batches!$A$5:$A$64,0)),"")))</f>
        <v/>
      </c>
      <c r="J922" s="17" t="str">
        <f aca="false">IF(B922="","",DATE(YEAR(B922),MONTH(B922),1))</f>
        <v/>
      </c>
    </row>
    <row r="923" customFormat="false" ht="15" hidden="false" customHeight="false" outlineLevel="0" collapsed="false">
      <c r="A923" s="20"/>
      <c r="B923" s="21"/>
      <c r="C923" s="20"/>
      <c r="D923" s="20"/>
      <c r="E923" s="20"/>
      <c r="F923" s="33"/>
      <c r="G923" s="20"/>
      <c r="H923" s="20"/>
      <c r="I923" s="8" t="str">
        <f aca="false">IF(C923="","",IFERROR(INDEX(Disputes!$C$5:$C$1004,MATCH(C923,Disputes!$A$5:$A$1004,0)),IFERROR(INDEX(Batches!$B$5:$B$64,MATCH(C923,Batches!$A$5:$A$64,0)),"")))</f>
        <v/>
      </c>
      <c r="J923" s="17" t="str">
        <f aca="false">IF(B923="","",DATE(YEAR(B923),MONTH(B923),1))</f>
        <v/>
      </c>
    </row>
    <row r="924" customFormat="false" ht="15" hidden="false" customHeight="false" outlineLevel="0" collapsed="false">
      <c r="A924" s="20"/>
      <c r="B924" s="21"/>
      <c r="C924" s="20"/>
      <c r="D924" s="20"/>
      <c r="E924" s="20"/>
      <c r="F924" s="33"/>
      <c r="G924" s="20"/>
      <c r="H924" s="20"/>
      <c r="I924" s="8" t="str">
        <f aca="false">IF(C924="","",IFERROR(INDEX(Disputes!$C$5:$C$1004,MATCH(C924,Disputes!$A$5:$A$1004,0)),IFERROR(INDEX(Batches!$B$5:$B$64,MATCH(C924,Batches!$A$5:$A$64,0)),"")))</f>
        <v/>
      </c>
      <c r="J924" s="17" t="str">
        <f aca="false">IF(B924="","",DATE(YEAR(B924),MONTH(B924),1))</f>
        <v/>
      </c>
    </row>
    <row r="925" customFormat="false" ht="15" hidden="false" customHeight="false" outlineLevel="0" collapsed="false">
      <c r="A925" s="20"/>
      <c r="B925" s="21"/>
      <c r="C925" s="20"/>
      <c r="D925" s="20"/>
      <c r="E925" s="20"/>
      <c r="F925" s="33"/>
      <c r="G925" s="20"/>
      <c r="H925" s="20"/>
      <c r="I925" s="8" t="str">
        <f aca="false">IF(C925="","",IFERROR(INDEX(Disputes!$C$5:$C$1004,MATCH(C925,Disputes!$A$5:$A$1004,0)),IFERROR(INDEX(Batches!$B$5:$B$64,MATCH(C925,Batches!$A$5:$A$64,0)),"")))</f>
        <v/>
      </c>
      <c r="J925" s="17" t="str">
        <f aca="false">IF(B925="","",DATE(YEAR(B925),MONTH(B925),1))</f>
        <v/>
      </c>
    </row>
    <row r="926" customFormat="false" ht="15" hidden="false" customHeight="false" outlineLevel="0" collapsed="false">
      <c r="A926" s="20"/>
      <c r="B926" s="21"/>
      <c r="C926" s="20"/>
      <c r="D926" s="20"/>
      <c r="E926" s="20"/>
      <c r="F926" s="33"/>
      <c r="G926" s="20"/>
      <c r="H926" s="20"/>
      <c r="I926" s="8" t="str">
        <f aca="false">IF(C926="","",IFERROR(INDEX(Disputes!$C$5:$C$1004,MATCH(C926,Disputes!$A$5:$A$1004,0)),IFERROR(INDEX(Batches!$B$5:$B$64,MATCH(C926,Batches!$A$5:$A$64,0)),"")))</f>
        <v/>
      </c>
      <c r="J926" s="17" t="str">
        <f aca="false">IF(B926="","",DATE(YEAR(B926),MONTH(B926),1))</f>
        <v/>
      </c>
    </row>
    <row r="927" customFormat="false" ht="15" hidden="false" customHeight="false" outlineLevel="0" collapsed="false">
      <c r="A927" s="20"/>
      <c r="B927" s="21"/>
      <c r="C927" s="20"/>
      <c r="D927" s="20"/>
      <c r="E927" s="20"/>
      <c r="F927" s="33"/>
      <c r="G927" s="20"/>
      <c r="H927" s="20"/>
      <c r="I927" s="8" t="str">
        <f aca="false">IF(C927="","",IFERROR(INDEX(Disputes!$C$5:$C$1004,MATCH(C927,Disputes!$A$5:$A$1004,0)),IFERROR(INDEX(Batches!$B$5:$B$64,MATCH(C927,Batches!$A$5:$A$64,0)),"")))</f>
        <v/>
      </c>
      <c r="J927" s="17" t="str">
        <f aca="false">IF(B927="","",DATE(YEAR(B927),MONTH(B927),1))</f>
        <v/>
      </c>
    </row>
    <row r="928" customFormat="false" ht="15" hidden="false" customHeight="false" outlineLevel="0" collapsed="false">
      <c r="A928" s="20"/>
      <c r="B928" s="21"/>
      <c r="C928" s="20"/>
      <c r="D928" s="20"/>
      <c r="E928" s="20"/>
      <c r="F928" s="33"/>
      <c r="G928" s="20"/>
      <c r="H928" s="20"/>
      <c r="I928" s="8" t="str">
        <f aca="false">IF(C928="","",IFERROR(INDEX(Disputes!$C$5:$C$1004,MATCH(C928,Disputes!$A$5:$A$1004,0)),IFERROR(INDEX(Batches!$B$5:$B$64,MATCH(C928,Batches!$A$5:$A$64,0)),"")))</f>
        <v/>
      </c>
      <c r="J928" s="17" t="str">
        <f aca="false">IF(B928="","",DATE(YEAR(B928),MONTH(B928),1))</f>
        <v/>
      </c>
    </row>
    <row r="929" customFormat="false" ht="15" hidden="false" customHeight="false" outlineLevel="0" collapsed="false">
      <c r="A929" s="20"/>
      <c r="B929" s="21"/>
      <c r="C929" s="20"/>
      <c r="D929" s="20"/>
      <c r="E929" s="20"/>
      <c r="F929" s="33"/>
      <c r="G929" s="20"/>
      <c r="H929" s="20"/>
      <c r="I929" s="8" t="str">
        <f aca="false">IF(C929="","",IFERROR(INDEX(Disputes!$C$5:$C$1004,MATCH(C929,Disputes!$A$5:$A$1004,0)),IFERROR(INDEX(Batches!$B$5:$B$64,MATCH(C929,Batches!$A$5:$A$64,0)),"")))</f>
        <v/>
      </c>
      <c r="J929" s="17" t="str">
        <f aca="false">IF(B929="","",DATE(YEAR(B929),MONTH(B929),1))</f>
        <v/>
      </c>
    </row>
    <row r="930" customFormat="false" ht="15" hidden="false" customHeight="false" outlineLevel="0" collapsed="false">
      <c r="A930" s="20"/>
      <c r="B930" s="21"/>
      <c r="C930" s="20"/>
      <c r="D930" s="20"/>
      <c r="E930" s="20"/>
      <c r="F930" s="33"/>
      <c r="G930" s="20"/>
      <c r="H930" s="20"/>
      <c r="I930" s="8" t="str">
        <f aca="false">IF(C930="","",IFERROR(INDEX(Disputes!$C$5:$C$1004,MATCH(C930,Disputes!$A$5:$A$1004,0)),IFERROR(INDEX(Batches!$B$5:$B$64,MATCH(C930,Batches!$A$5:$A$64,0)),"")))</f>
        <v/>
      </c>
      <c r="J930" s="17" t="str">
        <f aca="false">IF(B930="","",DATE(YEAR(B930),MONTH(B930),1))</f>
        <v/>
      </c>
    </row>
    <row r="931" customFormat="false" ht="15" hidden="false" customHeight="false" outlineLevel="0" collapsed="false">
      <c r="A931" s="20"/>
      <c r="B931" s="21"/>
      <c r="C931" s="20"/>
      <c r="D931" s="20"/>
      <c r="E931" s="20"/>
      <c r="F931" s="33"/>
      <c r="G931" s="20"/>
      <c r="H931" s="20"/>
      <c r="I931" s="8" t="str">
        <f aca="false">IF(C931="","",IFERROR(INDEX(Disputes!$C$5:$C$1004,MATCH(C931,Disputes!$A$5:$A$1004,0)),IFERROR(INDEX(Batches!$B$5:$B$64,MATCH(C931,Batches!$A$5:$A$64,0)),"")))</f>
        <v/>
      </c>
      <c r="J931" s="17" t="str">
        <f aca="false">IF(B931="","",DATE(YEAR(B931),MONTH(B931),1))</f>
        <v/>
      </c>
    </row>
    <row r="932" customFormat="false" ht="15" hidden="false" customHeight="false" outlineLevel="0" collapsed="false">
      <c r="A932" s="20"/>
      <c r="B932" s="21"/>
      <c r="C932" s="20"/>
      <c r="D932" s="20"/>
      <c r="E932" s="20"/>
      <c r="F932" s="33"/>
      <c r="G932" s="20"/>
      <c r="H932" s="20"/>
      <c r="I932" s="8" t="str">
        <f aca="false">IF(C932="","",IFERROR(INDEX(Disputes!$C$5:$C$1004,MATCH(C932,Disputes!$A$5:$A$1004,0)),IFERROR(INDEX(Batches!$B$5:$B$64,MATCH(C932,Batches!$A$5:$A$64,0)),"")))</f>
        <v/>
      </c>
      <c r="J932" s="17" t="str">
        <f aca="false">IF(B932="","",DATE(YEAR(B932),MONTH(B932),1))</f>
        <v/>
      </c>
    </row>
    <row r="933" customFormat="false" ht="15" hidden="false" customHeight="false" outlineLevel="0" collapsed="false">
      <c r="A933" s="20"/>
      <c r="B933" s="21"/>
      <c r="C933" s="20"/>
      <c r="D933" s="20"/>
      <c r="E933" s="20"/>
      <c r="F933" s="33"/>
      <c r="G933" s="20"/>
      <c r="H933" s="20"/>
      <c r="I933" s="8" t="str">
        <f aca="false">IF(C933="","",IFERROR(INDEX(Disputes!$C$5:$C$1004,MATCH(C933,Disputes!$A$5:$A$1004,0)),IFERROR(INDEX(Batches!$B$5:$B$64,MATCH(C933,Batches!$A$5:$A$64,0)),"")))</f>
        <v/>
      </c>
      <c r="J933" s="17" t="str">
        <f aca="false">IF(B933="","",DATE(YEAR(B933),MONTH(B933),1))</f>
        <v/>
      </c>
    </row>
    <row r="934" customFormat="false" ht="15" hidden="false" customHeight="false" outlineLevel="0" collapsed="false">
      <c r="A934" s="20"/>
      <c r="B934" s="21"/>
      <c r="C934" s="20"/>
      <c r="D934" s="20"/>
      <c r="E934" s="20"/>
      <c r="F934" s="33"/>
      <c r="G934" s="20"/>
      <c r="H934" s="20"/>
      <c r="I934" s="8" t="str">
        <f aca="false">IF(C934="","",IFERROR(INDEX(Disputes!$C$5:$C$1004,MATCH(C934,Disputes!$A$5:$A$1004,0)),IFERROR(INDEX(Batches!$B$5:$B$64,MATCH(C934,Batches!$A$5:$A$64,0)),"")))</f>
        <v/>
      </c>
      <c r="J934" s="17" t="str">
        <f aca="false">IF(B934="","",DATE(YEAR(B934),MONTH(B934),1))</f>
        <v/>
      </c>
    </row>
    <row r="935" customFormat="false" ht="15" hidden="false" customHeight="false" outlineLevel="0" collapsed="false">
      <c r="A935" s="20"/>
      <c r="B935" s="21"/>
      <c r="C935" s="20"/>
      <c r="D935" s="20"/>
      <c r="E935" s="20"/>
      <c r="F935" s="33"/>
      <c r="G935" s="20"/>
      <c r="H935" s="20"/>
      <c r="I935" s="8" t="str">
        <f aca="false">IF(C935="","",IFERROR(INDEX(Disputes!$C$5:$C$1004,MATCH(C935,Disputes!$A$5:$A$1004,0)),IFERROR(INDEX(Batches!$B$5:$B$64,MATCH(C935,Batches!$A$5:$A$64,0)),"")))</f>
        <v/>
      </c>
      <c r="J935" s="17" t="str">
        <f aca="false">IF(B935="","",DATE(YEAR(B935),MONTH(B935),1))</f>
        <v/>
      </c>
    </row>
    <row r="936" customFormat="false" ht="15" hidden="false" customHeight="false" outlineLevel="0" collapsed="false">
      <c r="A936" s="20"/>
      <c r="B936" s="21"/>
      <c r="C936" s="20"/>
      <c r="D936" s="20"/>
      <c r="E936" s="20"/>
      <c r="F936" s="33"/>
      <c r="G936" s="20"/>
      <c r="H936" s="20"/>
      <c r="I936" s="8" t="str">
        <f aca="false">IF(C936="","",IFERROR(INDEX(Disputes!$C$5:$C$1004,MATCH(C936,Disputes!$A$5:$A$1004,0)),IFERROR(INDEX(Batches!$B$5:$B$64,MATCH(C936,Batches!$A$5:$A$64,0)),"")))</f>
        <v/>
      </c>
      <c r="J936" s="17" t="str">
        <f aca="false">IF(B936="","",DATE(YEAR(B936),MONTH(B936),1))</f>
        <v/>
      </c>
    </row>
    <row r="937" customFormat="false" ht="15" hidden="false" customHeight="false" outlineLevel="0" collapsed="false">
      <c r="A937" s="20"/>
      <c r="B937" s="21"/>
      <c r="C937" s="20"/>
      <c r="D937" s="20"/>
      <c r="E937" s="20"/>
      <c r="F937" s="33"/>
      <c r="G937" s="20"/>
      <c r="H937" s="20"/>
      <c r="I937" s="8" t="str">
        <f aca="false">IF(C937="","",IFERROR(INDEX(Disputes!$C$5:$C$1004,MATCH(C937,Disputes!$A$5:$A$1004,0)),IFERROR(INDEX(Batches!$B$5:$B$64,MATCH(C937,Batches!$A$5:$A$64,0)),"")))</f>
        <v/>
      </c>
      <c r="J937" s="17" t="str">
        <f aca="false">IF(B937="","",DATE(YEAR(B937),MONTH(B937),1))</f>
        <v/>
      </c>
    </row>
    <row r="938" customFormat="false" ht="15" hidden="false" customHeight="false" outlineLevel="0" collapsed="false">
      <c r="A938" s="20"/>
      <c r="B938" s="21"/>
      <c r="C938" s="20"/>
      <c r="D938" s="20"/>
      <c r="E938" s="20"/>
      <c r="F938" s="33"/>
      <c r="G938" s="20"/>
      <c r="H938" s="20"/>
      <c r="I938" s="8" t="str">
        <f aca="false">IF(C938="","",IFERROR(INDEX(Disputes!$C$5:$C$1004,MATCH(C938,Disputes!$A$5:$A$1004,0)),IFERROR(INDEX(Batches!$B$5:$B$64,MATCH(C938,Batches!$A$5:$A$64,0)),"")))</f>
        <v/>
      </c>
      <c r="J938" s="17" t="str">
        <f aca="false">IF(B938="","",DATE(YEAR(B938),MONTH(B938),1))</f>
        <v/>
      </c>
    </row>
    <row r="939" customFormat="false" ht="15" hidden="false" customHeight="false" outlineLevel="0" collapsed="false">
      <c r="A939" s="20"/>
      <c r="B939" s="21"/>
      <c r="C939" s="20"/>
      <c r="D939" s="20"/>
      <c r="E939" s="20"/>
      <c r="F939" s="33"/>
      <c r="G939" s="20"/>
      <c r="H939" s="20"/>
      <c r="I939" s="8" t="str">
        <f aca="false">IF(C939="","",IFERROR(INDEX(Disputes!$C$5:$C$1004,MATCH(C939,Disputes!$A$5:$A$1004,0)),IFERROR(INDEX(Batches!$B$5:$B$64,MATCH(C939,Batches!$A$5:$A$64,0)),"")))</f>
        <v/>
      </c>
      <c r="J939" s="17" t="str">
        <f aca="false">IF(B939="","",DATE(YEAR(B939),MONTH(B939),1))</f>
        <v/>
      </c>
    </row>
    <row r="940" customFormat="false" ht="15" hidden="false" customHeight="false" outlineLevel="0" collapsed="false">
      <c r="A940" s="20"/>
      <c r="B940" s="21"/>
      <c r="C940" s="20"/>
      <c r="D940" s="20"/>
      <c r="E940" s="20"/>
      <c r="F940" s="33"/>
      <c r="G940" s="20"/>
      <c r="H940" s="20"/>
      <c r="I940" s="8" t="str">
        <f aca="false">IF(C940="","",IFERROR(INDEX(Disputes!$C$5:$C$1004,MATCH(C940,Disputes!$A$5:$A$1004,0)),IFERROR(INDEX(Batches!$B$5:$B$64,MATCH(C940,Batches!$A$5:$A$64,0)),"")))</f>
        <v/>
      </c>
      <c r="J940" s="17" t="str">
        <f aca="false">IF(B940="","",DATE(YEAR(B940),MONTH(B940),1))</f>
        <v/>
      </c>
    </row>
    <row r="941" customFormat="false" ht="15" hidden="false" customHeight="false" outlineLevel="0" collapsed="false">
      <c r="A941" s="20"/>
      <c r="B941" s="21"/>
      <c r="C941" s="20"/>
      <c r="D941" s="20"/>
      <c r="E941" s="20"/>
      <c r="F941" s="33"/>
      <c r="G941" s="20"/>
      <c r="H941" s="20"/>
      <c r="I941" s="8" t="str">
        <f aca="false">IF(C941="","",IFERROR(INDEX(Disputes!$C$5:$C$1004,MATCH(C941,Disputes!$A$5:$A$1004,0)),IFERROR(INDEX(Batches!$B$5:$B$64,MATCH(C941,Batches!$A$5:$A$64,0)),"")))</f>
        <v/>
      </c>
      <c r="J941" s="17" t="str">
        <f aca="false">IF(B941="","",DATE(YEAR(B941),MONTH(B941),1))</f>
        <v/>
      </c>
    </row>
    <row r="942" customFormat="false" ht="15" hidden="false" customHeight="false" outlineLevel="0" collapsed="false">
      <c r="A942" s="20"/>
      <c r="B942" s="21"/>
      <c r="C942" s="20"/>
      <c r="D942" s="20"/>
      <c r="E942" s="20"/>
      <c r="F942" s="33"/>
      <c r="G942" s="20"/>
      <c r="H942" s="20"/>
      <c r="I942" s="8" t="str">
        <f aca="false">IF(C942="","",IFERROR(INDEX(Disputes!$C$5:$C$1004,MATCH(C942,Disputes!$A$5:$A$1004,0)),IFERROR(INDEX(Batches!$B$5:$B$64,MATCH(C942,Batches!$A$5:$A$64,0)),"")))</f>
        <v/>
      </c>
      <c r="J942" s="17" t="str">
        <f aca="false">IF(B942="","",DATE(YEAR(B942),MONTH(B942),1))</f>
        <v/>
      </c>
    </row>
    <row r="943" customFormat="false" ht="15" hidden="false" customHeight="false" outlineLevel="0" collapsed="false">
      <c r="A943" s="20"/>
      <c r="B943" s="21"/>
      <c r="C943" s="20"/>
      <c r="D943" s="20"/>
      <c r="E943" s="20"/>
      <c r="F943" s="33"/>
      <c r="G943" s="20"/>
      <c r="H943" s="20"/>
      <c r="I943" s="8" t="str">
        <f aca="false">IF(C943="","",IFERROR(INDEX(Disputes!$C$5:$C$1004,MATCH(C943,Disputes!$A$5:$A$1004,0)),IFERROR(INDEX(Batches!$B$5:$B$64,MATCH(C943,Batches!$A$5:$A$64,0)),"")))</f>
        <v/>
      </c>
      <c r="J943" s="17" t="str">
        <f aca="false">IF(B943="","",DATE(YEAR(B943),MONTH(B943),1))</f>
        <v/>
      </c>
    </row>
    <row r="944" customFormat="false" ht="15" hidden="false" customHeight="false" outlineLevel="0" collapsed="false">
      <c r="A944" s="20"/>
      <c r="B944" s="21"/>
      <c r="C944" s="20"/>
      <c r="D944" s="20"/>
      <c r="E944" s="20"/>
      <c r="F944" s="33"/>
      <c r="G944" s="20"/>
      <c r="H944" s="20"/>
      <c r="I944" s="8" t="str">
        <f aca="false">IF(C944="","",IFERROR(INDEX(Disputes!$C$5:$C$1004,MATCH(C944,Disputes!$A$5:$A$1004,0)),IFERROR(INDEX(Batches!$B$5:$B$64,MATCH(C944,Batches!$A$5:$A$64,0)),"")))</f>
        <v/>
      </c>
      <c r="J944" s="17" t="str">
        <f aca="false">IF(B944="","",DATE(YEAR(B944),MONTH(B944),1))</f>
        <v/>
      </c>
    </row>
    <row r="945" customFormat="false" ht="15" hidden="false" customHeight="false" outlineLevel="0" collapsed="false">
      <c r="A945" s="20"/>
      <c r="B945" s="21"/>
      <c r="C945" s="20"/>
      <c r="D945" s="20"/>
      <c r="E945" s="20"/>
      <c r="F945" s="33"/>
      <c r="G945" s="20"/>
      <c r="H945" s="20"/>
      <c r="I945" s="8" t="str">
        <f aca="false">IF(C945="","",IFERROR(INDEX(Disputes!$C$5:$C$1004,MATCH(C945,Disputes!$A$5:$A$1004,0)),IFERROR(INDEX(Batches!$B$5:$B$64,MATCH(C945,Batches!$A$5:$A$64,0)),"")))</f>
        <v/>
      </c>
      <c r="J945" s="17" t="str">
        <f aca="false">IF(B945="","",DATE(YEAR(B945),MONTH(B945),1))</f>
        <v/>
      </c>
    </row>
    <row r="946" customFormat="false" ht="15" hidden="false" customHeight="false" outlineLevel="0" collapsed="false">
      <c r="A946" s="20"/>
      <c r="B946" s="21"/>
      <c r="C946" s="20"/>
      <c r="D946" s="20"/>
      <c r="E946" s="20"/>
      <c r="F946" s="33"/>
      <c r="G946" s="20"/>
      <c r="H946" s="20"/>
      <c r="I946" s="8" t="str">
        <f aca="false">IF(C946="","",IFERROR(INDEX(Disputes!$C$5:$C$1004,MATCH(C946,Disputes!$A$5:$A$1004,0)),IFERROR(INDEX(Batches!$B$5:$B$64,MATCH(C946,Batches!$A$5:$A$64,0)),"")))</f>
        <v/>
      </c>
      <c r="J946" s="17" t="str">
        <f aca="false">IF(B946="","",DATE(YEAR(B946),MONTH(B946),1))</f>
        <v/>
      </c>
    </row>
    <row r="947" customFormat="false" ht="15" hidden="false" customHeight="false" outlineLevel="0" collapsed="false">
      <c r="A947" s="20"/>
      <c r="B947" s="21"/>
      <c r="C947" s="20"/>
      <c r="D947" s="20"/>
      <c r="E947" s="20"/>
      <c r="F947" s="33"/>
      <c r="G947" s="20"/>
      <c r="H947" s="20"/>
      <c r="I947" s="8" t="str">
        <f aca="false">IF(C947="","",IFERROR(INDEX(Disputes!$C$5:$C$1004,MATCH(C947,Disputes!$A$5:$A$1004,0)),IFERROR(INDEX(Batches!$B$5:$B$64,MATCH(C947,Batches!$A$5:$A$64,0)),"")))</f>
        <v/>
      </c>
      <c r="J947" s="17" t="str">
        <f aca="false">IF(B947="","",DATE(YEAR(B947),MONTH(B947),1))</f>
        <v/>
      </c>
    </row>
    <row r="948" customFormat="false" ht="15" hidden="false" customHeight="false" outlineLevel="0" collapsed="false">
      <c r="A948" s="20"/>
      <c r="B948" s="21"/>
      <c r="C948" s="20"/>
      <c r="D948" s="20"/>
      <c r="E948" s="20"/>
      <c r="F948" s="33"/>
      <c r="G948" s="20"/>
      <c r="H948" s="20"/>
      <c r="I948" s="8" t="str">
        <f aca="false">IF(C948="","",IFERROR(INDEX(Disputes!$C$5:$C$1004,MATCH(C948,Disputes!$A$5:$A$1004,0)),IFERROR(INDEX(Batches!$B$5:$B$64,MATCH(C948,Batches!$A$5:$A$64,0)),"")))</f>
        <v/>
      </c>
      <c r="J948" s="17" t="str">
        <f aca="false">IF(B948="","",DATE(YEAR(B948),MONTH(B948),1))</f>
        <v/>
      </c>
    </row>
    <row r="949" customFormat="false" ht="15" hidden="false" customHeight="false" outlineLevel="0" collapsed="false">
      <c r="A949" s="20"/>
      <c r="B949" s="21"/>
      <c r="C949" s="20"/>
      <c r="D949" s="20"/>
      <c r="E949" s="20"/>
      <c r="F949" s="33"/>
      <c r="G949" s="20"/>
      <c r="H949" s="20"/>
      <c r="I949" s="8" t="str">
        <f aca="false">IF(C949="","",IFERROR(INDEX(Disputes!$C$5:$C$1004,MATCH(C949,Disputes!$A$5:$A$1004,0)),IFERROR(INDEX(Batches!$B$5:$B$64,MATCH(C949,Batches!$A$5:$A$64,0)),"")))</f>
        <v/>
      </c>
      <c r="J949" s="17" t="str">
        <f aca="false">IF(B949="","",DATE(YEAR(B949),MONTH(B949),1))</f>
        <v/>
      </c>
    </row>
    <row r="950" customFormat="false" ht="15" hidden="false" customHeight="false" outlineLevel="0" collapsed="false">
      <c r="A950" s="20"/>
      <c r="B950" s="21"/>
      <c r="C950" s="20"/>
      <c r="D950" s="20"/>
      <c r="E950" s="20"/>
      <c r="F950" s="33"/>
      <c r="G950" s="20"/>
      <c r="H950" s="20"/>
      <c r="I950" s="8" t="str">
        <f aca="false">IF(C950="","",IFERROR(INDEX(Disputes!$C$5:$C$1004,MATCH(C950,Disputes!$A$5:$A$1004,0)),IFERROR(INDEX(Batches!$B$5:$B$64,MATCH(C950,Batches!$A$5:$A$64,0)),"")))</f>
        <v/>
      </c>
      <c r="J950" s="17" t="str">
        <f aca="false">IF(B950="","",DATE(YEAR(B950),MONTH(B950),1))</f>
        <v/>
      </c>
    </row>
    <row r="951" customFormat="false" ht="15" hidden="false" customHeight="false" outlineLevel="0" collapsed="false">
      <c r="A951" s="20"/>
      <c r="B951" s="21"/>
      <c r="C951" s="20"/>
      <c r="D951" s="20"/>
      <c r="E951" s="20"/>
      <c r="F951" s="33"/>
      <c r="G951" s="20"/>
      <c r="H951" s="20"/>
      <c r="I951" s="8" t="str">
        <f aca="false">IF(C951="","",IFERROR(INDEX(Disputes!$C$5:$C$1004,MATCH(C951,Disputes!$A$5:$A$1004,0)),IFERROR(INDEX(Batches!$B$5:$B$64,MATCH(C951,Batches!$A$5:$A$64,0)),"")))</f>
        <v/>
      </c>
      <c r="J951" s="17" t="str">
        <f aca="false">IF(B951="","",DATE(YEAR(B951),MONTH(B951),1))</f>
        <v/>
      </c>
    </row>
    <row r="952" customFormat="false" ht="15" hidden="false" customHeight="false" outlineLevel="0" collapsed="false">
      <c r="A952" s="20"/>
      <c r="B952" s="21"/>
      <c r="C952" s="20"/>
      <c r="D952" s="20"/>
      <c r="E952" s="20"/>
      <c r="F952" s="33"/>
      <c r="G952" s="20"/>
      <c r="H952" s="20"/>
      <c r="I952" s="8" t="str">
        <f aca="false">IF(C952="","",IFERROR(INDEX(Disputes!$C$5:$C$1004,MATCH(C952,Disputes!$A$5:$A$1004,0)),IFERROR(INDEX(Batches!$B$5:$B$64,MATCH(C952,Batches!$A$5:$A$64,0)),"")))</f>
        <v/>
      </c>
      <c r="J952" s="17" t="str">
        <f aca="false">IF(B952="","",DATE(YEAR(B952),MONTH(B952),1))</f>
        <v/>
      </c>
    </row>
    <row r="953" customFormat="false" ht="15" hidden="false" customHeight="false" outlineLevel="0" collapsed="false">
      <c r="A953" s="20"/>
      <c r="B953" s="21"/>
      <c r="C953" s="20"/>
      <c r="D953" s="20"/>
      <c r="E953" s="20"/>
      <c r="F953" s="33"/>
      <c r="G953" s="20"/>
      <c r="H953" s="20"/>
      <c r="I953" s="8" t="str">
        <f aca="false">IF(C953="","",IFERROR(INDEX(Disputes!$C$5:$C$1004,MATCH(C953,Disputes!$A$5:$A$1004,0)),IFERROR(INDEX(Batches!$B$5:$B$64,MATCH(C953,Batches!$A$5:$A$64,0)),"")))</f>
        <v/>
      </c>
      <c r="J953" s="17" t="str">
        <f aca="false">IF(B953="","",DATE(YEAR(B953),MONTH(B953),1))</f>
        <v/>
      </c>
    </row>
    <row r="954" customFormat="false" ht="15" hidden="false" customHeight="false" outlineLevel="0" collapsed="false">
      <c r="A954" s="20"/>
      <c r="B954" s="21"/>
      <c r="C954" s="20"/>
      <c r="D954" s="20"/>
      <c r="E954" s="20"/>
      <c r="F954" s="33"/>
      <c r="G954" s="20"/>
      <c r="H954" s="20"/>
      <c r="I954" s="8" t="str">
        <f aca="false">IF(C954="","",IFERROR(INDEX(Disputes!$C$5:$C$1004,MATCH(C954,Disputes!$A$5:$A$1004,0)),IFERROR(INDEX(Batches!$B$5:$B$64,MATCH(C954,Batches!$A$5:$A$64,0)),"")))</f>
        <v/>
      </c>
      <c r="J954" s="17" t="str">
        <f aca="false">IF(B954="","",DATE(YEAR(B954),MONTH(B954),1))</f>
        <v/>
      </c>
    </row>
    <row r="955" customFormat="false" ht="15" hidden="false" customHeight="false" outlineLevel="0" collapsed="false">
      <c r="A955" s="20"/>
      <c r="B955" s="21"/>
      <c r="C955" s="20"/>
      <c r="D955" s="20"/>
      <c r="E955" s="20"/>
      <c r="F955" s="33"/>
      <c r="G955" s="20"/>
      <c r="H955" s="20"/>
      <c r="I955" s="8" t="str">
        <f aca="false">IF(C955="","",IFERROR(INDEX(Disputes!$C$5:$C$1004,MATCH(C955,Disputes!$A$5:$A$1004,0)),IFERROR(INDEX(Batches!$B$5:$B$64,MATCH(C955,Batches!$A$5:$A$64,0)),"")))</f>
        <v/>
      </c>
      <c r="J955" s="17" t="str">
        <f aca="false">IF(B955="","",DATE(YEAR(B955),MONTH(B955),1))</f>
        <v/>
      </c>
    </row>
    <row r="956" customFormat="false" ht="15" hidden="false" customHeight="false" outlineLevel="0" collapsed="false">
      <c r="A956" s="20"/>
      <c r="B956" s="21"/>
      <c r="C956" s="20"/>
      <c r="D956" s="20"/>
      <c r="E956" s="20"/>
      <c r="F956" s="33"/>
      <c r="G956" s="20"/>
      <c r="H956" s="20"/>
      <c r="I956" s="8" t="str">
        <f aca="false">IF(C956="","",IFERROR(INDEX(Disputes!$C$5:$C$1004,MATCH(C956,Disputes!$A$5:$A$1004,0)),IFERROR(INDEX(Batches!$B$5:$B$64,MATCH(C956,Batches!$A$5:$A$64,0)),"")))</f>
        <v/>
      </c>
      <c r="J956" s="17" t="str">
        <f aca="false">IF(B956="","",DATE(YEAR(B956),MONTH(B956),1))</f>
        <v/>
      </c>
    </row>
    <row r="957" customFormat="false" ht="15" hidden="false" customHeight="false" outlineLevel="0" collapsed="false">
      <c r="A957" s="20"/>
      <c r="B957" s="21"/>
      <c r="C957" s="20"/>
      <c r="D957" s="20"/>
      <c r="E957" s="20"/>
      <c r="F957" s="33"/>
      <c r="G957" s="20"/>
      <c r="H957" s="20"/>
      <c r="I957" s="8" t="str">
        <f aca="false">IF(C957="","",IFERROR(INDEX(Disputes!$C$5:$C$1004,MATCH(C957,Disputes!$A$5:$A$1004,0)),IFERROR(INDEX(Batches!$B$5:$B$64,MATCH(C957,Batches!$A$5:$A$64,0)),"")))</f>
        <v/>
      </c>
      <c r="J957" s="17" t="str">
        <f aca="false">IF(B957="","",DATE(YEAR(B957),MONTH(B957),1))</f>
        <v/>
      </c>
    </row>
    <row r="958" customFormat="false" ht="15" hidden="false" customHeight="false" outlineLevel="0" collapsed="false">
      <c r="A958" s="20"/>
      <c r="B958" s="21"/>
      <c r="C958" s="20"/>
      <c r="D958" s="20"/>
      <c r="E958" s="20"/>
      <c r="F958" s="33"/>
      <c r="G958" s="20"/>
      <c r="H958" s="20"/>
      <c r="I958" s="8" t="str">
        <f aca="false">IF(C958="","",IFERROR(INDEX(Disputes!$C$5:$C$1004,MATCH(C958,Disputes!$A$5:$A$1004,0)),IFERROR(INDEX(Batches!$B$5:$B$64,MATCH(C958,Batches!$A$5:$A$64,0)),"")))</f>
        <v/>
      </c>
      <c r="J958" s="17" t="str">
        <f aca="false">IF(B958="","",DATE(YEAR(B958),MONTH(B958),1))</f>
        <v/>
      </c>
    </row>
    <row r="959" customFormat="false" ht="15" hidden="false" customHeight="false" outlineLevel="0" collapsed="false">
      <c r="A959" s="20"/>
      <c r="B959" s="21"/>
      <c r="C959" s="20"/>
      <c r="D959" s="20"/>
      <c r="E959" s="20"/>
      <c r="F959" s="33"/>
      <c r="G959" s="20"/>
      <c r="H959" s="20"/>
      <c r="I959" s="8" t="str">
        <f aca="false">IF(C959="","",IFERROR(INDEX(Disputes!$C$5:$C$1004,MATCH(C959,Disputes!$A$5:$A$1004,0)),IFERROR(INDEX(Batches!$B$5:$B$64,MATCH(C959,Batches!$A$5:$A$64,0)),"")))</f>
        <v/>
      </c>
      <c r="J959" s="17" t="str">
        <f aca="false">IF(B959="","",DATE(YEAR(B959),MONTH(B959),1))</f>
        <v/>
      </c>
    </row>
    <row r="960" customFormat="false" ht="15" hidden="false" customHeight="false" outlineLevel="0" collapsed="false">
      <c r="A960" s="20"/>
      <c r="B960" s="21"/>
      <c r="C960" s="20"/>
      <c r="D960" s="20"/>
      <c r="E960" s="20"/>
      <c r="F960" s="33"/>
      <c r="G960" s="20"/>
      <c r="H960" s="20"/>
      <c r="I960" s="8" t="str">
        <f aca="false">IF(C960="","",IFERROR(INDEX(Disputes!$C$5:$C$1004,MATCH(C960,Disputes!$A$5:$A$1004,0)),IFERROR(INDEX(Batches!$B$5:$B$64,MATCH(C960,Batches!$A$5:$A$64,0)),"")))</f>
        <v/>
      </c>
      <c r="J960" s="17" t="str">
        <f aca="false">IF(B960="","",DATE(YEAR(B960),MONTH(B960),1))</f>
        <v/>
      </c>
    </row>
    <row r="961" customFormat="false" ht="15" hidden="false" customHeight="false" outlineLevel="0" collapsed="false">
      <c r="A961" s="20"/>
      <c r="B961" s="21"/>
      <c r="C961" s="20"/>
      <c r="D961" s="20"/>
      <c r="E961" s="20"/>
      <c r="F961" s="33"/>
      <c r="G961" s="20"/>
      <c r="H961" s="20"/>
      <c r="I961" s="8" t="str">
        <f aca="false">IF(C961="","",IFERROR(INDEX(Disputes!$C$5:$C$1004,MATCH(C961,Disputes!$A$5:$A$1004,0)),IFERROR(INDEX(Batches!$B$5:$B$64,MATCH(C961,Batches!$A$5:$A$64,0)),"")))</f>
        <v/>
      </c>
      <c r="J961" s="17" t="str">
        <f aca="false">IF(B961="","",DATE(YEAR(B961),MONTH(B961),1))</f>
        <v/>
      </c>
    </row>
    <row r="962" customFormat="false" ht="15" hidden="false" customHeight="false" outlineLevel="0" collapsed="false">
      <c r="A962" s="20"/>
      <c r="B962" s="21"/>
      <c r="C962" s="20"/>
      <c r="D962" s="20"/>
      <c r="E962" s="20"/>
      <c r="F962" s="33"/>
      <c r="G962" s="20"/>
      <c r="H962" s="20"/>
      <c r="I962" s="8" t="str">
        <f aca="false">IF(C962="","",IFERROR(INDEX(Disputes!$C$5:$C$1004,MATCH(C962,Disputes!$A$5:$A$1004,0)),IFERROR(INDEX(Batches!$B$5:$B$64,MATCH(C962,Batches!$A$5:$A$64,0)),"")))</f>
        <v/>
      </c>
      <c r="J962" s="17" t="str">
        <f aca="false">IF(B962="","",DATE(YEAR(B962),MONTH(B962),1))</f>
        <v/>
      </c>
    </row>
    <row r="963" customFormat="false" ht="15" hidden="false" customHeight="false" outlineLevel="0" collapsed="false">
      <c r="A963" s="20"/>
      <c r="B963" s="21"/>
      <c r="C963" s="20"/>
      <c r="D963" s="20"/>
      <c r="E963" s="20"/>
      <c r="F963" s="33"/>
      <c r="G963" s="20"/>
      <c r="H963" s="20"/>
      <c r="I963" s="8" t="str">
        <f aca="false">IF(C963="","",IFERROR(INDEX(Disputes!$C$5:$C$1004,MATCH(C963,Disputes!$A$5:$A$1004,0)),IFERROR(INDEX(Batches!$B$5:$B$64,MATCH(C963,Batches!$A$5:$A$64,0)),"")))</f>
        <v/>
      </c>
      <c r="J963" s="17" t="str">
        <f aca="false">IF(B963="","",DATE(YEAR(B963),MONTH(B963),1))</f>
        <v/>
      </c>
    </row>
    <row r="964" customFormat="false" ht="15" hidden="false" customHeight="false" outlineLevel="0" collapsed="false">
      <c r="A964" s="20"/>
      <c r="B964" s="21"/>
      <c r="C964" s="20"/>
      <c r="D964" s="20"/>
      <c r="E964" s="20"/>
      <c r="F964" s="33"/>
      <c r="G964" s="20"/>
      <c r="H964" s="20"/>
      <c r="I964" s="8" t="str">
        <f aca="false">IF(C964="","",IFERROR(INDEX(Disputes!$C$5:$C$1004,MATCH(C964,Disputes!$A$5:$A$1004,0)),IFERROR(INDEX(Batches!$B$5:$B$64,MATCH(C964,Batches!$A$5:$A$64,0)),"")))</f>
        <v/>
      </c>
      <c r="J964" s="17" t="str">
        <f aca="false">IF(B964="","",DATE(YEAR(B964),MONTH(B964),1))</f>
        <v/>
      </c>
    </row>
    <row r="965" customFormat="false" ht="15" hidden="false" customHeight="false" outlineLevel="0" collapsed="false">
      <c r="A965" s="20"/>
      <c r="B965" s="21"/>
      <c r="C965" s="20"/>
      <c r="D965" s="20"/>
      <c r="E965" s="20"/>
      <c r="F965" s="33"/>
      <c r="G965" s="20"/>
      <c r="H965" s="20"/>
      <c r="I965" s="8" t="str">
        <f aca="false">IF(C965="","",IFERROR(INDEX(Disputes!$C$5:$C$1004,MATCH(C965,Disputes!$A$5:$A$1004,0)),IFERROR(INDEX(Batches!$B$5:$B$64,MATCH(C965,Batches!$A$5:$A$64,0)),"")))</f>
        <v/>
      </c>
      <c r="J965" s="17" t="str">
        <f aca="false">IF(B965="","",DATE(YEAR(B965),MONTH(B965),1))</f>
        <v/>
      </c>
    </row>
    <row r="966" customFormat="false" ht="15" hidden="false" customHeight="false" outlineLevel="0" collapsed="false">
      <c r="A966" s="20"/>
      <c r="B966" s="21"/>
      <c r="C966" s="20"/>
      <c r="D966" s="20"/>
      <c r="E966" s="20"/>
      <c r="F966" s="33"/>
      <c r="G966" s="20"/>
      <c r="H966" s="20"/>
      <c r="I966" s="8" t="str">
        <f aca="false">IF(C966="","",IFERROR(INDEX(Disputes!$C$5:$C$1004,MATCH(C966,Disputes!$A$5:$A$1004,0)),IFERROR(INDEX(Batches!$B$5:$B$64,MATCH(C966,Batches!$A$5:$A$64,0)),"")))</f>
        <v/>
      </c>
      <c r="J966" s="17" t="str">
        <f aca="false">IF(B966="","",DATE(YEAR(B966),MONTH(B966),1))</f>
        <v/>
      </c>
    </row>
    <row r="967" customFormat="false" ht="15" hidden="false" customHeight="false" outlineLevel="0" collapsed="false">
      <c r="A967" s="20"/>
      <c r="B967" s="21"/>
      <c r="C967" s="20"/>
      <c r="D967" s="20"/>
      <c r="E967" s="20"/>
      <c r="F967" s="33"/>
      <c r="G967" s="20"/>
      <c r="H967" s="20"/>
      <c r="I967" s="8" t="str">
        <f aca="false">IF(C967="","",IFERROR(INDEX(Disputes!$C$5:$C$1004,MATCH(C967,Disputes!$A$5:$A$1004,0)),IFERROR(INDEX(Batches!$B$5:$B$64,MATCH(C967,Batches!$A$5:$A$64,0)),"")))</f>
        <v/>
      </c>
      <c r="J967" s="17" t="str">
        <f aca="false">IF(B967="","",DATE(YEAR(B967),MONTH(B967),1))</f>
        <v/>
      </c>
    </row>
    <row r="968" customFormat="false" ht="15" hidden="false" customHeight="false" outlineLevel="0" collapsed="false">
      <c r="A968" s="20"/>
      <c r="B968" s="21"/>
      <c r="C968" s="20"/>
      <c r="D968" s="20"/>
      <c r="E968" s="20"/>
      <c r="F968" s="33"/>
      <c r="G968" s="20"/>
      <c r="H968" s="20"/>
      <c r="I968" s="8" t="str">
        <f aca="false">IF(C968="","",IFERROR(INDEX(Disputes!$C$5:$C$1004,MATCH(C968,Disputes!$A$5:$A$1004,0)),IFERROR(INDEX(Batches!$B$5:$B$64,MATCH(C968,Batches!$A$5:$A$64,0)),"")))</f>
        <v/>
      </c>
      <c r="J968" s="17" t="str">
        <f aca="false">IF(B968="","",DATE(YEAR(B968),MONTH(B968),1))</f>
        <v/>
      </c>
    </row>
    <row r="969" customFormat="false" ht="15" hidden="false" customHeight="false" outlineLevel="0" collapsed="false">
      <c r="A969" s="20"/>
      <c r="B969" s="21"/>
      <c r="C969" s="20"/>
      <c r="D969" s="20"/>
      <c r="E969" s="20"/>
      <c r="F969" s="33"/>
      <c r="G969" s="20"/>
      <c r="H969" s="20"/>
      <c r="I969" s="8" t="str">
        <f aca="false">IF(C969="","",IFERROR(INDEX(Disputes!$C$5:$C$1004,MATCH(C969,Disputes!$A$5:$A$1004,0)),IFERROR(INDEX(Batches!$B$5:$B$64,MATCH(C969,Batches!$A$5:$A$64,0)),"")))</f>
        <v/>
      </c>
      <c r="J969" s="17" t="str">
        <f aca="false">IF(B969="","",DATE(YEAR(B969),MONTH(B969),1))</f>
        <v/>
      </c>
    </row>
    <row r="970" customFormat="false" ht="15" hidden="false" customHeight="false" outlineLevel="0" collapsed="false">
      <c r="A970" s="20"/>
      <c r="B970" s="21"/>
      <c r="C970" s="20"/>
      <c r="D970" s="20"/>
      <c r="E970" s="20"/>
      <c r="F970" s="33"/>
      <c r="G970" s="20"/>
      <c r="H970" s="20"/>
      <c r="I970" s="8" t="str">
        <f aca="false">IF(C970="","",IFERROR(INDEX(Disputes!$C$5:$C$1004,MATCH(C970,Disputes!$A$5:$A$1004,0)),IFERROR(INDEX(Batches!$B$5:$B$64,MATCH(C970,Batches!$A$5:$A$64,0)),"")))</f>
        <v/>
      </c>
      <c r="J970" s="17" t="str">
        <f aca="false">IF(B970="","",DATE(YEAR(B970),MONTH(B970),1))</f>
        <v/>
      </c>
    </row>
    <row r="971" customFormat="false" ht="15" hidden="false" customHeight="false" outlineLevel="0" collapsed="false">
      <c r="A971" s="20"/>
      <c r="B971" s="21"/>
      <c r="C971" s="20"/>
      <c r="D971" s="20"/>
      <c r="E971" s="20"/>
      <c r="F971" s="33"/>
      <c r="G971" s="20"/>
      <c r="H971" s="20"/>
      <c r="I971" s="8" t="str">
        <f aca="false">IF(C971="","",IFERROR(INDEX(Disputes!$C$5:$C$1004,MATCH(C971,Disputes!$A$5:$A$1004,0)),IFERROR(INDEX(Batches!$B$5:$B$64,MATCH(C971,Batches!$A$5:$A$64,0)),"")))</f>
        <v/>
      </c>
      <c r="J971" s="17" t="str">
        <f aca="false">IF(B971="","",DATE(YEAR(B971),MONTH(B971),1))</f>
        <v/>
      </c>
    </row>
    <row r="972" customFormat="false" ht="15" hidden="false" customHeight="false" outlineLevel="0" collapsed="false">
      <c r="A972" s="20"/>
      <c r="B972" s="21"/>
      <c r="C972" s="20"/>
      <c r="D972" s="20"/>
      <c r="E972" s="20"/>
      <c r="F972" s="33"/>
      <c r="G972" s="20"/>
      <c r="H972" s="20"/>
      <c r="I972" s="8" t="str">
        <f aca="false">IF(C972="","",IFERROR(INDEX(Disputes!$C$5:$C$1004,MATCH(C972,Disputes!$A$5:$A$1004,0)),IFERROR(INDEX(Batches!$B$5:$B$64,MATCH(C972,Batches!$A$5:$A$64,0)),"")))</f>
        <v/>
      </c>
      <c r="J972" s="17" t="str">
        <f aca="false">IF(B972="","",DATE(YEAR(B972),MONTH(B972),1))</f>
        <v/>
      </c>
    </row>
    <row r="973" customFormat="false" ht="15" hidden="false" customHeight="false" outlineLevel="0" collapsed="false">
      <c r="A973" s="20"/>
      <c r="B973" s="21"/>
      <c r="C973" s="20"/>
      <c r="D973" s="20"/>
      <c r="E973" s="20"/>
      <c r="F973" s="33"/>
      <c r="G973" s="20"/>
      <c r="H973" s="20"/>
      <c r="I973" s="8" t="str">
        <f aca="false">IF(C973="","",IFERROR(INDEX(Disputes!$C$5:$C$1004,MATCH(C973,Disputes!$A$5:$A$1004,0)),IFERROR(INDEX(Batches!$B$5:$B$64,MATCH(C973,Batches!$A$5:$A$64,0)),"")))</f>
        <v/>
      </c>
      <c r="J973" s="17" t="str">
        <f aca="false">IF(B973="","",DATE(YEAR(B973),MONTH(B973),1))</f>
        <v/>
      </c>
    </row>
    <row r="974" customFormat="false" ht="15" hidden="false" customHeight="false" outlineLevel="0" collapsed="false">
      <c r="A974" s="20"/>
      <c r="B974" s="21"/>
      <c r="C974" s="20"/>
      <c r="D974" s="20"/>
      <c r="E974" s="20"/>
      <c r="F974" s="33"/>
      <c r="G974" s="20"/>
      <c r="H974" s="20"/>
      <c r="I974" s="8" t="str">
        <f aca="false">IF(C974="","",IFERROR(INDEX(Disputes!$C$5:$C$1004,MATCH(C974,Disputes!$A$5:$A$1004,0)),IFERROR(INDEX(Batches!$B$5:$B$64,MATCH(C974,Batches!$A$5:$A$64,0)),"")))</f>
        <v/>
      </c>
      <c r="J974" s="17" t="str">
        <f aca="false">IF(B974="","",DATE(YEAR(B974),MONTH(B974),1))</f>
        <v/>
      </c>
    </row>
    <row r="975" customFormat="false" ht="15" hidden="false" customHeight="false" outlineLevel="0" collapsed="false">
      <c r="A975" s="20"/>
      <c r="B975" s="21"/>
      <c r="C975" s="20"/>
      <c r="D975" s="20"/>
      <c r="E975" s="20"/>
      <c r="F975" s="33"/>
      <c r="G975" s="20"/>
      <c r="H975" s="20"/>
      <c r="I975" s="8" t="str">
        <f aca="false">IF(C975="","",IFERROR(INDEX(Disputes!$C$5:$C$1004,MATCH(C975,Disputes!$A$5:$A$1004,0)),IFERROR(INDEX(Batches!$B$5:$B$64,MATCH(C975,Batches!$A$5:$A$64,0)),"")))</f>
        <v/>
      </c>
      <c r="J975" s="17" t="str">
        <f aca="false">IF(B975="","",DATE(YEAR(B975),MONTH(B975),1))</f>
        <v/>
      </c>
    </row>
    <row r="976" customFormat="false" ht="15" hidden="false" customHeight="false" outlineLevel="0" collapsed="false">
      <c r="A976" s="20"/>
      <c r="B976" s="21"/>
      <c r="C976" s="20"/>
      <c r="D976" s="20"/>
      <c r="E976" s="20"/>
      <c r="F976" s="33"/>
      <c r="G976" s="20"/>
      <c r="H976" s="20"/>
      <c r="I976" s="8" t="str">
        <f aca="false">IF(C976="","",IFERROR(INDEX(Disputes!$C$5:$C$1004,MATCH(C976,Disputes!$A$5:$A$1004,0)),IFERROR(INDEX(Batches!$B$5:$B$64,MATCH(C976,Batches!$A$5:$A$64,0)),"")))</f>
        <v/>
      </c>
      <c r="J976" s="17" t="str">
        <f aca="false">IF(B976="","",DATE(YEAR(B976),MONTH(B976),1))</f>
        <v/>
      </c>
    </row>
    <row r="977" customFormat="false" ht="15" hidden="false" customHeight="false" outlineLevel="0" collapsed="false">
      <c r="A977" s="20"/>
      <c r="B977" s="21"/>
      <c r="C977" s="20"/>
      <c r="D977" s="20"/>
      <c r="E977" s="20"/>
      <c r="F977" s="33"/>
      <c r="G977" s="20"/>
      <c r="H977" s="20"/>
      <c r="I977" s="8" t="str">
        <f aca="false">IF(C977="","",IFERROR(INDEX(Disputes!$C$5:$C$1004,MATCH(C977,Disputes!$A$5:$A$1004,0)),IFERROR(INDEX(Batches!$B$5:$B$64,MATCH(C977,Batches!$A$5:$A$64,0)),"")))</f>
        <v/>
      </c>
      <c r="J977" s="17" t="str">
        <f aca="false">IF(B977="","",DATE(YEAR(B977),MONTH(B977),1))</f>
        <v/>
      </c>
    </row>
    <row r="978" customFormat="false" ht="15" hidden="false" customHeight="false" outlineLevel="0" collapsed="false">
      <c r="A978" s="20"/>
      <c r="B978" s="21"/>
      <c r="C978" s="20"/>
      <c r="D978" s="20"/>
      <c r="E978" s="20"/>
      <c r="F978" s="33"/>
      <c r="G978" s="20"/>
      <c r="H978" s="20"/>
      <c r="I978" s="8" t="str">
        <f aca="false">IF(C978="","",IFERROR(INDEX(Disputes!$C$5:$C$1004,MATCH(C978,Disputes!$A$5:$A$1004,0)),IFERROR(INDEX(Batches!$B$5:$B$64,MATCH(C978,Batches!$A$5:$A$64,0)),"")))</f>
        <v/>
      </c>
      <c r="J978" s="17" t="str">
        <f aca="false">IF(B978="","",DATE(YEAR(B978),MONTH(B978),1))</f>
        <v/>
      </c>
    </row>
    <row r="979" customFormat="false" ht="15" hidden="false" customHeight="false" outlineLevel="0" collapsed="false">
      <c r="A979" s="20"/>
      <c r="B979" s="21"/>
      <c r="C979" s="20"/>
      <c r="D979" s="20"/>
      <c r="E979" s="20"/>
      <c r="F979" s="33"/>
      <c r="G979" s="20"/>
      <c r="H979" s="20"/>
      <c r="I979" s="8" t="str">
        <f aca="false">IF(C979="","",IFERROR(INDEX(Disputes!$C$5:$C$1004,MATCH(C979,Disputes!$A$5:$A$1004,0)),IFERROR(INDEX(Batches!$B$5:$B$64,MATCH(C979,Batches!$A$5:$A$64,0)),"")))</f>
        <v/>
      </c>
      <c r="J979" s="17" t="str">
        <f aca="false">IF(B979="","",DATE(YEAR(B979),MONTH(B979),1))</f>
        <v/>
      </c>
    </row>
    <row r="980" customFormat="false" ht="15" hidden="false" customHeight="false" outlineLevel="0" collapsed="false">
      <c r="A980" s="20"/>
      <c r="B980" s="21"/>
      <c r="C980" s="20"/>
      <c r="D980" s="20"/>
      <c r="E980" s="20"/>
      <c r="F980" s="33"/>
      <c r="G980" s="20"/>
      <c r="H980" s="20"/>
      <c r="I980" s="8" t="str">
        <f aca="false">IF(C980="","",IFERROR(INDEX(Disputes!$C$5:$C$1004,MATCH(C980,Disputes!$A$5:$A$1004,0)),IFERROR(INDEX(Batches!$B$5:$B$64,MATCH(C980,Batches!$A$5:$A$64,0)),"")))</f>
        <v/>
      </c>
      <c r="J980" s="17" t="str">
        <f aca="false">IF(B980="","",DATE(YEAR(B980),MONTH(B980),1))</f>
        <v/>
      </c>
    </row>
    <row r="981" customFormat="false" ht="15" hidden="false" customHeight="false" outlineLevel="0" collapsed="false">
      <c r="A981" s="20"/>
      <c r="B981" s="21"/>
      <c r="C981" s="20"/>
      <c r="D981" s="20"/>
      <c r="E981" s="20"/>
      <c r="F981" s="33"/>
      <c r="G981" s="20"/>
      <c r="H981" s="20"/>
      <c r="I981" s="8" t="str">
        <f aca="false">IF(C981="","",IFERROR(INDEX(Disputes!$C$5:$C$1004,MATCH(C981,Disputes!$A$5:$A$1004,0)),IFERROR(INDEX(Batches!$B$5:$B$64,MATCH(C981,Batches!$A$5:$A$64,0)),"")))</f>
        <v/>
      </c>
      <c r="J981" s="17" t="str">
        <f aca="false">IF(B981="","",DATE(YEAR(B981),MONTH(B981),1))</f>
        <v/>
      </c>
    </row>
    <row r="982" customFormat="false" ht="15" hidden="false" customHeight="false" outlineLevel="0" collapsed="false">
      <c r="A982" s="20"/>
      <c r="B982" s="21"/>
      <c r="C982" s="20"/>
      <c r="D982" s="20"/>
      <c r="E982" s="20"/>
      <c r="F982" s="33"/>
      <c r="G982" s="20"/>
      <c r="H982" s="20"/>
      <c r="I982" s="8" t="str">
        <f aca="false">IF(C982="","",IFERROR(INDEX(Disputes!$C$5:$C$1004,MATCH(C982,Disputes!$A$5:$A$1004,0)),IFERROR(INDEX(Batches!$B$5:$B$64,MATCH(C982,Batches!$A$5:$A$64,0)),"")))</f>
        <v/>
      </c>
      <c r="J982" s="17" t="str">
        <f aca="false">IF(B982="","",DATE(YEAR(B982),MONTH(B982),1))</f>
        <v/>
      </c>
    </row>
    <row r="983" customFormat="false" ht="15" hidden="false" customHeight="false" outlineLevel="0" collapsed="false">
      <c r="A983" s="20"/>
      <c r="B983" s="21"/>
      <c r="C983" s="20"/>
      <c r="D983" s="20"/>
      <c r="E983" s="20"/>
      <c r="F983" s="33"/>
      <c r="G983" s="20"/>
      <c r="H983" s="20"/>
      <c r="I983" s="8" t="str">
        <f aca="false">IF(C983="","",IFERROR(INDEX(Disputes!$C$5:$C$1004,MATCH(C983,Disputes!$A$5:$A$1004,0)),IFERROR(INDEX(Batches!$B$5:$B$64,MATCH(C983,Batches!$A$5:$A$64,0)),"")))</f>
        <v/>
      </c>
      <c r="J983" s="17" t="str">
        <f aca="false">IF(B983="","",DATE(YEAR(B983),MONTH(B983),1))</f>
        <v/>
      </c>
    </row>
    <row r="984" customFormat="false" ht="15" hidden="false" customHeight="false" outlineLevel="0" collapsed="false">
      <c r="A984" s="20"/>
      <c r="B984" s="21"/>
      <c r="C984" s="20"/>
      <c r="D984" s="20"/>
      <c r="E984" s="20"/>
      <c r="F984" s="33"/>
      <c r="G984" s="20"/>
      <c r="H984" s="20"/>
      <c r="I984" s="8" t="str">
        <f aca="false">IF(C984="","",IFERROR(INDEX(Disputes!$C$5:$C$1004,MATCH(C984,Disputes!$A$5:$A$1004,0)),IFERROR(INDEX(Batches!$B$5:$B$64,MATCH(C984,Batches!$A$5:$A$64,0)),"")))</f>
        <v/>
      </c>
      <c r="J984" s="17" t="str">
        <f aca="false">IF(B984="","",DATE(YEAR(B984),MONTH(B984),1))</f>
        <v/>
      </c>
    </row>
    <row r="985" customFormat="false" ht="15" hidden="false" customHeight="false" outlineLevel="0" collapsed="false">
      <c r="A985" s="20"/>
      <c r="B985" s="21"/>
      <c r="C985" s="20"/>
      <c r="D985" s="20"/>
      <c r="E985" s="20"/>
      <c r="F985" s="33"/>
      <c r="G985" s="20"/>
      <c r="H985" s="20"/>
      <c r="I985" s="8" t="str">
        <f aca="false">IF(C985="","",IFERROR(INDEX(Disputes!$C$5:$C$1004,MATCH(C985,Disputes!$A$5:$A$1004,0)),IFERROR(INDEX(Batches!$B$5:$B$64,MATCH(C985,Batches!$A$5:$A$64,0)),"")))</f>
        <v/>
      </c>
      <c r="J985" s="17" t="str">
        <f aca="false">IF(B985="","",DATE(YEAR(B985),MONTH(B985),1))</f>
        <v/>
      </c>
    </row>
    <row r="986" customFormat="false" ht="15" hidden="false" customHeight="false" outlineLevel="0" collapsed="false">
      <c r="A986" s="20"/>
      <c r="B986" s="21"/>
      <c r="C986" s="20"/>
      <c r="D986" s="20"/>
      <c r="E986" s="20"/>
      <c r="F986" s="33"/>
      <c r="G986" s="20"/>
      <c r="H986" s="20"/>
      <c r="I986" s="8" t="str">
        <f aca="false">IF(C986="","",IFERROR(INDEX(Disputes!$C$5:$C$1004,MATCH(C986,Disputes!$A$5:$A$1004,0)),IFERROR(INDEX(Batches!$B$5:$B$64,MATCH(C986,Batches!$A$5:$A$64,0)),"")))</f>
        <v/>
      </c>
      <c r="J986" s="17" t="str">
        <f aca="false">IF(B986="","",DATE(YEAR(B986),MONTH(B986),1))</f>
        <v/>
      </c>
    </row>
    <row r="987" customFormat="false" ht="15" hidden="false" customHeight="false" outlineLevel="0" collapsed="false">
      <c r="A987" s="20"/>
      <c r="B987" s="21"/>
      <c r="C987" s="20"/>
      <c r="D987" s="20"/>
      <c r="E987" s="20"/>
      <c r="F987" s="33"/>
      <c r="G987" s="20"/>
      <c r="H987" s="20"/>
      <c r="I987" s="8" t="str">
        <f aca="false">IF(C987="","",IFERROR(INDEX(Disputes!$C$5:$C$1004,MATCH(C987,Disputes!$A$5:$A$1004,0)),IFERROR(INDEX(Batches!$B$5:$B$64,MATCH(C987,Batches!$A$5:$A$64,0)),"")))</f>
        <v/>
      </c>
      <c r="J987" s="17" t="str">
        <f aca="false">IF(B987="","",DATE(YEAR(B987),MONTH(B987),1))</f>
        <v/>
      </c>
    </row>
    <row r="988" customFormat="false" ht="15" hidden="false" customHeight="false" outlineLevel="0" collapsed="false">
      <c r="A988" s="20"/>
      <c r="B988" s="21"/>
      <c r="C988" s="20"/>
      <c r="D988" s="20"/>
      <c r="E988" s="20"/>
      <c r="F988" s="33"/>
      <c r="G988" s="20"/>
      <c r="H988" s="20"/>
      <c r="I988" s="8" t="str">
        <f aca="false">IF(C988="","",IFERROR(INDEX(Disputes!$C$5:$C$1004,MATCH(C988,Disputes!$A$5:$A$1004,0)),IFERROR(INDEX(Batches!$B$5:$B$64,MATCH(C988,Batches!$A$5:$A$64,0)),"")))</f>
        <v/>
      </c>
      <c r="J988" s="17" t="str">
        <f aca="false">IF(B988="","",DATE(YEAR(B988),MONTH(B988),1))</f>
        <v/>
      </c>
    </row>
    <row r="989" customFormat="false" ht="15" hidden="false" customHeight="false" outlineLevel="0" collapsed="false">
      <c r="A989" s="20"/>
      <c r="B989" s="21"/>
      <c r="C989" s="20"/>
      <c r="D989" s="20"/>
      <c r="E989" s="20"/>
      <c r="F989" s="33"/>
      <c r="G989" s="20"/>
      <c r="H989" s="20"/>
      <c r="I989" s="8" t="str">
        <f aca="false">IF(C989="","",IFERROR(INDEX(Disputes!$C$5:$C$1004,MATCH(C989,Disputes!$A$5:$A$1004,0)),IFERROR(INDEX(Batches!$B$5:$B$64,MATCH(C989,Batches!$A$5:$A$64,0)),"")))</f>
        <v/>
      </c>
      <c r="J989" s="17" t="str">
        <f aca="false">IF(B989="","",DATE(YEAR(B989),MONTH(B989),1))</f>
        <v/>
      </c>
    </row>
    <row r="990" customFormat="false" ht="15" hidden="false" customHeight="false" outlineLevel="0" collapsed="false">
      <c r="A990" s="20"/>
      <c r="B990" s="21"/>
      <c r="C990" s="20"/>
      <c r="D990" s="20"/>
      <c r="E990" s="20"/>
      <c r="F990" s="33"/>
      <c r="G990" s="20"/>
      <c r="H990" s="20"/>
      <c r="I990" s="8" t="str">
        <f aca="false">IF(C990="","",IFERROR(INDEX(Disputes!$C$5:$C$1004,MATCH(C990,Disputes!$A$5:$A$1004,0)),IFERROR(INDEX(Batches!$B$5:$B$64,MATCH(C990,Batches!$A$5:$A$64,0)),"")))</f>
        <v/>
      </c>
      <c r="J990" s="17" t="str">
        <f aca="false">IF(B990="","",DATE(YEAR(B990),MONTH(B990),1))</f>
        <v/>
      </c>
    </row>
    <row r="991" customFormat="false" ht="15" hidden="false" customHeight="false" outlineLevel="0" collapsed="false">
      <c r="A991" s="20"/>
      <c r="B991" s="21"/>
      <c r="C991" s="20"/>
      <c r="D991" s="20"/>
      <c r="E991" s="20"/>
      <c r="F991" s="33"/>
      <c r="G991" s="20"/>
      <c r="H991" s="20"/>
      <c r="I991" s="8" t="str">
        <f aca="false">IF(C991="","",IFERROR(INDEX(Disputes!$C$5:$C$1004,MATCH(C991,Disputes!$A$5:$A$1004,0)),IFERROR(INDEX(Batches!$B$5:$B$64,MATCH(C991,Batches!$A$5:$A$64,0)),"")))</f>
        <v/>
      </c>
      <c r="J991" s="17" t="str">
        <f aca="false">IF(B991="","",DATE(YEAR(B991),MONTH(B991),1))</f>
        <v/>
      </c>
    </row>
    <row r="992" customFormat="false" ht="15" hidden="false" customHeight="false" outlineLevel="0" collapsed="false">
      <c r="A992" s="20"/>
      <c r="B992" s="21"/>
      <c r="C992" s="20"/>
      <c r="D992" s="20"/>
      <c r="E992" s="20"/>
      <c r="F992" s="33"/>
      <c r="G992" s="20"/>
      <c r="H992" s="20"/>
      <c r="I992" s="8" t="str">
        <f aca="false">IF(C992="","",IFERROR(INDEX(Disputes!$C$5:$C$1004,MATCH(C992,Disputes!$A$5:$A$1004,0)),IFERROR(INDEX(Batches!$B$5:$B$64,MATCH(C992,Batches!$A$5:$A$64,0)),"")))</f>
        <v/>
      </c>
      <c r="J992" s="17" t="str">
        <f aca="false">IF(B992="","",DATE(YEAR(B992),MONTH(B992),1))</f>
        <v/>
      </c>
    </row>
    <row r="993" customFormat="false" ht="15" hidden="false" customHeight="false" outlineLevel="0" collapsed="false">
      <c r="A993" s="20"/>
      <c r="B993" s="21"/>
      <c r="C993" s="20"/>
      <c r="D993" s="20"/>
      <c r="E993" s="20"/>
      <c r="F993" s="33"/>
      <c r="G993" s="20"/>
      <c r="H993" s="20"/>
      <c r="I993" s="8" t="str">
        <f aca="false">IF(C993="","",IFERROR(INDEX(Disputes!$C$5:$C$1004,MATCH(C993,Disputes!$A$5:$A$1004,0)),IFERROR(INDEX(Batches!$B$5:$B$64,MATCH(C993,Batches!$A$5:$A$64,0)),"")))</f>
        <v/>
      </c>
      <c r="J993" s="17" t="str">
        <f aca="false">IF(B993="","",DATE(YEAR(B993),MONTH(B993),1))</f>
        <v/>
      </c>
    </row>
    <row r="994" customFormat="false" ht="15" hidden="false" customHeight="false" outlineLevel="0" collapsed="false">
      <c r="A994" s="20"/>
      <c r="B994" s="21"/>
      <c r="C994" s="20"/>
      <c r="D994" s="20"/>
      <c r="E994" s="20"/>
      <c r="F994" s="33"/>
      <c r="G994" s="20"/>
      <c r="H994" s="20"/>
      <c r="I994" s="8" t="str">
        <f aca="false">IF(C994="","",IFERROR(INDEX(Disputes!$C$5:$C$1004,MATCH(C994,Disputes!$A$5:$A$1004,0)),IFERROR(INDEX(Batches!$B$5:$B$64,MATCH(C994,Batches!$A$5:$A$64,0)),"")))</f>
        <v/>
      </c>
      <c r="J994" s="17" t="str">
        <f aca="false">IF(B994="","",DATE(YEAR(B994),MONTH(B994),1))</f>
        <v/>
      </c>
    </row>
    <row r="995" customFormat="false" ht="15" hidden="false" customHeight="false" outlineLevel="0" collapsed="false">
      <c r="A995" s="20"/>
      <c r="B995" s="21"/>
      <c r="C995" s="20"/>
      <c r="D995" s="20"/>
      <c r="E995" s="20"/>
      <c r="F995" s="33"/>
      <c r="G995" s="20"/>
      <c r="H995" s="20"/>
      <c r="I995" s="8" t="str">
        <f aca="false">IF(C995="","",IFERROR(INDEX(Disputes!$C$5:$C$1004,MATCH(C995,Disputes!$A$5:$A$1004,0)),IFERROR(INDEX(Batches!$B$5:$B$64,MATCH(C995,Batches!$A$5:$A$64,0)),"")))</f>
        <v/>
      </c>
      <c r="J995" s="17" t="str">
        <f aca="false">IF(B995="","",DATE(YEAR(B995),MONTH(B995),1))</f>
        <v/>
      </c>
    </row>
    <row r="996" customFormat="false" ht="15" hidden="false" customHeight="false" outlineLevel="0" collapsed="false">
      <c r="A996" s="20"/>
      <c r="B996" s="21"/>
      <c r="C996" s="20"/>
      <c r="D996" s="20"/>
      <c r="E996" s="20"/>
      <c r="F996" s="33"/>
      <c r="G996" s="20"/>
      <c r="H996" s="20"/>
      <c r="I996" s="8" t="str">
        <f aca="false">IF(C996="","",IFERROR(INDEX(Disputes!$C$5:$C$1004,MATCH(C996,Disputes!$A$5:$A$1004,0)),IFERROR(INDEX(Batches!$B$5:$B$64,MATCH(C996,Batches!$A$5:$A$64,0)),"")))</f>
        <v/>
      </c>
      <c r="J996" s="17" t="str">
        <f aca="false">IF(B996="","",DATE(YEAR(B996),MONTH(B996),1))</f>
        <v/>
      </c>
    </row>
    <row r="997" customFormat="false" ht="15" hidden="false" customHeight="false" outlineLevel="0" collapsed="false">
      <c r="A997" s="20"/>
      <c r="B997" s="21"/>
      <c r="C997" s="20"/>
      <c r="D997" s="20"/>
      <c r="E997" s="20"/>
      <c r="F997" s="33"/>
      <c r="G997" s="20"/>
      <c r="H997" s="20"/>
      <c r="I997" s="8" t="str">
        <f aca="false">IF(C997="","",IFERROR(INDEX(Disputes!$C$5:$C$1004,MATCH(C997,Disputes!$A$5:$A$1004,0)),IFERROR(INDEX(Batches!$B$5:$B$64,MATCH(C997,Batches!$A$5:$A$64,0)),"")))</f>
        <v/>
      </c>
      <c r="J997" s="17" t="str">
        <f aca="false">IF(B997="","",DATE(YEAR(B997),MONTH(B997),1))</f>
        <v/>
      </c>
    </row>
    <row r="998" customFormat="false" ht="15" hidden="false" customHeight="false" outlineLevel="0" collapsed="false">
      <c r="A998" s="20"/>
      <c r="B998" s="21"/>
      <c r="C998" s="20"/>
      <c r="D998" s="20"/>
      <c r="E998" s="20"/>
      <c r="F998" s="33"/>
      <c r="G998" s="20"/>
      <c r="H998" s="20"/>
      <c r="I998" s="8" t="str">
        <f aca="false">IF(C998="","",IFERROR(INDEX(Disputes!$C$5:$C$1004,MATCH(C998,Disputes!$A$5:$A$1004,0)),IFERROR(INDEX(Batches!$B$5:$B$64,MATCH(C998,Batches!$A$5:$A$64,0)),"")))</f>
        <v/>
      </c>
      <c r="J998" s="17" t="str">
        <f aca="false">IF(B998="","",DATE(YEAR(B998),MONTH(B998),1))</f>
        <v/>
      </c>
    </row>
    <row r="999" customFormat="false" ht="15" hidden="false" customHeight="false" outlineLevel="0" collapsed="false">
      <c r="A999" s="20"/>
      <c r="B999" s="21"/>
      <c r="C999" s="20"/>
      <c r="D999" s="20"/>
      <c r="E999" s="20"/>
      <c r="F999" s="33"/>
      <c r="G999" s="20"/>
      <c r="H999" s="20"/>
      <c r="I999" s="8" t="str">
        <f aca="false">IF(C999="","",IFERROR(INDEX(Disputes!$C$5:$C$1004,MATCH(C999,Disputes!$A$5:$A$1004,0)),IFERROR(INDEX(Batches!$B$5:$B$64,MATCH(C999,Batches!$A$5:$A$64,0)),"")))</f>
        <v/>
      </c>
      <c r="J999" s="17" t="str">
        <f aca="false">IF(B999="","",DATE(YEAR(B999),MONTH(B999),1))</f>
        <v/>
      </c>
    </row>
    <row r="1000" customFormat="false" ht="15" hidden="false" customHeight="false" outlineLevel="0" collapsed="false">
      <c r="A1000" s="20"/>
      <c r="B1000" s="21"/>
      <c r="C1000" s="20"/>
      <c r="D1000" s="20"/>
      <c r="E1000" s="20"/>
      <c r="F1000" s="33"/>
      <c r="G1000" s="20"/>
      <c r="H1000" s="20"/>
      <c r="I1000" s="8" t="str">
        <f aca="false">IF(C1000="","",IFERROR(INDEX(Disputes!$C$5:$C$1004,MATCH(C1000,Disputes!$A$5:$A$1004,0)),IFERROR(INDEX(Batches!$B$5:$B$64,MATCH(C1000,Batches!$A$5:$A$64,0)),"")))</f>
        <v/>
      </c>
      <c r="J1000" s="17" t="str">
        <f aca="false">IF(B1000="","",DATE(YEAR(B1000),MONTH(B1000),1))</f>
        <v/>
      </c>
    </row>
    <row r="1001" customFormat="false" ht="15" hidden="false" customHeight="false" outlineLevel="0" collapsed="false">
      <c r="A1001" s="20"/>
      <c r="B1001" s="21"/>
      <c r="C1001" s="20"/>
      <c r="D1001" s="20"/>
      <c r="E1001" s="20"/>
      <c r="F1001" s="33"/>
      <c r="G1001" s="20"/>
      <c r="H1001" s="20"/>
      <c r="I1001" s="8" t="str">
        <f aca="false">IF(C1001="","",IFERROR(INDEX(Disputes!$C$5:$C$1004,MATCH(C1001,Disputes!$A$5:$A$1004,0)),IFERROR(INDEX(Batches!$B$5:$B$64,MATCH(C1001,Batches!$A$5:$A$64,0)),"")))</f>
        <v/>
      </c>
      <c r="J1001" s="17" t="str">
        <f aca="false">IF(B1001="","",DATE(YEAR(B1001),MONTH(B1001),1))</f>
        <v/>
      </c>
    </row>
    <row r="1002" customFormat="false" ht="15" hidden="false" customHeight="false" outlineLevel="0" collapsed="false">
      <c r="A1002" s="20"/>
      <c r="B1002" s="21"/>
      <c r="C1002" s="20"/>
      <c r="D1002" s="20"/>
      <c r="E1002" s="20"/>
      <c r="F1002" s="33"/>
      <c r="G1002" s="20"/>
      <c r="H1002" s="20"/>
      <c r="I1002" s="8" t="str">
        <f aca="false">IF(C1002="","",IFERROR(INDEX(Disputes!$C$5:$C$1004,MATCH(C1002,Disputes!$A$5:$A$1004,0)),IFERROR(INDEX(Batches!$B$5:$B$64,MATCH(C1002,Batches!$A$5:$A$64,0)),"")))</f>
        <v/>
      </c>
      <c r="J1002" s="17" t="str">
        <f aca="false">IF(B1002="","",DATE(YEAR(B1002),MONTH(B1002),1))</f>
        <v/>
      </c>
    </row>
    <row r="1003" customFormat="false" ht="15" hidden="false" customHeight="false" outlineLevel="0" collapsed="false">
      <c r="A1003" s="20"/>
      <c r="B1003" s="21"/>
      <c r="C1003" s="20"/>
      <c r="D1003" s="20"/>
      <c r="E1003" s="20"/>
      <c r="F1003" s="33"/>
      <c r="G1003" s="20"/>
      <c r="H1003" s="20"/>
      <c r="I1003" s="8" t="str">
        <f aca="false">IF(C1003="","",IFERROR(INDEX(Disputes!$C$5:$C$1004,MATCH(C1003,Disputes!$A$5:$A$1004,0)),IFERROR(INDEX(Batches!$B$5:$B$64,MATCH(C1003,Batches!$A$5:$A$64,0)),"")))</f>
        <v/>
      </c>
      <c r="J1003" s="17" t="str">
        <f aca="false">IF(B1003="","",DATE(YEAR(B1003),MONTH(B1003),1))</f>
        <v/>
      </c>
    </row>
    <row r="1004" customFormat="false" ht="15" hidden="false" customHeight="false" outlineLevel="0" collapsed="false">
      <c r="A1004" s="20"/>
      <c r="B1004" s="21"/>
      <c r="C1004" s="20"/>
      <c r="D1004" s="20"/>
      <c r="E1004" s="20"/>
      <c r="F1004" s="33"/>
      <c r="G1004" s="20"/>
      <c r="H1004" s="20"/>
      <c r="I1004" s="8" t="str">
        <f aca="false">IF(C1004="","",IFERROR(INDEX(Disputes!$C$5:$C$1004,MATCH(C1004,Disputes!$A$5:$A$1004,0)),IFERROR(INDEX(Batches!$B$5:$B$64,MATCH(C1004,Batches!$A$5:$A$64,0)),"")))</f>
        <v/>
      </c>
      <c r="J1004" s="17" t="str">
        <f aca="false">IF(B1004="","",DATE(YEAR(B1004),MONTH(B1004),1))</f>
        <v/>
      </c>
    </row>
  </sheetData>
  <autoFilter ref="A4:J1004"/>
  <dataValidations count="3">
    <dataValidation allowBlank="true" errorStyle="stop" operator="between" showDropDown="false" showErrorMessage="false" showInputMessage="false" sqref="D5:D1004" type="list">
      <formula1>Lists!$K$5:$K$40</formula1>
      <formula2>0</formula2>
    </dataValidation>
    <dataValidation allowBlank="true" errorStyle="stop" operator="between" showDropDown="false" showErrorMessage="false" showInputMessage="false" sqref="G5:G1004" type="list">
      <formula1>Lists!$L$5:$L$40</formula1>
      <formula2>0</formula2>
    </dataValidation>
    <dataValidation allowBlank="true" error="Enter hours between 0 and 12." errorStyle="stop" operator="between" showDropDown="false" showErrorMessage="true" showInputMessage="false" sqref="F5:F1004" type="decimal">
      <formula1>0</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FA9"/>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0"/>
    <col collapsed="false" customWidth="true" hidden="false" outlineLevel="0" max="3" min="3" style="0" width="26"/>
    <col collapsed="false" customWidth="true" hidden="false" outlineLevel="0" max="4" min="4" style="0" width="12"/>
  </cols>
  <sheetData>
    <row r="1" customFormat="false" ht="18.55" hidden="false" customHeight="false" outlineLevel="0" collapsed="false">
      <c r="A1" s="1" t="s">
        <v>187</v>
      </c>
    </row>
    <row r="2" customFormat="false" ht="15" hidden="false" customHeight="false" outlineLevel="0" collapsed="false">
      <c r="A2" s="2" t="s">
        <v>188</v>
      </c>
    </row>
    <row r="4" customFormat="false" ht="43.5" hidden="false" customHeight="true" outlineLevel="0" collapsed="false">
      <c r="A4" s="18" t="s">
        <v>189</v>
      </c>
      <c r="B4" s="18" t="s">
        <v>190</v>
      </c>
      <c r="C4" s="18" t="s">
        <v>191</v>
      </c>
      <c r="D4" s="19" t="s">
        <v>192</v>
      </c>
    </row>
    <row r="5" customFormat="false" ht="15" hidden="false" customHeight="false" outlineLevel="0" collapsed="false">
      <c r="A5" s="34" t="s">
        <v>193</v>
      </c>
      <c r="B5" s="34" t="s">
        <v>194</v>
      </c>
      <c r="C5" s="34" t="s">
        <v>195</v>
      </c>
      <c r="D5" s="34" t="n">
        <f aca="false">COUNTIF(Disputes!$L$5:$L$1004,"*"&amp;A5&amp;"*")</f>
        <v>0</v>
      </c>
    </row>
    <row r="6" customFormat="false" ht="15" hidden="false" customHeight="false" outlineLevel="0" collapsed="false">
      <c r="A6" s="34" t="s">
        <v>196</v>
      </c>
      <c r="B6" s="34" t="s">
        <v>197</v>
      </c>
      <c r="C6" s="34" t="s">
        <v>198</v>
      </c>
      <c r="D6" s="34" t="n">
        <f aca="false">COUNTIF(Disputes!$L$5:$L$1004,"*"&amp;A6&amp;"*")</f>
        <v>0</v>
      </c>
    </row>
    <row r="7" customFormat="false" ht="15" hidden="false" customHeight="false" outlineLevel="0" collapsed="false">
      <c r="A7" s="34" t="s">
        <v>199</v>
      </c>
      <c r="B7" s="34" t="s">
        <v>200</v>
      </c>
      <c r="C7" s="34" t="s">
        <v>198</v>
      </c>
      <c r="D7" s="34" t="n">
        <f aca="false">COUNTIF(Disputes!$L$5:$L$1004,"*"&amp;A7&amp;"*")</f>
        <v>0</v>
      </c>
    </row>
    <row r="8" customFormat="false" ht="15" hidden="false" customHeight="false" outlineLevel="0" collapsed="false">
      <c r="A8" s="34" t="s">
        <v>201</v>
      </c>
      <c r="B8" s="34" t="s">
        <v>202</v>
      </c>
      <c r="C8" s="34" t="s">
        <v>198</v>
      </c>
      <c r="D8" s="34" t="n">
        <f aca="false">COUNTIF(Disputes!$L$5:$L$1004,"*"&amp;A8&amp;"*")</f>
        <v>0</v>
      </c>
    </row>
    <row r="9" customFormat="false" ht="15" hidden="false" customHeight="false" outlineLevel="0" collapsed="false">
      <c r="A9" s="34" t="s">
        <v>203</v>
      </c>
      <c r="B9" s="34" t="s">
        <v>204</v>
      </c>
      <c r="C9" s="34" t="s">
        <v>198</v>
      </c>
      <c r="D9" s="34" t="n">
        <f aca="false">COUNTIF(Disputes!$L$5:$L$1004,"*"&amp;A9&amp;"*")</f>
        <v>0</v>
      </c>
    </row>
    <row r="10" customFormat="false" ht="15" hidden="false" customHeight="false" outlineLevel="0" collapsed="false">
      <c r="A10" s="34" t="s">
        <v>205</v>
      </c>
      <c r="B10" s="34" t="s">
        <v>206</v>
      </c>
      <c r="C10" s="34" t="s">
        <v>198</v>
      </c>
      <c r="D10" s="34" t="n">
        <f aca="false">COUNTIF(Disputes!$L$5:$L$1004,"*"&amp;A10&amp;"*")</f>
        <v>0</v>
      </c>
    </row>
    <row r="11" customFormat="false" ht="15" hidden="false" customHeight="false" outlineLevel="0" collapsed="false">
      <c r="A11" s="34" t="s">
        <v>207</v>
      </c>
      <c r="B11" s="34" t="s">
        <v>208</v>
      </c>
      <c r="C11" s="34" t="s">
        <v>209</v>
      </c>
      <c r="D11" s="34" t="n">
        <f aca="false">COUNTIF(Disputes!$L$5:$L$1004,"*"&amp;A11&amp;"*")</f>
        <v>0</v>
      </c>
    </row>
    <row r="12" customFormat="false" ht="15" hidden="false" customHeight="false" outlineLevel="0" collapsed="false">
      <c r="A12" s="34" t="s">
        <v>210</v>
      </c>
      <c r="B12" s="34" t="s">
        <v>211</v>
      </c>
      <c r="C12" s="34" t="s">
        <v>65</v>
      </c>
      <c r="D12" s="34" t="n">
        <f aca="false">COUNTIF(Disputes!$L$5:$L$1004,"*"&amp;A12&amp;"*")</f>
        <v>0</v>
      </c>
    </row>
    <row r="13" customFormat="false" ht="15" hidden="false" customHeight="false" outlineLevel="0" collapsed="false">
      <c r="A13" s="34" t="s">
        <v>212</v>
      </c>
      <c r="B13" s="34" t="s">
        <v>213</v>
      </c>
      <c r="C13" s="34" t="s">
        <v>214</v>
      </c>
      <c r="D13" s="34" t="n">
        <f aca="false">COUNTIF(Disputes!$L$5:$L$1004,"*"&amp;A13&amp;"*")</f>
        <v>0</v>
      </c>
    </row>
    <row r="14" customFormat="false" ht="15" hidden="false" customHeight="false" outlineLevel="0" collapsed="false">
      <c r="A14" s="34" t="s">
        <v>215</v>
      </c>
      <c r="B14" s="34" t="s">
        <v>216</v>
      </c>
      <c r="C14" s="34" t="s">
        <v>214</v>
      </c>
      <c r="D14" s="34" t="n">
        <f aca="false">COUNTIF(Disputes!$L$5:$L$1004,"*"&amp;A14&amp;"*")</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FA9"/>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28"/>
  </cols>
  <sheetData>
    <row r="1" customFormat="false" ht="18.55" hidden="false" customHeight="false" outlineLevel="0" collapsed="false">
      <c r="A1" s="1" t="s">
        <v>217</v>
      </c>
    </row>
    <row r="2" customFormat="false" ht="15" hidden="false" customHeight="false" outlineLevel="0" collapsed="false">
      <c r="A2" s="2" t="s">
        <v>218</v>
      </c>
    </row>
    <row r="4" customFormat="false" ht="15" hidden="false" customHeight="false" outlineLevel="0" collapsed="false">
      <c r="A4" s="35" t="s">
        <v>91</v>
      </c>
      <c r="B4" s="35" t="s">
        <v>92</v>
      </c>
      <c r="C4" s="35" t="s">
        <v>93</v>
      </c>
      <c r="D4" s="35" t="s">
        <v>143</v>
      </c>
      <c r="E4" s="35" t="s">
        <v>219</v>
      </c>
      <c r="F4" s="35" t="s">
        <v>159</v>
      </c>
      <c r="G4" s="35" t="s">
        <v>220</v>
      </c>
      <c r="H4" s="35" t="s">
        <v>221</v>
      </c>
      <c r="I4" s="35" t="s">
        <v>165</v>
      </c>
      <c r="J4" s="35" t="s">
        <v>222</v>
      </c>
      <c r="K4" s="35" t="s">
        <v>176</v>
      </c>
      <c r="L4" s="35" t="s">
        <v>223</v>
      </c>
    </row>
    <row r="5" customFormat="false" ht="15" hidden="false" customHeight="false" outlineLevel="0" collapsed="false">
      <c r="A5" s="36" t="s">
        <v>53</v>
      </c>
      <c r="B5" s="36" t="s">
        <v>224</v>
      </c>
      <c r="C5" s="36" t="s">
        <v>225</v>
      </c>
      <c r="D5" s="36" t="s">
        <v>226</v>
      </c>
      <c r="E5" s="36" t="s">
        <v>60</v>
      </c>
      <c r="F5" s="36" t="s">
        <v>46</v>
      </c>
      <c r="G5" s="36" t="s">
        <v>76</v>
      </c>
      <c r="H5" s="36" t="s">
        <v>70</v>
      </c>
      <c r="I5" s="36" t="s">
        <v>227</v>
      </c>
      <c r="J5" s="36" t="s">
        <v>228</v>
      </c>
      <c r="K5" s="36" t="s">
        <v>229</v>
      </c>
      <c r="L5" s="36" t="s">
        <v>185</v>
      </c>
    </row>
    <row r="6" customFormat="false" ht="15" hidden="false" customHeight="false" outlineLevel="0" collapsed="false">
      <c r="A6" s="36" t="s">
        <v>54</v>
      </c>
      <c r="B6" s="36" t="s">
        <v>230</v>
      </c>
      <c r="C6" s="36" t="s">
        <v>231</v>
      </c>
      <c r="D6" s="36" t="s">
        <v>232</v>
      </c>
      <c r="E6" s="36" t="s">
        <v>61</v>
      </c>
      <c r="F6" s="36" t="s">
        <v>47</v>
      </c>
      <c r="G6" s="36" t="s">
        <v>77</v>
      </c>
      <c r="H6" s="36" t="s">
        <v>71</v>
      </c>
      <c r="I6" s="36" t="s">
        <v>34</v>
      </c>
      <c r="J6" s="36" t="s">
        <v>233</v>
      </c>
      <c r="K6" s="36" t="s">
        <v>234</v>
      </c>
      <c r="L6" s="36" t="s">
        <v>235</v>
      </c>
    </row>
    <row r="7" customFormat="false" ht="15" hidden="false" customHeight="false" outlineLevel="0" collapsed="false">
      <c r="A7" s="36" t="s">
        <v>55</v>
      </c>
      <c r="B7" s="36" t="s">
        <v>236</v>
      </c>
      <c r="C7" s="36" t="s">
        <v>237</v>
      </c>
      <c r="D7" s="36" t="s">
        <v>238</v>
      </c>
      <c r="E7" s="36" t="s">
        <v>62</v>
      </c>
      <c r="F7" s="36" t="s">
        <v>48</v>
      </c>
      <c r="G7" s="36" t="s">
        <v>78</v>
      </c>
      <c r="H7" s="36" t="s">
        <v>72</v>
      </c>
      <c r="I7" s="36" t="s">
        <v>239</v>
      </c>
      <c r="J7" s="36" t="s">
        <v>240</v>
      </c>
      <c r="K7" s="36" t="s">
        <v>183</v>
      </c>
    </row>
    <row r="8" customFormat="false" ht="15" hidden="false" customHeight="false" outlineLevel="0" collapsed="false">
      <c r="A8" s="36" t="s">
        <v>56</v>
      </c>
      <c r="B8" s="36" t="s">
        <v>68</v>
      </c>
      <c r="E8" s="36" t="s">
        <v>63</v>
      </c>
      <c r="F8" s="36" t="s">
        <v>241</v>
      </c>
      <c r="G8" s="36" t="s">
        <v>79</v>
      </c>
      <c r="H8" s="36" t="s">
        <v>73</v>
      </c>
      <c r="I8" s="36" t="s">
        <v>242</v>
      </c>
      <c r="J8" s="36" t="s">
        <v>49</v>
      </c>
      <c r="K8" s="36" t="s">
        <v>239</v>
      </c>
    </row>
    <row r="9" customFormat="false" ht="15" hidden="false" customHeight="false" outlineLevel="0" collapsed="false">
      <c r="E9" s="36" t="s">
        <v>64</v>
      </c>
      <c r="F9" s="36" t="s">
        <v>49</v>
      </c>
      <c r="G9" s="36" t="s">
        <v>80</v>
      </c>
      <c r="H9" s="36" t="s">
        <v>74</v>
      </c>
      <c r="I9" s="36" t="s">
        <v>243</v>
      </c>
      <c r="K9" s="36" t="s">
        <v>244</v>
      </c>
    </row>
    <row r="10" customFormat="false" ht="15" hidden="false" customHeight="false" outlineLevel="0" collapsed="false">
      <c r="E10" s="36" t="s">
        <v>65</v>
      </c>
      <c r="G10" s="36" t="s">
        <v>81</v>
      </c>
      <c r="I10" s="36" t="s">
        <v>245</v>
      </c>
      <c r="K10" s="36" t="s">
        <v>246</v>
      </c>
    </row>
    <row r="11" customFormat="false" ht="15" hidden="false" customHeight="false" outlineLevel="0" collapsed="false">
      <c r="E11" s="36" t="s">
        <v>66</v>
      </c>
      <c r="G11" s="36" t="s">
        <v>82</v>
      </c>
      <c r="K11" s="36" t="s">
        <v>247</v>
      </c>
    </row>
    <row r="12" customFormat="false" ht="15" hidden="false" customHeight="false" outlineLevel="0" collapsed="false">
      <c r="E12" s="36" t="s">
        <v>67</v>
      </c>
      <c r="K12" s="36" t="s">
        <v>248</v>
      </c>
    </row>
    <row r="13" customFormat="false" ht="15" hidden="false" customHeight="false" outlineLevel="0" collapsed="false">
      <c r="E13" s="36" t="s">
        <v>68</v>
      </c>
      <c r="K13" s="36" t="s">
        <v>249</v>
      </c>
    </row>
    <row r="14" customFormat="false" ht="15" hidden="false" customHeight="false" outlineLevel="0" collapsed="false">
      <c r="K14" s="36"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2026-10-28T14:13:44Z</dcterms:created>
  <dc:creator>openpyxl</dc:creator>
  <dc:description/>
  <dc:language>en-US</dc:language>
  <cp:lastModifiedBy/>
  <dcterms:modified xsi:type="dcterms:W3CDTF">2026-10-28T14:13:47Z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